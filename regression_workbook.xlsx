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Dataset" sheetId="1" state="visible" r:id="rId3"/>
    <sheet name="Cleaned_Data" sheetId="2" state="visible" r:id="rId4"/>
    <sheet name="Dummy_Variables" sheetId="3" state="visible" r:id="rId5"/>
    <sheet name="Model_Data" sheetId="4" state="visible" r:id="rId6"/>
    <sheet name="Simple_Regression" sheetId="5" state="visible" r:id="rId7"/>
    <sheet name="Multiple_Regression" sheetId="6" state="visible" r:id="rId8"/>
    <sheet name="Predictions_Residuals" sheetId="7" state="visible" r:id="rId9"/>
    <sheet name="Model_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<sst xmlns="http://schemas.openxmlformats.org/spreadsheetml/2006/main" count="1146" uniqueCount="171">
  <si>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</si>
  <si>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</si>
  <si>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</si>
  <si>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</si>
  <si>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</si>
  <si>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</si>
  <si>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</si>
  <si>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</si>
  <si>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</si>
  <si>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</si>
  <si>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</si>
  <si>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</si>
  <si>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</si>
  <si>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</si>
  <si>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</si>
  <si>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</si>
  <si>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</si>
  <si>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</si>
  <si>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</si>
  <si>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</si>
  <si>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</si>
  <si>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</si>
  <si>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</si>
  <si>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</si>
  <si>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</si>
  <si>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</si>
  <si>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</si>
  <si>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</si>
  <si>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</si>
  <si>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</si>
  <si>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</si>
  <si>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</si>
  <si>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</si>
  <si>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</si>
  <si>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</si>
  <si>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</si>
  <si>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</si>
  <si>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</si>
  <si>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</si>
  <si>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</si>
  <si>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</si>
  <si>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</si>
  <si>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</si>
  <si>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</si>
  <si>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</si>
  <si>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</si>
  <si>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</si>
  <si>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</si>
  <si>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</si>
  <si>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</si>
  <si>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</si>
  <si>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</si>
  <si>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</si>
  <si>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</si>
  <si>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</si>
  <si>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</si>
  <si>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</si>
  <si>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</si>
  <si>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</si>
  <si>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</si>
  <si>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</si>
  <si>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</si>
  <si>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</si>
  <si>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</si>
  <si>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</si>
  <si>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</si>
  <si>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</si>
  <si>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</si>
  <si>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</si>
  <si>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</si>
  <si>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</si>
  <si>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</si>
  <si>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</si>
  <si>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</si>
  <si>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</si>
  <si>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</si>
  <si>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</si>
  <si>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</si>
  <si>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</si>
  <si>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</si>
  <si>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</si>
  <si>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</si>
  <si>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</si>
  <si>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</si>
  <si>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</si>
  <si>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</si>
  <si>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</si>
  <si>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</si>
  <si>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</si>
  <si>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</si>
  <si>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</si>
  <si>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</si>
  <si>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</si>
  <si>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</si>
  <si>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</si>
  <si>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</si>
  <si>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</si>
  <si>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</si>
  <si>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</si>
  <si>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</si>
  <si>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</si>
  <si>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</si>
  <si>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Cleaned &amp; Prepared Dataset</t>
  </si>
  <si>
    <t xml:space="preserve">Missing values in competitor_distance_km and customer_rating are imputed with the column median. All other columns reference Original_Dataset directly.</t>
  </si>
  <si>
    <t xml:space="preserve">Median competitor_distance_km</t>
  </si>
  <si>
    <t xml:space="preserve">Median customer_rating</t>
  </si>
  <si>
    <t xml:space="preserve">Dummy Variable Creation</t>
  </si>
  <si>
    <t xml:space="preserve">store_type reference category = "High Street" (most frequent, 116 of 320 rows). region reference category = "East" (most frequent, 104 of 320 rows). Reference categories are intentionally excluded to avoid the dummy variable trap (perfect multicollinearity).</t>
  </si>
  <si>
    <t xml:space="preserve">storetype_Airport</t>
  </si>
  <si>
    <t xml:space="preserve">storetype_Mall</t>
  </si>
  <si>
    <t xml:space="preserve">storetype_Residential</t>
  </si>
  <si>
    <t xml:space="preserve">region_North</t>
  </si>
  <si>
    <t xml:space="preserve">region_South</t>
  </si>
  <si>
    <t xml:space="preserve">region_West</t>
  </si>
  <si>
    <t xml:space="preserve">Consolidated Model Dataset (numeric predictors + dummy variables, contiguous for regression formulas)</t>
  </si>
  <si>
    <t xml:space="preserve">Simple Linear Regression Models (monthly_sales as dependent variable)</t>
  </si>
  <si>
    <t xml:space="preserve">Model A: monthly_sales ~ marketing_spend</t>
  </si>
  <si>
    <t xml:space="preserve">Raw LINEST array (reference only) — see computed labels below for slope/intercept/R2/etc.</t>
  </si>
  <si>
    <t xml:space="preserve">Slope (coefficient)</t>
  </si>
  <si>
    <t xml:space="preserve">Intercept</t>
  </si>
  <si>
    <t xml:space="preserve">Std Error of Slope</t>
  </si>
  <si>
    <t xml:space="preserve">R-squared</t>
  </si>
  <si>
    <t xml:space="preserve">F-statistic</t>
  </si>
  <si>
    <t xml:space="preserve">Degrees of Freedom</t>
  </si>
  <si>
    <t xml:space="preserve">t-stat (slope)</t>
  </si>
  <si>
    <t xml:space="preserve">P-value (slope)</t>
  </si>
  <si>
    <t xml:space="preserve">Model B: monthly_sales ~ footfall</t>
  </si>
  <si>
    <t xml:space="preserve">Model C: monthly_sales ~ avg_discount_pct</t>
  </si>
  <si>
    <t xml:space="preserve">Model D: monthly_sales ~ inventory_availability_pct</t>
  </si>
  <si>
    <t xml:space="preserve">Model E: monthly_sales ~ customer_rating</t>
  </si>
  <si>
    <t xml:space="preserve">Multiple Linear Regression Model</t>
  </si>
  <si>
    <t xml:space="preserve">Predictors: footfall, marketing_spend, inventory_availability_pct, avg_discount_pct, storetype_Airport, storetype_Mall, storetype_Residential (reference: High Street). Dependent variable: monthly_sales.</t>
  </si>
  <si>
    <t xml:space="preserve">LINEST Output</t>
  </si>
  <si>
    <t xml:space="preserve">Raw LINEST slope (reference only) — see computed labels below for full coefficient table.</t>
  </si>
  <si>
    <t xml:space="preserve">Variable</t>
  </si>
  <si>
    <t xml:space="preserve">Coefficient</t>
  </si>
  <si>
    <t xml:space="preserve">Std Error</t>
  </si>
  <si>
    <t xml:space="preserve">t-stat</t>
  </si>
  <si>
    <t xml:space="preserve">P-value</t>
  </si>
  <si>
    <t xml:space="preserve">footfall (coef)</t>
  </si>
  <si>
    <t xml:space="preserve">marketing_spend (coef)</t>
  </si>
  <si>
    <t xml:space="preserve">inventory_availability_pct (coef)</t>
  </si>
  <si>
    <t xml:space="preserve">avg_discount_pct (coef)</t>
  </si>
  <si>
    <t xml:space="preserve">storetype_Airport (coef)</t>
  </si>
  <si>
    <t xml:space="preserve">storetype_Mall (coef)</t>
  </si>
  <si>
    <t xml:space="preserve">storetype_Residential (coef)</t>
  </si>
  <si>
    <t xml:space="preserve">Degrees of Freedom (resid)</t>
  </si>
  <si>
    <t xml:space="preserve">N (observations)</t>
  </si>
  <si>
    <t xml:space="preserve">Predicted Sales &amp; Residuals (Final Model = Multiple Regression)</t>
  </si>
  <si>
    <t xml:space="preserve">predicted_sales = Intercept + sum(coefficient_i * value_i); residual = monthly_sales - predicted_sales</t>
  </si>
  <si>
    <t xml:space="preserve">predicted_sales</t>
  </si>
  <si>
    <t xml:space="preserve">residual</t>
  </si>
  <si>
    <t xml:space="preserve">abs_residual</t>
  </si>
  <si>
    <t xml:space="preserve">Top 5 Largest POSITIVE Residuals (model under-predicts)</t>
  </si>
  <si>
    <t xml:space="preserve">Rank</t>
  </si>
  <si>
    <t xml:space="preserve">Residual</t>
  </si>
  <si>
    <t xml:space="preserve">Top 5 Largest NEGATIVE Residuals (model over-predicts)</t>
  </si>
  <si>
    <t xml:space="preserve">Model Comparison Summary</t>
  </si>
  <si>
    <t xml:space="preserve">Model</t>
  </si>
  <si>
    <t xml:space="preserve">Independent Variable(s)</t>
  </si>
  <si>
    <t xml:space="preserve">Key P-value(s)</t>
  </si>
  <si>
    <t xml:space="preserve">Verdict</t>
  </si>
  <si>
    <t xml:space="preserve">Model A (Simple)</t>
  </si>
  <si>
    <t xml:space="preserve">Model B (Simple)</t>
  </si>
  <si>
    <t xml:space="preserve">Model C (Simple)</t>
  </si>
  <si>
    <t xml:space="preserve">Model D (Simple)</t>
  </si>
  <si>
    <t xml:space="preserve">Model E (Simple)</t>
  </si>
  <si>
    <t xml:space="preserve">Model F (Multiple)</t>
  </si>
  <si>
    <t xml:space="preserve">footfall + marketing_spend + inventory_availability_pct + avg_discount_pct + store_type dummies</t>
  </si>
  <si>
    <t xml:space="preserve">see Multiple_Regression sheet</t>
  </si>
  <si>
    <t xml:space="preserve">Note: P-values for Model F (multiple regression) are shown per-variable on the Multiple_Regression sheet, columns K:O, rows 12-19.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</si>
</sst>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"/>
    <numFmt numFmtId="166" formatCode="#,##0.0000"/>
    <numFmt numFmtId="167" formatCode="0.0000"/>
    <numFmt numFmtId="168" formatCode="0.000000"/>
    <numFmt numFmtId="169" formatCode="0.000"/>
    <numFmt numFmtId="170" formatCode="0.00"/>
    <numFmt numFmtId="171" formatCode="0"/>
    <numFmt numFmtId="172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7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8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17"/>
    <col collapsed="false" customWidth="true" hidden="false" outlineLevel="0" max="13" min="13" style="1" width="15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s">
        <v>14</v>
      </c>
      <c r="B2" s="4" t="n">
        <v>45658</v>
      </c>
      <c r="C2" s="3" t="s">
        <v>15</v>
      </c>
      <c r="D2" s="3" t="s">
        <v>16</v>
      </c>
      <c r="E2" s="3" t="n">
        <v>70389.11</v>
      </c>
      <c r="F2" s="3" t="n">
        <v>8302</v>
      </c>
      <c r="G2" s="3" t="n">
        <v>0.042</v>
      </c>
      <c r="H2" s="3" t="n">
        <v>17</v>
      </c>
      <c r="I2" s="3" t="n">
        <v>75</v>
      </c>
      <c r="J2" s="3" t="n">
        <v>5.28</v>
      </c>
      <c r="K2" s="3" t="n">
        <v>1</v>
      </c>
      <c r="L2" s="3" t="n">
        <v>3.1</v>
      </c>
      <c r="M2" s="3" t="n">
        <v>658832.62</v>
      </c>
      <c r="N2" s="3" t="n">
        <v>84349.93</v>
      </c>
    </row>
    <row r="3" customFormat="false" ht="15" hidden="false" customHeight="true" outlineLevel="0" collapsed="false">
      <c r="A3" s="3" t="s">
        <v>14</v>
      </c>
      <c r="B3" s="4" t="n">
        <v>45689</v>
      </c>
      <c r="C3" s="3" t="s">
        <v>15</v>
      </c>
      <c r="D3" s="3" t="s">
        <v>16</v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</row>
    <row r="4" customFormat="false" ht="15" hidden="false" customHeight="true" outlineLevel="0" collapsed="false">
      <c r="A4" s="3" t="s">
        <v>14</v>
      </c>
      <c r="B4" s="4" t="n">
        <v>45717</v>
      </c>
      <c r="C4" s="3" t="s">
        <v>15</v>
      </c>
      <c r="D4" s="3" t="s">
        <v>16</v>
      </c>
      <c r="E4" s="3" t="n">
        <v>59921.75</v>
      </c>
      <c r="F4" s="3" t="n">
        <v>9113</v>
      </c>
      <c r="G4" s="3" t="n">
        <v>0.133</v>
      </c>
      <c r="H4" s="3" t="n">
        <v>20</v>
      </c>
      <c r="I4" s="3" t="n">
        <v>88</v>
      </c>
      <c r="J4" s="3" t="n">
        <v>12</v>
      </c>
      <c r="K4" s="3" t="n">
        <v>0</v>
      </c>
      <c r="L4" s="3" t="n">
        <v>3.2</v>
      </c>
      <c r="M4" s="3" t="n">
        <v>678722.06</v>
      </c>
      <c r="N4" s="3" t="n">
        <v>101883.86</v>
      </c>
    </row>
    <row r="5" customFormat="false" ht="15" hidden="false" customHeight="true" outlineLevel="0" collapsed="false">
      <c r="A5" s="3" t="s">
        <v>14</v>
      </c>
      <c r="B5" s="4" t="n">
        <v>45748</v>
      </c>
      <c r="C5" s="3" t="s">
        <v>15</v>
      </c>
      <c r="D5" s="3" t="s">
        <v>16</v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</row>
    <row r="6" customFormat="false" ht="15" hidden="false" customHeight="true" outlineLevel="0" collapsed="false">
      <c r="A6" s="3" t="s">
        <v>17</v>
      </c>
      <c r="B6" s="4" t="n">
        <v>45658</v>
      </c>
      <c r="C6" s="3" t="s">
        <v>15</v>
      </c>
      <c r="D6" s="3" t="s">
        <v>18</v>
      </c>
      <c r="E6" s="3" t="n">
        <v>48412.64</v>
      </c>
      <c r="F6" s="3" t="n">
        <v>9545</v>
      </c>
      <c r="G6" s="3" t="n">
        <v>0.231</v>
      </c>
      <c r="H6" s="3" t="n">
        <v>21</v>
      </c>
      <c r="I6" s="3" t="n">
        <v>97.6</v>
      </c>
      <c r="J6" s="3" t="n">
        <v>6.94</v>
      </c>
      <c r="K6" s="3" t="n">
        <v>1</v>
      </c>
      <c r="L6" s="3" t="n">
        <v>4.2</v>
      </c>
      <c r="M6" s="3" t="n">
        <v>741341.44</v>
      </c>
      <c r="N6" s="3" t="n">
        <v>119208.17</v>
      </c>
    </row>
    <row r="7" customFormat="false" ht="15" hidden="false" customHeight="true" outlineLevel="0" collapsed="false">
      <c r="A7" s="3" t="s">
        <v>17</v>
      </c>
      <c r="B7" s="4" t="n">
        <v>45689</v>
      </c>
      <c r="C7" s="3" t="s">
        <v>15</v>
      </c>
      <c r="D7" s="3" t="s">
        <v>18</v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</row>
    <row r="8" customFormat="false" ht="15" hidden="false" customHeight="true" outlineLevel="0" collapsed="false">
      <c r="A8" s="3" t="s">
        <v>17</v>
      </c>
      <c r="B8" s="4" t="n">
        <v>45717</v>
      </c>
      <c r="C8" s="3" t="s">
        <v>15</v>
      </c>
      <c r="D8" s="3" t="s">
        <v>18</v>
      </c>
      <c r="E8" s="3" t="n">
        <v>46213.45</v>
      </c>
      <c r="F8" s="3" t="n">
        <v>10616</v>
      </c>
      <c r="G8" s="3" t="n">
        <v>0.122</v>
      </c>
      <c r="H8" s="3" t="n">
        <v>22</v>
      </c>
      <c r="I8" s="3" t="n">
        <v>85.2</v>
      </c>
      <c r="J8" s="3" t="n">
        <v>0.2</v>
      </c>
      <c r="K8" s="3" t="n">
        <v>1</v>
      </c>
      <c r="L8" s="3" t="n">
        <v>4.1</v>
      </c>
      <c r="M8" s="3" t="n">
        <v>806615.54</v>
      </c>
      <c r="N8" s="3" t="n">
        <v>131364.62</v>
      </c>
    </row>
    <row r="9" customFormat="false" ht="15" hidden="false" customHeight="true" outlineLevel="0" collapsed="false">
      <c r="A9" s="3" t="s">
        <v>17</v>
      </c>
      <c r="B9" s="4" t="n">
        <v>45748</v>
      </c>
      <c r="C9" s="3" t="s">
        <v>15</v>
      </c>
      <c r="D9" s="3" t="s">
        <v>18</v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95.6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</row>
    <row r="10" customFormat="false" ht="15" hidden="false" customHeight="true" outlineLevel="0" collapsed="false">
      <c r="A10" s="3" t="s">
        <v>19</v>
      </c>
      <c r="B10" s="4" t="n">
        <v>45658</v>
      </c>
      <c r="C10" s="3" t="s">
        <v>20</v>
      </c>
      <c r="D10" s="3" t="s">
        <v>21</v>
      </c>
      <c r="E10" s="3" t="n">
        <v>71838.86</v>
      </c>
      <c r="F10" s="3" t="n">
        <v>10979</v>
      </c>
      <c r="G10" s="3" t="n">
        <v>0.215</v>
      </c>
      <c r="H10" s="3" t="n">
        <v>26</v>
      </c>
      <c r="I10" s="3" t="n">
        <v>88.6</v>
      </c>
      <c r="J10" s="3" t="n">
        <v>7.7</v>
      </c>
      <c r="K10" s="3" t="n">
        <v>1</v>
      </c>
      <c r="L10" s="3" t="n">
        <v>3.8</v>
      </c>
      <c r="M10" s="3" t="n">
        <v>930581.7</v>
      </c>
      <c r="N10" s="3" t="n">
        <v>136207.98</v>
      </c>
    </row>
    <row r="11" customFormat="false" ht="15" hidden="false" customHeight="true" outlineLevel="0" collapsed="false">
      <c r="A11" s="3" t="s">
        <v>19</v>
      </c>
      <c r="B11" s="4" t="n">
        <v>45689</v>
      </c>
      <c r="C11" s="3" t="s">
        <v>20</v>
      </c>
      <c r="D11" s="3" t="s">
        <v>21</v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779010.94</v>
      </c>
      <c r="N11" s="3" t="n">
        <v>106328.09</v>
      </c>
    </row>
    <row r="12" customFormat="false" ht="15" hidden="false" customHeight="true" outlineLevel="0" collapsed="false">
      <c r="A12" s="3" t="s">
        <v>19</v>
      </c>
      <c r="B12" s="4" t="n">
        <v>45717</v>
      </c>
      <c r="C12" s="3" t="s">
        <v>20</v>
      </c>
      <c r="D12" s="3" t="s">
        <v>21</v>
      </c>
      <c r="E12" s="3" t="n">
        <v>34285.21</v>
      </c>
      <c r="F12" s="3" t="n">
        <v>9172</v>
      </c>
      <c r="G12" s="3" t="n">
        <v>0.213</v>
      </c>
      <c r="H12" s="3" t="n">
        <v>22</v>
      </c>
      <c r="I12" s="3" t="n">
        <v>88.3</v>
      </c>
      <c r="J12" s="3" t="n">
        <v>10.46</v>
      </c>
      <c r="K12" s="3" t="n">
        <v>1</v>
      </c>
      <c r="L12" s="3" t="n">
        <v>3.8</v>
      </c>
      <c r="M12" s="3" t="n">
        <v>723060.76</v>
      </c>
      <c r="N12" s="3" t="n">
        <v>123131.24</v>
      </c>
    </row>
    <row r="13" customFormat="false" ht="15" hidden="false" customHeight="true" outlineLevel="0" collapsed="false">
      <c r="A13" s="3" t="s">
        <v>19</v>
      </c>
      <c r="B13" s="4" t="n">
        <v>45748</v>
      </c>
      <c r="C13" s="3" t="s">
        <v>20</v>
      </c>
      <c r="D13" s="3" t="s">
        <v>21</v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910791.94</v>
      </c>
      <c r="N13" s="3" t="n">
        <v>158891.28</v>
      </c>
    </row>
    <row r="14" customFormat="false" ht="15" hidden="false" customHeight="true" outlineLevel="0" collapsed="false">
      <c r="A14" s="3" t="s">
        <v>22</v>
      </c>
      <c r="B14" s="4" t="n">
        <v>45658</v>
      </c>
      <c r="C14" s="3" t="s">
        <v>15</v>
      </c>
      <c r="D14" s="3" t="s">
        <v>16</v>
      </c>
      <c r="E14" s="3" t="n">
        <v>71828.26</v>
      </c>
      <c r="F14" s="3" t="n">
        <v>12775</v>
      </c>
      <c r="G14" s="3" t="n">
        <v>0.116</v>
      </c>
      <c r="H14" s="3" t="n">
        <v>30</v>
      </c>
      <c r="I14" s="3" t="n">
        <v>81.7</v>
      </c>
      <c r="J14" s="3" t="n">
        <v>4.24</v>
      </c>
      <c r="K14" s="3" t="n">
        <v>1</v>
      </c>
      <c r="L14" s="3" t="n">
        <v>4.2</v>
      </c>
      <c r="M14" s="3" t="n">
        <v>922168.6</v>
      </c>
      <c r="N14" s="3" t="n">
        <v>107494.53</v>
      </c>
    </row>
    <row r="15" customFormat="false" ht="15" hidden="false" customHeight="true" outlineLevel="0" collapsed="false">
      <c r="A15" s="3" t="s">
        <v>22</v>
      </c>
      <c r="B15" s="4" t="n">
        <v>45689</v>
      </c>
      <c r="C15" s="3" t="s">
        <v>15</v>
      </c>
      <c r="D15" s="3" t="s">
        <v>16</v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</row>
    <row r="16" customFormat="false" ht="15" hidden="false" customHeight="true" outlineLevel="0" collapsed="false">
      <c r="A16" s="3" t="s">
        <v>22</v>
      </c>
      <c r="B16" s="4" t="n">
        <v>45717</v>
      </c>
      <c r="C16" s="3" t="s">
        <v>15</v>
      </c>
      <c r="D16" s="3" t="s">
        <v>16</v>
      </c>
      <c r="E16" s="3" t="n">
        <v>59909.51</v>
      </c>
      <c r="F16" s="3" t="n">
        <v>8895</v>
      </c>
      <c r="G16" s="3" t="n">
        <v>0.228</v>
      </c>
      <c r="H16" s="3" t="n">
        <v>23</v>
      </c>
      <c r="I16" s="3" t="n">
        <v>88.8</v>
      </c>
      <c r="J16" s="3" t="n">
        <v>0.27</v>
      </c>
      <c r="K16" s="3" t="n">
        <v>0</v>
      </c>
      <c r="L16" s="3" t="n">
        <v>4.3</v>
      </c>
      <c r="M16" s="3" t="n">
        <v>746501.09</v>
      </c>
      <c r="N16" s="3" t="n">
        <v>136816.72</v>
      </c>
    </row>
    <row r="17" customFormat="false" ht="15" hidden="false" customHeight="true" outlineLevel="0" collapsed="false">
      <c r="A17" s="3" t="s">
        <v>22</v>
      </c>
      <c r="B17" s="4" t="n">
        <v>45748</v>
      </c>
      <c r="C17" s="3" t="s">
        <v>15</v>
      </c>
      <c r="D17" s="3" t="s">
        <v>16</v>
      </c>
      <c r="E17" s="3" t="n">
        <v>75305.71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</row>
    <row r="18" customFormat="false" ht="15" hidden="false" customHeight="true" outlineLevel="0" collapsed="false">
      <c r="A18" s="3" t="s">
        <v>23</v>
      </c>
      <c r="B18" s="4" t="n">
        <v>45658</v>
      </c>
      <c r="C18" s="3" t="s">
        <v>24</v>
      </c>
      <c r="D18" s="3" t="s">
        <v>16</v>
      </c>
      <c r="E18" s="3" t="n">
        <v>48804.22</v>
      </c>
      <c r="F18" s="3" t="n">
        <v>7057</v>
      </c>
      <c r="G18" s="3" t="n">
        <v>0.005</v>
      </c>
      <c r="H18" s="3" t="n">
        <v>15</v>
      </c>
      <c r="I18" s="3" t="n">
        <v>87.7</v>
      </c>
      <c r="J18" s="3" t="n">
        <v>1.22</v>
      </c>
      <c r="K18" s="3" t="n">
        <v>0</v>
      </c>
      <c r="L18" s="3" t="n">
        <v>3.7</v>
      </c>
      <c r="M18" s="3" t="n">
        <v>666152.52</v>
      </c>
      <c r="N18" s="3" t="n">
        <v>107490.58</v>
      </c>
    </row>
    <row r="19" customFormat="false" ht="15" hidden="false" customHeight="true" outlineLevel="0" collapsed="false">
      <c r="A19" s="3" t="s">
        <v>23</v>
      </c>
      <c r="B19" s="4" t="n">
        <v>45689</v>
      </c>
      <c r="C19" s="3" t="s">
        <v>24</v>
      </c>
      <c r="D19" s="3" t="s">
        <v>16</v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87.6</v>
      </c>
      <c r="J19" s="3" t="n">
        <v>4.01</v>
      </c>
      <c r="K19" s="3" t="n">
        <v>0</v>
      </c>
      <c r="L19" s="3" t="n">
        <v>3.6</v>
      </c>
      <c r="M19" s="3" t="n">
        <v>573155.19</v>
      </c>
      <c r="N19" s="3" t="n">
        <v>83680.75</v>
      </c>
    </row>
    <row r="20" customFormat="false" ht="15" hidden="false" customHeight="true" outlineLevel="0" collapsed="false">
      <c r="A20" s="3" t="s">
        <v>23</v>
      </c>
      <c r="B20" s="4" t="n">
        <v>45717</v>
      </c>
      <c r="C20" s="3" t="s">
        <v>24</v>
      </c>
      <c r="D20" s="3" t="s">
        <v>16</v>
      </c>
      <c r="E20" s="3" t="n">
        <v>78831.12</v>
      </c>
      <c r="F20" s="3" t="n">
        <v>5538</v>
      </c>
      <c r="G20" s="3" t="n">
        <v>0</v>
      </c>
      <c r="H20" s="3" t="n">
        <v>15</v>
      </c>
      <c r="I20" s="3" t="n">
        <v>94.1</v>
      </c>
      <c r="J20" s="3" t="n">
        <v>0.2</v>
      </c>
      <c r="K20" s="3" t="n">
        <v>0</v>
      </c>
      <c r="L20" s="3" t="n">
        <v>3.9</v>
      </c>
      <c r="M20" s="3" t="n">
        <v>666573.2</v>
      </c>
      <c r="N20" s="3" t="n">
        <v>140641.02</v>
      </c>
    </row>
    <row r="21" customFormat="false" ht="15" hidden="false" customHeight="true" outlineLevel="0" collapsed="false">
      <c r="A21" s="3" t="s">
        <v>23</v>
      </c>
      <c r="B21" s="4" t="n">
        <v>45748</v>
      </c>
      <c r="C21" s="3" t="s">
        <v>24</v>
      </c>
      <c r="D21" s="3" t="s">
        <v>16</v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</v>
      </c>
    </row>
    <row r="22" customFormat="false" ht="15" hidden="false" customHeight="true" outlineLevel="0" collapsed="false">
      <c r="A22" s="3" t="s">
        <v>25</v>
      </c>
      <c r="B22" s="4" t="n">
        <v>45658</v>
      </c>
      <c r="C22" s="3" t="s">
        <v>20</v>
      </c>
      <c r="D22" s="3" t="s">
        <v>16</v>
      </c>
      <c r="E22" s="3" t="n">
        <v>30356.28</v>
      </c>
      <c r="F22" s="3" t="n">
        <v>2822</v>
      </c>
      <c r="G22" s="3" t="n">
        <v>0.231</v>
      </c>
      <c r="H22" s="3" t="n">
        <v>9</v>
      </c>
      <c r="I22" s="3" t="n">
        <v>84.8</v>
      </c>
      <c r="J22" s="3" t="n">
        <v>6.95</v>
      </c>
      <c r="K22" s="3" t="n">
        <v>0</v>
      </c>
      <c r="L22" s="3" t="n">
        <v>5</v>
      </c>
      <c r="M22" s="3" t="n">
        <v>415721.82</v>
      </c>
      <c r="N22" s="3" t="n">
        <v>61179.15</v>
      </c>
    </row>
    <row r="23" customFormat="false" ht="15" hidden="false" customHeight="true" outlineLevel="0" collapsed="false">
      <c r="A23" s="3" t="s">
        <v>25</v>
      </c>
      <c r="B23" s="4" t="n">
        <v>45689</v>
      </c>
      <c r="C23" s="3" t="s">
        <v>20</v>
      </c>
      <c r="D23" s="3" t="s">
        <v>16</v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79212.26</v>
      </c>
    </row>
    <row r="24" customFormat="false" ht="15" hidden="false" customHeight="true" outlineLevel="0" collapsed="false">
      <c r="A24" s="3" t="s">
        <v>25</v>
      </c>
      <c r="B24" s="4" t="n">
        <v>45717</v>
      </c>
      <c r="C24" s="3" t="s">
        <v>20</v>
      </c>
      <c r="D24" s="3" t="s">
        <v>16</v>
      </c>
      <c r="E24" s="3" t="n">
        <v>42267.37</v>
      </c>
      <c r="F24" s="3" t="n">
        <v>3364</v>
      </c>
      <c r="G24" s="3" t="n">
        <v>0.16</v>
      </c>
      <c r="H24" s="3" t="n">
        <v>13</v>
      </c>
      <c r="I24" s="3" t="n">
        <v>82</v>
      </c>
      <c r="J24" s="3" t="n">
        <v>1.61</v>
      </c>
      <c r="K24" s="3" t="n">
        <v>1</v>
      </c>
      <c r="L24" s="3" t="n">
        <v>4.6</v>
      </c>
      <c r="M24" s="3" t="n">
        <v>555929.4</v>
      </c>
      <c r="N24" s="3" t="n">
        <v>115201.76</v>
      </c>
    </row>
    <row r="25" customFormat="false" ht="15" hidden="false" customHeight="true" outlineLevel="0" collapsed="false">
      <c r="A25" s="3" t="s">
        <v>25</v>
      </c>
      <c r="B25" s="4" t="n">
        <v>45748</v>
      </c>
      <c r="C25" s="3" t="s">
        <v>20</v>
      </c>
      <c r="D25" s="3" t="s">
        <v>16</v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92.1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</v>
      </c>
    </row>
    <row r="26" customFormat="false" ht="15" hidden="false" customHeight="true" outlineLevel="0" collapsed="false">
      <c r="A26" s="3" t="s">
        <v>26</v>
      </c>
      <c r="B26" s="4" t="n">
        <v>45658</v>
      </c>
      <c r="C26" s="3" t="s">
        <v>27</v>
      </c>
      <c r="D26" s="3" t="s">
        <v>28</v>
      </c>
      <c r="E26" s="3" t="n">
        <v>57696.69</v>
      </c>
      <c r="F26" s="3" t="n">
        <v>10218</v>
      </c>
      <c r="G26" s="3" t="n">
        <v>0.121</v>
      </c>
      <c r="H26" s="3" t="n">
        <v>25</v>
      </c>
      <c r="I26" s="3" t="n">
        <v>94.8</v>
      </c>
      <c r="J26" s="3" t="n">
        <v>2.99</v>
      </c>
      <c r="K26" s="3" t="n">
        <v>0</v>
      </c>
      <c r="L26" s="3" t="n">
        <v>3.5</v>
      </c>
      <c r="M26" s="3" t="n">
        <v>811771.14</v>
      </c>
      <c r="N26" s="3" t="n">
        <v>148756.24</v>
      </c>
    </row>
    <row r="27" customFormat="false" ht="15" hidden="false" customHeight="true" outlineLevel="0" collapsed="false">
      <c r="A27" s="3" t="s">
        <v>26</v>
      </c>
      <c r="B27" s="4" t="n">
        <v>45689</v>
      </c>
      <c r="C27" s="3" t="s">
        <v>27</v>
      </c>
      <c r="D27" s="3" t="s">
        <v>28</v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800451.94</v>
      </c>
      <c r="N27" s="3" t="n">
        <v>111572.29</v>
      </c>
    </row>
    <row r="28" customFormat="false" ht="15" hidden="false" customHeight="true" outlineLevel="0" collapsed="false">
      <c r="A28" s="3" t="s">
        <v>26</v>
      </c>
      <c r="B28" s="4" t="n">
        <v>45717</v>
      </c>
      <c r="C28" s="3" t="s">
        <v>27</v>
      </c>
      <c r="D28" s="3" t="s">
        <v>28</v>
      </c>
      <c r="E28" s="3" t="n">
        <v>55270.52</v>
      </c>
      <c r="F28" s="3" t="n">
        <v>9315</v>
      </c>
      <c r="G28" s="3" t="n">
        <v>0.169</v>
      </c>
      <c r="H28" s="3" t="n">
        <v>23</v>
      </c>
      <c r="I28" s="3" t="n">
        <v>91.9</v>
      </c>
      <c r="J28" s="3" t="n">
        <v>4.94</v>
      </c>
      <c r="K28" s="3" t="n">
        <v>0</v>
      </c>
      <c r="L28" s="3" t="n">
        <v>4</v>
      </c>
      <c r="M28" s="3" t="n">
        <v>783672.82</v>
      </c>
      <c r="N28" s="3" t="n">
        <v>112577.14</v>
      </c>
    </row>
    <row r="29" customFormat="false" ht="15" hidden="false" customHeight="true" outlineLevel="0" collapsed="false">
      <c r="A29" s="3" t="s">
        <v>26</v>
      </c>
      <c r="B29" s="4" t="n">
        <v>45748</v>
      </c>
      <c r="C29" s="3" t="s">
        <v>27</v>
      </c>
      <c r="D29" s="3" t="s">
        <v>28</v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</row>
    <row r="30" customFormat="false" ht="15" hidden="false" customHeight="true" outlineLevel="0" collapsed="false">
      <c r="A30" s="3" t="s">
        <v>29</v>
      </c>
      <c r="B30" s="4" t="n">
        <v>45658</v>
      </c>
      <c r="C30" s="3" t="s">
        <v>15</v>
      </c>
      <c r="D30" s="3" t="s">
        <v>16</v>
      </c>
      <c r="E30" s="3" t="n">
        <v>68600.62</v>
      </c>
      <c r="F30" s="3" t="n">
        <v>3988</v>
      </c>
      <c r="G30" s="3" t="n">
        <v>0.124</v>
      </c>
      <c r="H30" s="3" t="n">
        <v>11</v>
      </c>
      <c r="I30" s="3" t="n">
        <v>85</v>
      </c>
      <c r="J30" s="3" t="n">
        <v>0.48</v>
      </c>
      <c r="K30" s="3" t="n">
        <v>0</v>
      </c>
      <c r="L30" s="3" t="n">
        <v>3.6</v>
      </c>
      <c r="M30" s="3" t="n">
        <v>511844.41</v>
      </c>
      <c r="N30" s="3" t="n">
        <v>72774.44</v>
      </c>
    </row>
    <row r="31" customFormat="false" ht="15" hidden="false" customHeight="true" outlineLevel="0" collapsed="false">
      <c r="A31" s="3" t="s">
        <v>29</v>
      </c>
      <c r="B31" s="4" t="n">
        <v>45689</v>
      </c>
      <c r="C31" s="3" t="s">
        <v>15</v>
      </c>
      <c r="D31" s="3" t="s">
        <v>16</v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</row>
    <row r="32" customFormat="false" ht="15" hidden="false" customHeight="true" outlineLevel="0" collapsed="false">
      <c r="A32" s="3" t="s">
        <v>29</v>
      </c>
      <c r="B32" s="4" t="n">
        <v>45717</v>
      </c>
      <c r="C32" s="3" t="s">
        <v>15</v>
      </c>
      <c r="D32" s="3" t="s">
        <v>16</v>
      </c>
      <c r="E32" s="3" t="n">
        <v>44970.08</v>
      </c>
      <c r="F32" s="3" t="n">
        <v>2471</v>
      </c>
      <c r="G32" s="3" t="n">
        <v>0.136</v>
      </c>
      <c r="H32" s="3" t="n">
        <v>11</v>
      </c>
      <c r="I32" s="3" t="n">
        <v>87.6</v>
      </c>
      <c r="J32" s="3" t="n">
        <v>3.01</v>
      </c>
      <c r="K32" s="3" t="n">
        <v>1</v>
      </c>
      <c r="L32" s="3" t="n">
        <v>3.7</v>
      </c>
      <c r="M32" s="3" t="n">
        <v>500173.02</v>
      </c>
      <c r="N32" s="3" t="n">
        <v>70982.05</v>
      </c>
    </row>
    <row r="33" customFormat="false" ht="15" hidden="false" customHeight="true" outlineLevel="0" collapsed="false">
      <c r="A33" s="3" t="s">
        <v>29</v>
      </c>
      <c r="B33" s="4" t="n">
        <v>45748</v>
      </c>
      <c r="C33" s="3" t="s">
        <v>15</v>
      </c>
      <c r="D33" s="3" t="s">
        <v>16</v>
      </c>
      <c r="E33" s="3" t="n">
        <v>69816.35</v>
      </c>
      <c r="F33" s="3" t="n">
        <v>971</v>
      </c>
      <c r="G33" s="3" t="n">
        <v>0.168</v>
      </c>
      <c r="H33" s="3" t="n">
        <v>5</v>
      </c>
      <c r="I33" s="3" t="n">
        <v>89.9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</row>
    <row r="34" customFormat="false" ht="15" hidden="false" customHeight="true" outlineLevel="0" collapsed="false">
      <c r="A34" s="3" t="s">
        <v>30</v>
      </c>
      <c r="B34" s="4" t="n">
        <v>45658</v>
      </c>
      <c r="C34" s="3" t="s">
        <v>20</v>
      </c>
      <c r="D34" s="3" t="s">
        <v>16</v>
      </c>
      <c r="E34" s="3" t="n">
        <v>54597.83</v>
      </c>
      <c r="F34" s="3" t="n">
        <v>9429</v>
      </c>
      <c r="G34" s="3" t="n">
        <v>0.188</v>
      </c>
      <c r="H34" s="3" t="n">
        <v>21</v>
      </c>
      <c r="I34" s="3" t="n">
        <v>83.3</v>
      </c>
      <c r="J34" s="3" t="n">
        <v>11.71</v>
      </c>
      <c r="K34" s="3" t="n">
        <v>0</v>
      </c>
      <c r="L34" s="3" t="n">
        <v>4.2</v>
      </c>
      <c r="M34" s="3" t="n">
        <v>641865.03</v>
      </c>
      <c r="N34" s="3" t="n">
        <v>81342.58</v>
      </c>
    </row>
    <row r="35" customFormat="false" ht="15" hidden="false" customHeight="true" outlineLevel="0" collapsed="false">
      <c r="A35" s="3" t="s">
        <v>30</v>
      </c>
      <c r="B35" s="4" t="n">
        <v>45689</v>
      </c>
      <c r="C35" s="3" t="s">
        <v>20</v>
      </c>
      <c r="D35" s="3" t="s">
        <v>16</v>
      </c>
      <c r="E35" s="3" t="n">
        <v>73771.91</v>
      </c>
      <c r="F35" s="3" t="n">
        <v>11695</v>
      </c>
      <c r="G35" s="3" t="n">
        <v>0.07</v>
      </c>
      <c r="H35" s="3" t="n">
        <v>25</v>
      </c>
      <c r="I35" s="3" t="n">
        <v>84.7</v>
      </c>
      <c r="J35" s="3" t="n">
        <v>0.62</v>
      </c>
      <c r="K35" s="3" t="n">
        <v>0</v>
      </c>
      <c r="L35" s="3"/>
      <c r="M35" s="3" t="n">
        <v>799477.76</v>
      </c>
      <c r="N35" s="3" t="n">
        <v>164974.41</v>
      </c>
    </row>
    <row r="36" customFormat="false" ht="15" hidden="false" customHeight="true" outlineLevel="0" collapsed="false">
      <c r="A36" s="3" t="s">
        <v>30</v>
      </c>
      <c r="B36" s="4" t="n">
        <v>45717</v>
      </c>
      <c r="C36" s="3" t="s">
        <v>20</v>
      </c>
      <c r="D36" s="3" t="s">
        <v>16</v>
      </c>
      <c r="E36" s="3" t="n">
        <v>74413.88</v>
      </c>
      <c r="F36" s="3" t="n">
        <v>9449</v>
      </c>
      <c r="G36" s="3" t="n">
        <v>0.039</v>
      </c>
      <c r="H36" s="3" t="n">
        <v>23</v>
      </c>
      <c r="I36" s="3" t="n">
        <v>92.1</v>
      </c>
      <c r="J36" s="3" t="n">
        <v>2.12</v>
      </c>
      <c r="K36" s="3" t="n">
        <v>0</v>
      </c>
      <c r="L36" s="3" t="n">
        <v>3.5</v>
      </c>
      <c r="M36" s="3" t="n">
        <v>798952.17</v>
      </c>
      <c r="N36" s="3" t="n">
        <v>161499.04</v>
      </c>
    </row>
    <row r="37" customFormat="false" ht="15" hidden="false" customHeight="true" outlineLevel="0" collapsed="false">
      <c r="A37" s="3" t="s">
        <v>30</v>
      </c>
      <c r="B37" s="4" t="n">
        <v>45748</v>
      </c>
      <c r="C37" s="3" t="s">
        <v>20</v>
      </c>
      <c r="D37" s="3" t="s">
        <v>16</v>
      </c>
      <c r="E37" s="3" t="n">
        <v>52483.77</v>
      </c>
      <c r="F37" s="3" t="n">
        <v>10453</v>
      </c>
      <c r="G37" s="3" t="n">
        <v>0.247</v>
      </c>
      <c r="H37" s="3" t="n">
        <v>25</v>
      </c>
      <c r="I37" s="3" t="n">
        <v>99</v>
      </c>
      <c r="J37" s="3" t="n">
        <v>6.31</v>
      </c>
      <c r="K37" s="3" t="n">
        <v>0</v>
      </c>
      <c r="L37" s="3" t="n">
        <v>3.6</v>
      </c>
      <c r="M37" s="3" t="n">
        <v>800979.78</v>
      </c>
      <c r="N37" s="3" t="n">
        <v>149242.27</v>
      </c>
    </row>
    <row r="38" customFormat="false" ht="15" hidden="false" customHeight="true" outlineLevel="0" collapsed="false">
      <c r="A38" s="3" t="s">
        <v>31</v>
      </c>
      <c r="B38" s="4" t="n">
        <v>45658</v>
      </c>
      <c r="C38" s="3" t="s">
        <v>20</v>
      </c>
      <c r="D38" s="3" t="s">
        <v>28</v>
      </c>
      <c r="E38" s="3" t="n">
        <v>75269.87</v>
      </c>
      <c r="F38" s="3" t="n">
        <v>8838</v>
      </c>
      <c r="G38" s="3" t="n">
        <v>0.092</v>
      </c>
      <c r="H38" s="3" t="n">
        <v>21</v>
      </c>
      <c r="I38" s="3" t="n">
        <v>83.1</v>
      </c>
      <c r="J38" s="3" t="n">
        <v>9.56</v>
      </c>
      <c r="K38" s="3" t="n">
        <v>1</v>
      </c>
      <c r="L38" s="3" t="n">
        <v>4.2</v>
      </c>
      <c r="M38" s="3" t="n">
        <v>820593.93</v>
      </c>
      <c r="N38" s="3" t="n">
        <v>115860.06</v>
      </c>
    </row>
    <row r="39" customFormat="false" ht="15" hidden="false" customHeight="true" outlineLevel="0" collapsed="false">
      <c r="A39" s="3" t="s">
        <v>31</v>
      </c>
      <c r="B39" s="4" t="n">
        <v>45689</v>
      </c>
      <c r="C39" s="3" t="s">
        <v>20</v>
      </c>
      <c r="D39" s="3" t="s">
        <v>28</v>
      </c>
      <c r="E39" s="3" t="n">
        <v>61245.41</v>
      </c>
      <c r="F39" s="3" t="n">
        <v>8156</v>
      </c>
      <c r="G39" s="3" t="n">
        <v>0.156</v>
      </c>
      <c r="H39" s="3" t="n">
        <v>19</v>
      </c>
      <c r="I39" s="3" t="n">
        <v>92.9</v>
      </c>
      <c r="J39" s="3" t="n">
        <v>9.05</v>
      </c>
      <c r="K39" s="3" t="n">
        <v>0</v>
      </c>
      <c r="L39" s="3" t="n">
        <v>3.8</v>
      </c>
      <c r="M39" s="3" t="n">
        <v>718330.53</v>
      </c>
      <c r="N39" s="3" t="n">
        <v>93247.9</v>
      </c>
    </row>
    <row r="40" customFormat="false" ht="15" hidden="false" customHeight="true" outlineLevel="0" collapsed="false">
      <c r="A40" s="3" t="s">
        <v>31</v>
      </c>
      <c r="B40" s="4" t="n">
        <v>45717</v>
      </c>
      <c r="C40" s="3" t="s">
        <v>20</v>
      </c>
      <c r="D40" s="3" t="s">
        <v>28</v>
      </c>
      <c r="E40" s="3" t="n">
        <v>93381.26</v>
      </c>
      <c r="F40" s="3" t="n">
        <v>7562</v>
      </c>
      <c r="G40" s="3" t="n">
        <v>0.198</v>
      </c>
      <c r="H40" s="3" t="n">
        <v>19</v>
      </c>
      <c r="I40" s="3" t="n">
        <v>82.9</v>
      </c>
      <c r="J40" s="3" t="n">
        <v>5.05</v>
      </c>
      <c r="K40" s="3" t="n">
        <v>0</v>
      </c>
      <c r="L40" s="3" t="n">
        <v>4</v>
      </c>
      <c r="M40" s="3" t="n">
        <v>736633.4</v>
      </c>
      <c r="N40" s="3" t="n">
        <v>115654.66</v>
      </c>
    </row>
    <row r="41" customFormat="false" ht="15" hidden="false" customHeight="true" outlineLevel="0" collapsed="false">
      <c r="A41" s="3" t="s">
        <v>31</v>
      </c>
      <c r="B41" s="4" t="n">
        <v>45748</v>
      </c>
      <c r="C41" s="3" t="s">
        <v>20</v>
      </c>
      <c r="D41" s="3" t="s">
        <v>28</v>
      </c>
      <c r="E41" s="3" t="n">
        <v>65012.19</v>
      </c>
      <c r="F41" s="3" t="n">
        <v>9598</v>
      </c>
      <c r="G41" s="3" t="n">
        <v>0.085</v>
      </c>
      <c r="H41" s="3" t="n">
        <v>24</v>
      </c>
      <c r="I41" s="3" t="n">
        <v>98.3</v>
      </c>
      <c r="J41" s="3" t="n">
        <v>0.89</v>
      </c>
      <c r="K41" s="3" t="n">
        <v>0</v>
      </c>
      <c r="L41" s="3" t="n">
        <v>3.8</v>
      </c>
      <c r="M41" s="3" t="n">
        <v>828623.85</v>
      </c>
      <c r="N41" s="3" t="n">
        <v>167320.52</v>
      </c>
    </row>
    <row r="42" customFormat="false" ht="15" hidden="false" customHeight="true" outlineLevel="0" collapsed="false">
      <c r="A42" s="3" t="s">
        <v>32</v>
      </c>
      <c r="B42" s="4" t="n">
        <v>45658</v>
      </c>
      <c r="C42" s="3" t="s">
        <v>15</v>
      </c>
      <c r="D42" s="3" t="s">
        <v>28</v>
      </c>
      <c r="E42" s="3" t="n">
        <v>40462.94</v>
      </c>
      <c r="F42" s="3" t="n">
        <v>3660</v>
      </c>
      <c r="G42" s="3" t="n">
        <v>0.218</v>
      </c>
      <c r="H42" s="3" t="n">
        <v>11</v>
      </c>
      <c r="I42" s="3" t="n">
        <v>95.2</v>
      </c>
      <c r="J42" s="3" t="n">
        <v>5.57</v>
      </c>
      <c r="K42" s="3" t="n">
        <v>0</v>
      </c>
      <c r="L42" s="3" t="n">
        <v>4.4</v>
      </c>
      <c r="M42" s="3" t="n">
        <v>592195.85</v>
      </c>
      <c r="N42" s="3" t="n">
        <v>92291.56</v>
      </c>
    </row>
    <row r="43" customFormat="false" ht="15" hidden="false" customHeight="true" outlineLevel="0" collapsed="false">
      <c r="A43" s="3" t="s">
        <v>32</v>
      </c>
      <c r="B43" s="4" t="n">
        <v>45689</v>
      </c>
      <c r="C43" s="3" t="s">
        <v>15</v>
      </c>
      <c r="D43" s="3" t="s">
        <v>28</v>
      </c>
      <c r="E43" s="3" t="n">
        <v>46123.88</v>
      </c>
      <c r="F43" s="3" t="n">
        <v>3227</v>
      </c>
      <c r="G43" s="3" t="n">
        <v>0.143</v>
      </c>
      <c r="H43" s="3" t="n">
        <v>10</v>
      </c>
      <c r="I43" s="3" t="n">
        <v>75.4</v>
      </c>
      <c r="J43" s="3" t="n">
        <v>1.06</v>
      </c>
      <c r="K43" s="3" t="n">
        <v>0</v>
      </c>
      <c r="L43" s="3" t="n">
        <v>4.4</v>
      </c>
      <c r="M43" s="3" t="n">
        <v>532644.46</v>
      </c>
      <c r="N43" s="3" t="n">
        <v>60681.32</v>
      </c>
    </row>
    <row r="44" customFormat="false" ht="15" hidden="false" customHeight="true" outlineLevel="0" collapsed="false">
      <c r="A44" s="3" t="s">
        <v>32</v>
      </c>
      <c r="B44" s="4" t="n">
        <v>45717</v>
      </c>
      <c r="C44" s="3" t="s">
        <v>15</v>
      </c>
      <c r="D44" s="3" t="s">
        <v>28</v>
      </c>
      <c r="E44" s="3" t="n">
        <v>68077.54</v>
      </c>
      <c r="F44" s="3" t="n">
        <v>3360</v>
      </c>
      <c r="G44" s="3" t="n">
        <v>0.128</v>
      </c>
      <c r="H44" s="3" t="n">
        <v>14</v>
      </c>
      <c r="I44" s="3" t="n">
        <v>88.2</v>
      </c>
      <c r="J44" s="3" t="n">
        <v>1.24</v>
      </c>
      <c r="K44" s="3" t="n">
        <v>1</v>
      </c>
      <c r="L44" s="3" t="n">
        <v>4</v>
      </c>
      <c r="M44" s="3" t="n">
        <v>657429.18</v>
      </c>
      <c r="N44" s="3" t="n">
        <v>88919.74</v>
      </c>
    </row>
    <row r="45" customFormat="false" ht="15" hidden="false" customHeight="true" outlineLevel="0" collapsed="false">
      <c r="A45" s="3" t="s">
        <v>32</v>
      </c>
      <c r="B45" s="4" t="n">
        <v>45748</v>
      </c>
      <c r="C45" s="3" t="s">
        <v>15</v>
      </c>
      <c r="D45" s="3" t="s">
        <v>28</v>
      </c>
      <c r="E45" s="3" t="n">
        <v>64882.14</v>
      </c>
      <c r="F45" s="3" t="n">
        <v>3642</v>
      </c>
      <c r="G45" s="3" t="n">
        <v>0.019</v>
      </c>
      <c r="H45" s="3" t="n">
        <v>13</v>
      </c>
      <c r="I45" s="3" t="n">
        <v>87.8</v>
      </c>
      <c r="J45" s="3" t="n">
        <v>4.52</v>
      </c>
      <c r="K45" s="3" t="n">
        <v>0</v>
      </c>
      <c r="L45" s="3" t="n">
        <v>4.2</v>
      </c>
      <c r="M45" s="3" t="n">
        <v>605178</v>
      </c>
      <c r="N45" s="3" t="n">
        <v>106958.74</v>
      </c>
    </row>
    <row r="46" customFormat="false" ht="15" hidden="false" customHeight="true" outlineLevel="0" collapsed="false">
      <c r="A46" s="3" t="s">
        <v>33</v>
      </c>
      <c r="B46" s="4" t="n">
        <v>45658</v>
      </c>
      <c r="C46" s="3" t="s">
        <v>27</v>
      </c>
      <c r="D46" s="3" t="s">
        <v>16</v>
      </c>
      <c r="E46" s="3" t="n">
        <v>138855.51</v>
      </c>
      <c r="F46" s="3" t="n">
        <v>5145</v>
      </c>
      <c r="G46" s="3" t="n">
        <v>0.06</v>
      </c>
      <c r="H46" s="3" t="n">
        <v>17</v>
      </c>
      <c r="I46" s="3" t="n">
        <v>88.2</v>
      </c>
      <c r="J46" s="3" t="n">
        <v>9.58</v>
      </c>
      <c r="K46" s="3" t="n">
        <v>0</v>
      </c>
      <c r="L46" s="3" t="n">
        <v>3.2</v>
      </c>
      <c r="M46" s="3" t="n">
        <v>595467.6</v>
      </c>
      <c r="N46" s="3" t="n">
        <v>104276.46</v>
      </c>
    </row>
    <row r="47" customFormat="false" ht="15" hidden="false" customHeight="true" outlineLevel="0" collapsed="false">
      <c r="A47" s="3" t="s">
        <v>33</v>
      </c>
      <c r="B47" s="4" t="n">
        <v>45689</v>
      </c>
      <c r="C47" s="3" t="s">
        <v>27</v>
      </c>
      <c r="D47" s="3" t="s">
        <v>16</v>
      </c>
      <c r="E47" s="3" t="n">
        <v>63630.21</v>
      </c>
      <c r="F47" s="3" t="n">
        <v>4460</v>
      </c>
      <c r="G47" s="3" t="n">
        <v>0.235</v>
      </c>
      <c r="H47" s="3" t="n">
        <v>14</v>
      </c>
      <c r="I47" s="3" t="n">
        <v>98.6</v>
      </c>
      <c r="J47" s="3" t="n">
        <v>5.52</v>
      </c>
      <c r="K47" s="3" t="n">
        <v>0</v>
      </c>
      <c r="L47" s="3" t="n">
        <v>3.5</v>
      </c>
      <c r="M47" s="3" t="n">
        <v>599603.4</v>
      </c>
      <c r="N47" s="3" t="n">
        <v>112685.12</v>
      </c>
    </row>
    <row r="48" customFormat="false" ht="15" hidden="false" customHeight="true" outlineLevel="0" collapsed="false">
      <c r="A48" s="3" t="s">
        <v>33</v>
      </c>
      <c r="B48" s="4" t="n">
        <v>45717</v>
      </c>
      <c r="C48" s="3" t="s">
        <v>27</v>
      </c>
      <c r="D48" s="3" t="s">
        <v>16</v>
      </c>
      <c r="E48" s="3" t="n">
        <v>50043.65</v>
      </c>
      <c r="F48" s="3" t="n">
        <v>3804</v>
      </c>
      <c r="G48" s="3" t="n">
        <v>0.113</v>
      </c>
      <c r="H48" s="3" t="n">
        <v>11</v>
      </c>
      <c r="I48" s="3" t="n">
        <v>90.9</v>
      </c>
      <c r="J48" s="3" t="n">
        <v>2.7</v>
      </c>
      <c r="K48" s="3" t="n">
        <v>1</v>
      </c>
      <c r="L48" s="3" t="n">
        <v>3.2</v>
      </c>
      <c r="M48" s="3" t="n">
        <v>614800.09</v>
      </c>
      <c r="N48" s="3" t="n">
        <v>100044.2</v>
      </c>
    </row>
    <row r="49" customFormat="false" ht="15" hidden="false" customHeight="true" outlineLevel="0" collapsed="false">
      <c r="A49" s="3" t="s">
        <v>33</v>
      </c>
      <c r="B49" s="4" t="n">
        <v>45748</v>
      </c>
      <c r="C49" s="3" t="s">
        <v>27</v>
      </c>
      <c r="D49" s="3" t="s">
        <v>16</v>
      </c>
      <c r="E49" s="3" t="n">
        <v>42093.84</v>
      </c>
      <c r="F49" s="3" t="n">
        <v>4074</v>
      </c>
      <c r="G49" s="3" t="n">
        <v>0.155</v>
      </c>
      <c r="H49" s="3" t="n">
        <v>15</v>
      </c>
      <c r="I49" s="3" t="n">
        <v>88</v>
      </c>
      <c r="J49" s="3" t="n">
        <v>9.64</v>
      </c>
      <c r="K49" s="3" t="n">
        <v>0</v>
      </c>
      <c r="L49" s="3" t="n">
        <v>3.3</v>
      </c>
      <c r="M49" s="3" t="n">
        <v>585365.73</v>
      </c>
      <c r="N49" s="3" t="n">
        <v>81011.52</v>
      </c>
    </row>
    <row r="50" customFormat="false" ht="15" hidden="false" customHeight="true" outlineLevel="0" collapsed="false">
      <c r="A50" s="3" t="s">
        <v>34</v>
      </c>
      <c r="B50" s="4" t="n">
        <v>45658</v>
      </c>
      <c r="C50" s="3" t="s">
        <v>20</v>
      </c>
      <c r="D50" s="3" t="s">
        <v>28</v>
      </c>
      <c r="E50" s="3" t="n">
        <v>46624.05</v>
      </c>
      <c r="F50" s="3" t="n">
        <v>5104</v>
      </c>
      <c r="G50" s="3" t="n">
        <v>0.109</v>
      </c>
      <c r="H50" s="3" t="n">
        <v>11</v>
      </c>
      <c r="I50" s="3" t="n">
        <v>97.3</v>
      </c>
      <c r="J50" s="3" t="n">
        <v>3.49</v>
      </c>
      <c r="K50" s="3" t="n">
        <v>1</v>
      </c>
      <c r="L50" s="3" t="n">
        <v>4.7</v>
      </c>
      <c r="M50" s="3" t="n">
        <v>622811.74</v>
      </c>
      <c r="N50" s="3" t="n">
        <v>109978.35</v>
      </c>
    </row>
    <row r="51" customFormat="false" ht="15" hidden="false" customHeight="true" outlineLevel="0" collapsed="false">
      <c r="A51" s="3" t="s">
        <v>34</v>
      </c>
      <c r="B51" s="4" t="n">
        <v>45689</v>
      </c>
      <c r="C51" s="3" t="s">
        <v>20</v>
      </c>
      <c r="D51" s="3" t="s">
        <v>28</v>
      </c>
      <c r="E51" s="3" t="n">
        <v>49710.29</v>
      </c>
      <c r="F51" s="3" t="n">
        <v>5559</v>
      </c>
      <c r="G51" s="3" t="n">
        <v>0.218</v>
      </c>
      <c r="H51" s="3" t="n">
        <v>14</v>
      </c>
      <c r="I51" s="3" t="n">
        <v>71</v>
      </c>
      <c r="J51" s="3" t="n">
        <v>9.11</v>
      </c>
      <c r="K51" s="3" t="n">
        <v>0</v>
      </c>
      <c r="L51" s="3" t="n">
        <v>4.6</v>
      </c>
      <c r="M51" s="3" t="n">
        <v>603297.57</v>
      </c>
      <c r="N51" s="3" t="n">
        <v>60592.26</v>
      </c>
    </row>
    <row r="52" customFormat="false" ht="15" hidden="false" customHeight="true" outlineLevel="0" collapsed="false">
      <c r="A52" s="3" t="s">
        <v>34</v>
      </c>
      <c r="B52" s="4" t="n">
        <v>45717</v>
      </c>
      <c r="C52" s="3" t="s">
        <v>20</v>
      </c>
      <c r="D52" s="3" t="s">
        <v>28</v>
      </c>
      <c r="E52" s="3" t="n">
        <v>48287.85</v>
      </c>
      <c r="F52" s="3" t="n">
        <v>5150</v>
      </c>
      <c r="G52" s="3" t="n">
        <v>0.008</v>
      </c>
      <c r="H52" s="3" t="n">
        <v>12</v>
      </c>
      <c r="I52" s="3" t="n">
        <v>80.4</v>
      </c>
      <c r="J52" s="3" t="n">
        <v>7.4</v>
      </c>
      <c r="K52" s="3" t="n">
        <v>0</v>
      </c>
      <c r="L52" s="3" t="n">
        <v>4.5</v>
      </c>
      <c r="M52" s="3" t="n">
        <v>625672.86</v>
      </c>
      <c r="N52" s="3" t="n">
        <v>118020.12</v>
      </c>
    </row>
    <row r="53" customFormat="false" ht="15" hidden="false" customHeight="true" outlineLevel="0" collapsed="false">
      <c r="A53" s="3" t="s">
        <v>34</v>
      </c>
      <c r="B53" s="4" t="n">
        <v>45748</v>
      </c>
      <c r="C53" s="3" t="s">
        <v>20</v>
      </c>
      <c r="D53" s="3" t="s">
        <v>28</v>
      </c>
      <c r="E53" s="3" t="n">
        <v>65312.49</v>
      </c>
      <c r="F53" s="3" t="n">
        <v>7189</v>
      </c>
      <c r="G53" s="3" t="n">
        <v>0.05</v>
      </c>
      <c r="H53" s="3" t="n">
        <v>19</v>
      </c>
      <c r="I53" s="3" t="n">
        <v>93.7</v>
      </c>
      <c r="J53" s="3" t="n">
        <v>7.16</v>
      </c>
      <c r="K53" s="3" t="n">
        <v>0</v>
      </c>
      <c r="L53" s="3" t="n">
        <v>4.6</v>
      </c>
      <c r="M53" s="3" t="n">
        <v>773815.14</v>
      </c>
      <c r="N53" s="3" t="n">
        <v>133948.39</v>
      </c>
    </row>
    <row r="54" customFormat="false" ht="15" hidden="false" customHeight="true" outlineLevel="0" collapsed="false">
      <c r="A54" s="3" t="s">
        <v>35</v>
      </c>
      <c r="B54" s="4" t="n">
        <v>45658</v>
      </c>
      <c r="C54" s="3" t="s">
        <v>27</v>
      </c>
      <c r="D54" s="3" t="s">
        <v>18</v>
      </c>
      <c r="E54" s="3" t="n">
        <v>53015.46</v>
      </c>
      <c r="F54" s="3" t="n">
        <v>3279</v>
      </c>
      <c r="G54" s="3" t="n">
        <v>0.087</v>
      </c>
      <c r="H54" s="3" t="n">
        <v>9</v>
      </c>
      <c r="I54" s="3" t="n">
        <v>84.3</v>
      </c>
      <c r="J54" s="3" t="n">
        <v>22.02</v>
      </c>
      <c r="K54" s="3" t="n">
        <v>0</v>
      </c>
      <c r="L54" s="3" t="n">
        <v>3.9</v>
      </c>
      <c r="M54" s="3" t="n">
        <v>463534.25</v>
      </c>
      <c r="N54" s="3" t="n">
        <v>81834.54</v>
      </c>
    </row>
    <row r="55" customFormat="false" ht="15" hidden="false" customHeight="true" outlineLevel="0" collapsed="false">
      <c r="A55" s="3" t="s">
        <v>35</v>
      </c>
      <c r="B55" s="4" t="n">
        <v>45689</v>
      </c>
      <c r="C55" s="3" t="s">
        <v>27</v>
      </c>
      <c r="D55" s="3" t="s">
        <v>18</v>
      </c>
      <c r="E55" s="3" t="n">
        <v>99874.01</v>
      </c>
      <c r="F55" s="3" t="n">
        <v>5887</v>
      </c>
      <c r="G55" s="3" t="n">
        <v>0.262</v>
      </c>
      <c r="H55" s="3" t="n">
        <v>14</v>
      </c>
      <c r="I55" s="3" t="n">
        <v>88.7</v>
      </c>
      <c r="J55" s="3" t="n">
        <v>6.18</v>
      </c>
      <c r="K55" s="3" t="n">
        <v>0</v>
      </c>
      <c r="L55" s="3" t="n">
        <v>4.7</v>
      </c>
      <c r="M55" s="3" t="n">
        <v>746677.75</v>
      </c>
      <c r="N55" s="3" t="n">
        <v>122437.84</v>
      </c>
    </row>
    <row r="56" customFormat="false" ht="15" hidden="false" customHeight="true" outlineLevel="0" collapsed="false">
      <c r="A56" s="3" t="s">
        <v>35</v>
      </c>
      <c r="B56" s="4" t="n">
        <v>45717</v>
      </c>
      <c r="C56" s="3" t="s">
        <v>27</v>
      </c>
      <c r="D56" s="3" t="s">
        <v>18</v>
      </c>
      <c r="E56" s="3" t="n">
        <v>81195.5</v>
      </c>
      <c r="F56" s="3" t="n">
        <v>5516</v>
      </c>
      <c r="G56" s="3" t="n">
        <v>0.106</v>
      </c>
      <c r="H56" s="3" t="n">
        <v>14</v>
      </c>
      <c r="I56" s="3" t="n">
        <v>88</v>
      </c>
      <c r="J56" s="3" t="n">
        <v>1.76</v>
      </c>
      <c r="K56" s="3" t="n">
        <v>0</v>
      </c>
      <c r="L56" s="3" t="n">
        <v>4.3</v>
      </c>
      <c r="M56" s="3" t="n">
        <v>720852.5</v>
      </c>
      <c r="N56" s="3" t="n">
        <v>98565.62</v>
      </c>
    </row>
    <row r="57" customFormat="false" ht="15" hidden="false" customHeight="true" outlineLevel="0" collapsed="false">
      <c r="A57" s="3" t="s">
        <v>35</v>
      </c>
      <c r="B57" s="4" t="n">
        <v>45748</v>
      </c>
      <c r="C57" s="3" t="s">
        <v>27</v>
      </c>
      <c r="D57" s="3" t="s">
        <v>18</v>
      </c>
      <c r="E57" s="3" t="n">
        <v>27808.6</v>
      </c>
      <c r="F57" s="3" t="n">
        <v>2863</v>
      </c>
      <c r="G57" s="3" t="n">
        <v>0.08</v>
      </c>
      <c r="H57" s="3" t="n">
        <v>13</v>
      </c>
      <c r="I57" s="3" t="n">
        <v>89.3</v>
      </c>
      <c r="J57" s="3" t="n">
        <v>0.47</v>
      </c>
      <c r="K57" s="3" t="n">
        <v>0</v>
      </c>
      <c r="L57" s="3" t="n">
        <v>4.1</v>
      </c>
      <c r="M57" s="3" t="n">
        <v>487464.91</v>
      </c>
      <c r="N57" s="3" t="n">
        <v>64562.26</v>
      </c>
    </row>
    <row r="58" customFormat="false" ht="15" hidden="false" customHeight="true" outlineLevel="0" collapsed="false">
      <c r="A58" s="3" t="s">
        <v>36</v>
      </c>
      <c r="B58" s="4" t="n">
        <v>45658</v>
      </c>
      <c r="C58" s="3" t="s">
        <v>15</v>
      </c>
      <c r="D58" s="3" t="s">
        <v>21</v>
      </c>
      <c r="E58" s="3" t="n">
        <v>19365.06</v>
      </c>
      <c r="F58" s="3" t="n">
        <v>2378</v>
      </c>
      <c r="G58" s="3" t="n">
        <v>0</v>
      </c>
      <c r="H58" s="3" t="n">
        <v>12</v>
      </c>
      <c r="I58" s="3" t="n">
        <v>94.8</v>
      </c>
      <c r="J58" s="3" t="n">
        <v>0.2</v>
      </c>
      <c r="K58" s="3" t="n">
        <v>0</v>
      </c>
      <c r="L58" s="3" t="n">
        <v>3.5</v>
      </c>
      <c r="M58" s="3" t="n">
        <v>518049.26</v>
      </c>
      <c r="N58" s="3" t="n">
        <v>108592.49</v>
      </c>
    </row>
    <row r="59" customFormat="false" ht="15" hidden="false" customHeight="true" outlineLevel="0" collapsed="false">
      <c r="A59" s="3" t="s">
        <v>36</v>
      </c>
      <c r="B59" s="4" t="n">
        <v>45689</v>
      </c>
      <c r="C59" s="3" t="s">
        <v>15</v>
      </c>
      <c r="D59" s="3" t="s">
        <v>21</v>
      </c>
      <c r="E59" s="3" t="n">
        <v>59405.68</v>
      </c>
      <c r="F59" s="3" t="n">
        <v>2515</v>
      </c>
      <c r="G59" s="3" t="n">
        <v>0.039</v>
      </c>
      <c r="H59" s="3" t="n">
        <v>12</v>
      </c>
      <c r="I59" s="3" t="n">
        <v>76</v>
      </c>
      <c r="J59" s="3" t="n">
        <v>5.11</v>
      </c>
      <c r="K59" s="3" t="n">
        <v>0</v>
      </c>
      <c r="L59" s="3" t="n">
        <v>3.7</v>
      </c>
      <c r="M59" s="3" t="n">
        <v>500298.48</v>
      </c>
      <c r="N59" s="3" t="n">
        <v>73461.32</v>
      </c>
    </row>
    <row r="60" customFormat="false" ht="15" hidden="false" customHeight="true" outlineLevel="0" collapsed="false">
      <c r="A60" s="3" t="s">
        <v>36</v>
      </c>
      <c r="B60" s="4" t="n">
        <v>45717</v>
      </c>
      <c r="C60" s="3" t="s">
        <v>15</v>
      </c>
      <c r="D60" s="3" t="s">
        <v>21</v>
      </c>
      <c r="E60" s="3" t="n">
        <v>118910.48</v>
      </c>
      <c r="F60" s="3" t="n">
        <v>4022</v>
      </c>
      <c r="G60" s="3" t="n">
        <v>0.137</v>
      </c>
      <c r="H60" s="3" t="n">
        <v>11</v>
      </c>
      <c r="I60" s="3" t="n">
        <v>87.1</v>
      </c>
      <c r="J60" s="3" t="n">
        <v>0.2</v>
      </c>
      <c r="K60" s="3" t="n">
        <v>0</v>
      </c>
      <c r="L60" s="3" t="n">
        <v>3.1</v>
      </c>
      <c r="M60" s="3" t="n">
        <v>617291.15</v>
      </c>
      <c r="N60" s="3" t="n">
        <v>117782</v>
      </c>
    </row>
    <row r="61" customFormat="false" ht="15" hidden="false" customHeight="true" outlineLevel="0" collapsed="false">
      <c r="A61" s="3" t="s">
        <v>36</v>
      </c>
      <c r="B61" s="4" t="n">
        <v>45748</v>
      </c>
      <c r="C61" s="3" t="s">
        <v>15</v>
      </c>
      <c r="D61" s="3" t="s">
        <v>21</v>
      </c>
      <c r="E61" s="3" t="n">
        <v>52952.12</v>
      </c>
      <c r="F61" s="3" t="n">
        <v>4377</v>
      </c>
      <c r="G61" s="3" t="n">
        <v>0.092</v>
      </c>
      <c r="H61" s="3" t="n">
        <v>14</v>
      </c>
      <c r="I61" s="3" t="n">
        <v>88.6</v>
      </c>
      <c r="J61" s="3" t="n">
        <v>13.59</v>
      </c>
      <c r="K61" s="3" t="n">
        <v>0</v>
      </c>
      <c r="L61" s="3" t="n">
        <v>3.1</v>
      </c>
      <c r="M61" s="3" t="n">
        <v>553756.43</v>
      </c>
      <c r="N61" s="3" t="n">
        <v>86166.77</v>
      </c>
    </row>
    <row r="62" customFormat="false" ht="15" hidden="false" customHeight="true" outlineLevel="0" collapsed="false">
      <c r="A62" s="3" t="s">
        <v>37</v>
      </c>
      <c r="B62" s="4" t="n">
        <v>45658</v>
      </c>
      <c r="C62" s="3" t="s">
        <v>24</v>
      </c>
      <c r="D62" s="3" t="s">
        <v>18</v>
      </c>
      <c r="E62" s="3" t="n">
        <v>74907.98</v>
      </c>
      <c r="F62" s="3" t="n">
        <v>5306</v>
      </c>
      <c r="G62" s="3" t="n">
        <v>0.062</v>
      </c>
      <c r="H62" s="3" t="n">
        <v>16</v>
      </c>
      <c r="I62" s="3" t="n">
        <v>95.6</v>
      </c>
      <c r="J62" s="3" t="n">
        <v>1.02</v>
      </c>
      <c r="K62" s="3" t="n">
        <v>0</v>
      </c>
      <c r="L62" s="3" t="n">
        <v>3.7</v>
      </c>
      <c r="M62" s="3" t="n">
        <v>749559.71</v>
      </c>
      <c r="N62" s="3" t="n">
        <v>144522.53</v>
      </c>
    </row>
    <row r="63" customFormat="false" ht="15" hidden="false" customHeight="true" outlineLevel="0" collapsed="false">
      <c r="A63" s="3" t="s">
        <v>37</v>
      </c>
      <c r="B63" s="4" t="n">
        <v>45689</v>
      </c>
      <c r="C63" s="3" t="s">
        <v>24</v>
      </c>
      <c r="D63" s="3" t="s">
        <v>18</v>
      </c>
      <c r="E63" s="3" t="n">
        <v>37284.66</v>
      </c>
      <c r="F63" s="3" t="n">
        <v>3928</v>
      </c>
      <c r="G63" s="3" t="n">
        <v>0.074</v>
      </c>
      <c r="H63" s="3" t="n">
        <v>12</v>
      </c>
      <c r="I63" s="3" t="n">
        <v>86.5</v>
      </c>
      <c r="J63" s="3" t="n">
        <v>1.64</v>
      </c>
      <c r="K63" s="3" t="n">
        <v>0</v>
      </c>
      <c r="L63" s="3" t="n">
        <v>3.8</v>
      </c>
      <c r="M63" s="3" t="n">
        <v>615966.48</v>
      </c>
      <c r="N63" s="3" t="n">
        <v>91509.38</v>
      </c>
    </row>
    <row r="64" customFormat="false" ht="15" hidden="false" customHeight="true" outlineLevel="0" collapsed="false">
      <c r="A64" s="3" t="s">
        <v>37</v>
      </c>
      <c r="B64" s="4" t="n">
        <v>45717</v>
      </c>
      <c r="C64" s="3" t="s">
        <v>24</v>
      </c>
      <c r="D64" s="3" t="s">
        <v>18</v>
      </c>
      <c r="E64" s="3" t="n">
        <v>50343.19</v>
      </c>
      <c r="F64" s="3" t="n">
        <v>3845</v>
      </c>
      <c r="G64" s="3" t="n">
        <v>0.113</v>
      </c>
      <c r="H64" s="3" t="n">
        <v>9</v>
      </c>
      <c r="I64" s="3" t="n">
        <v>88.7</v>
      </c>
      <c r="J64" s="3" t="n">
        <v>5.15</v>
      </c>
      <c r="K64" s="3" t="n">
        <v>0</v>
      </c>
      <c r="L64" s="3" t="n">
        <v>3.3</v>
      </c>
      <c r="M64" s="3" t="n">
        <v>572011.2</v>
      </c>
      <c r="N64" s="3" t="n">
        <v>101409.68</v>
      </c>
    </row>
    <row r="65" customFormat="false" ht="15" hidden="false" customHeight="true" outlineLevel="0" collapsed="false">
      <c r="A65" s="3" t="s">
        <v>37</v>
      </c>
      <c r="B65" s="4" t="n">
        <v>45748</v>
      </c>
      <c r="C65" s="3" t="s">
        <v>24</v>
      </c>
      <c r="D65" s="3" t="s">
        <v>18</v>
      </c>
      <c r="E65" s="3" t="n">
        <v>74954.47</v>
      </c>
      <c r="F65" s="3" t="n">
        <v>6620</v>
      </c>
      <c r="G65" s="3" t="n">
        <v>0.054</v>
      </c>
      <c r="H65" s="3" t="n">
        <v>17</v>
      </c>
      <c r="I65" s="3" t="n">
        <v>91.1</v>
      </c>
      <c r="J65" s="3" t="n">
        <v>1.11</v>
      </c>
      <c r="K65" s="3" t="n">
        <v>0</v>
      </c>
      <c r="L65" s="3" t="n">
        <v>3.5</v>
      </c>
      <c r="M65" s="3" t="n">
        <v>761860.19</v>
      </c>
      <c r="N65" s="3" t="n">
        <v>133279.38</v>
      </c>
    </row>
    <row r="66" customFormat="false" ht="15" hidden="false" customHeight="true" outlineLevel="0" collapsed="false">
      <c r="A66" s="3" t="s">
        <v>38</v>
      </c>
      <c r="B66" s="4" t="n">
        <v>45658</v>
      </c>
      <c r="C66" s="3" t="s">
        <v>27</v>
      </c>
      <c r="D66" s="3" t="s">
        <v>18</v>
      </c>
      <c r="E66" s="3" t="n">
        <v>70040.31</v>
      </c>
      <c r="F66" s="3" t="n">
        <v>9175</v>
      </c>
      <c r="G66" s="3" t="n">
        <v>0.107</v>
      </c>
      <c r="H66" s="3" t="n">
        <v>23</v>
      </c>
      <c r="I66" s="3" t="n">
        <v>95.1</v>
      </c>
      <c r="J66" s="3" t="n">
        <v>6.08</v>
      </c>
      <c r="K66" s="3" t="n">
        <v>1</v>
      </c>
      <c r="L66" s="3" t="n">
        <v>3.4</v>
      </c>
      <c r="M66" s="3" t="n">
        <v>784502.68</v>
      </c>
      <c r="N66" s="3" t="n">
        <v>129519.72</v>
      </c>
    </row>
    <row r="67" customFormat="false" ht="15" hidden="false" customHeight="true" outlineLevel="0" collapsed="false">
      <c r="A67" s="3" t="s">
        <v>38</v>
      </c>
      <c r="B67" s="4" t="n">
        <v>45689</v>
      </c>
      <c r="C67" s="3" t="s">
        <v>27</v>
      </c>
      <c r="D67" s="3" t="s">
        <v>18</v>
      </c>
      <c r="E67" s="3" t="n">
        <v>51148.69</v>
      </c>
      <c r="F67" s="3" t="n">
        <v>7940</v>
      </c>
      <c r="G67" s="3" t="n">
        <v>0.156</v>
      </c>
      <c r="H67" s="3" t="n">
        <v>18</v>
      </c>
      <c r="I67" s="3" t="n">
        <v>93.3</v>
      </c>
      <c r="J67" s="3" t="n">
        <v>10.91</v>
      </c>
      <c r="K67" s="3" t="n">
        <v>0</v>
      </c>
      <c r="L67" s="3" t="n">
        <v>3.6</v>
      </c>
      <c r="M67" s="3" t="n">
        <v>717141.55</v>
      </c>
      <c r="N67" s="3" t="n">
        <v>134013.61</v>
      </c>
    </row>
    <row r="68" customFormat="false" ht="15" hidden="false" customHeight="true" outlineLevel="0" collapsed="false">
      <c r="A68" s="3" t="s">
        <v>38</v>
      </c>
      <c r="B68" s="4" t="n">
        <v>45717</v>
      </c>
      <c r="C68" s="3" t="s">
        <v>27</v>
      </c>
      <c r="D68" s="3" t="s">
        <v>18</v>
      </c>
      <c r="E68" s="3" t="n">
        <v>79346.1</v>
      </c>
      <c r="F68" s="3" t="n">
        <v>9628</v>
      </c>
      <c r="G68" s="3" t="n">
        <v>0.102</v>
      </c>
      <c r="H68" s="3" t="n">
        <v>20</v>
      </c>
      <c r="I68" s="3" t="n">
        <v>99</v>
      </c>
      <c r="J68" s="3" t="n">
        <v>19.01</v>
      </c>
      <c r="K68" s="3" t="n">
        <v>1</v>
      </c>
      <c r="L68" s="3" t="n">
        <v>3.2</v>
      </c>
      <c r="M68" s="3" t="n">
        <v>685379.08</v>
      </c>
      <c r="N68" s="3" t="n">
        <v>106898.82</v>
      </c>
    </row>
    <row r="69" customFormat="false" ht="15" hidden="false" customHeight="true" outlineLevel="0" collapsed="false">
      <c r="A69" s="3" t="s">
        <v>38</v>
      </c>
      <c r="B69" s="4" t="n">
        <v>45748</v>
      </c>
      <c r="C69" s="3" t="s">
        <v>27</v>
      </c>
      <c r="D69" s="3" t="s">
        <v>18</v>
      </c>
      <c r="E69" s="3" t="n">
        <v>42018.4</v>
      </c>
      <c r="F69" s="3" t="n">
        <v>8296</v>
      </c>
      <c r="G69" s="3" t="n">
        <v>0.115</v>
      </c>
      <c r="H69" s="3" t="n">
        <v>17</v>
      </c>
      <c r="I69" s="3" t="n">
        <v>91.8</v>
      </c>
      <c r="J69" s="3" t="n">
        <v>0.77</v>
      </c>
      <c r="K69" s="3" t="n">
        <v>0</v>
      </c>
      <c r="L69" s="3" t="n">
        <v>3.4</v>
      </c>
      <c r="M69" s="3" t="n">
        <v>740496.65</v>
      </c>
      <c r="N69" s="3" t="n">
        <v>128020.9</v>
      </c>
    </row>
    <row r="70" customFormat="false" ht="15" hidden="false" customHeight="true" outlineLevel="0" collapsed="false">
      <c r="A70" s="3" t="s">
        <v>39</v>
      </c>
      <c r="B70" s="4" t="n">
        <v>45658</v>
      </c>
      <c r="C70" s="3" t="s">
        <v>15</v>
      </c>
      <c r="D70" s="3" t="s">
        <v>18</v>
      </c>
      <c r="E70" s="3" t="n">
        <v>70937.24</v>
      </c>
      <c r="F70" s="3" t="n">
        <v>3595</v>
      </c>
      <c r="G70" s="3" t="n">
        <v>0.141</v>
      </c>
      <c r="H70" s="3" t="n">
        <v>11</v>
      </c>
      <c r="I70" s="3" t="n">
        <v>88.9</v>
      </c>
      <c r="J70" s="3" t="n">
        <v>2.83</v>
      </c>
      <c r="K70" s="3" t="n">
        <v>1</v>
      </c>
      <c r="L70" s="3" t="n">
        <v>3.3</v>
      </c>
      <c r="M70" s="3" t="n">
        <v>661927.14</v>
      </c>
      <c r="N70" s="3" t="n">
        <v>79218.57</v>
      </c>
    </row>
    <row r="71" customFormat="false" ht="15" hidden="false" customHeight="true" outlineLevel="0" collapsed="false">
      <c r="A71" s="3" t="s">
        <v>39</v>
      </c>
      <c r="B71" s="4" t="n">
        <v>45689</v>
      </c>
      <c r="C71" s="3" t="s">
        <v>15</v>
      </c>
      <c r="D71" s="3" t="s">
        <v>18</v>
      </c>
      <c r="E71" s="3" t="n">
        <v>36813.45</v>
      </c>
      <c r="F71" s="3" t="n">
        <v>2834</v>
      </c>
      <c r="G71" s="3" t="n">
        <v>0.191</v>
      </c>
      <c r="H71" s="3" t="n">
        <v>11</v>
      </c>
      <c r="I71" s="3" t="n">
        <v>81.8</v>
      </c>
      <c r="J71" s="3" t="n">
        <v>2.33</v>
      </c>
      <c r="K71" s="3" t="n">
        <v>0</v>
      </c>
      <c r="L71" s="3" t="n">
        <v>3.3</v>
      </c>
      <c r="M71" s="3" t="n">
        <v>479050.5</v>
      </c>
      <c r="N71" s="3" t="n">
        <v>53651.11</v>
      </c>
    </row>
    <row r="72" customFormat="false" ht="15" hidden="false" customHeight="true" outlineLevel="0" collapsed="false">
      <c r="A72" s="3" t="s">
        <v>39</v>
      </c>
      <c r="B72" s="4" t="n">
        <v>45717</v>
      </c>
      <c r="C72" s="3" t="s">
        <v>15</v>
      </c>
      <c r="D72" s="3" t="s">
        <v>18</v>
      </c>
      <c r="E72" s="3" t="n">
        <v>60571.82</v>
      </c>
      <c r="F72" s="3" t="n">
        <v>3193</v>
      </c>
      <c r="G72" s="3" t="n">
        <v>0.197</v>
      </c>
      <c r="H72" s="3" t="n">
        <v>7</v>
      </c>
      <c r="I72" s="3" t="n">
        <v>99</v>
      </c>
      <c r="J72" s="3" t="n">
        <v>1.43</v>
      </c>
      <c r="K72" s="3" t="n">
        <v>0</v>
      </c>
      <c r="L72" s="3" t="n">
        <v>3.2</v>
      </c>
      <c r="M72" s="3" t="n">
        <v>605023.87</v>
      </c>
      <c r="N72" s="3" t="n">
        <v>98545.81</v>
      </c>
    </row>
    <row r="73" customFormat="false" ht="15" hidden="false" customHeight="true" outlineLevel="0" collapsed="false">
      <c r="A73" s="3" t="s">
        <v>39</v>
      </c>
      <c r="B73" s="4" t="n">
        <v>45748</v>
      </c>
      <c r="C73" s="3" t="s">
        <v>15</v>
      </c>
      <c r="D73" s="3" t="s">
        <v>18</v>
      </c>
      <c r="E73" s="3" t="n">
        <v>55081.16</v>
      </c>
      <c r="F73" s="3" t="n">
        <v>5485</v>
      </c>
      <c r="G73" s="3" t="n">
        <v>0.036</v>
      </c>
      <c r="H73" s="3" t="n">
        <v>12</v>
      </c>
      <c r="I73" s="3" t="n">
        <v>88</v>
      </c>
      <c r="J73" s="3"/>
      <c r="K73" s="3" t="n">
        <v>0</v>
      </c>
      <c r="L73" s="3" t="n">
        <v>3.5</v>
      </c>
      <c r="M73" s="3" t="n">
        <v>674774.09</v>
      </c>
      <c r="N73" s="3" t="n">
        <v>141917.59</v>
      </c>
    </row>
    <row r="74" customFormat="false" ht="15" hidden="false" customHeight="true" outlineLevel="0" collapsed="false">
      <c r="A74" s="3" t="s">
        <v>40</v>
      </c>
      <c r="B74" s="4" t="n">
        <v>45658</v>
      </c>
      <c r="C74" s="3" t="s">
        <v>15</v>
      </c>
      <c r="D74" s="3" t="s">
        <v>16</v>
      </c>
      <c r="E74" s="3" t="n">
        <v>46201.46</v>
      </c>
      <c r="F74" s="3" t="n">
        <v>5918</v>
      </c>
      <c r="G74" s="3" t="n">
        <v>0.277</v>
      </c>
      <c r="H74" s="3" t="n">
        <v>13</v>
      </c>
      <c r="I74" s="3" t="n">
        <v>78.8</v>
      </c>
      <c r="J74" s="3" t="n">
        <v>4.91</v>
      </c>
      <c r="K74" s="3" t="n">
        <v>0</v>
      </c>
      <c r="L74" s="3" t="n">
        <v>4.5</v>
      </c>
      <c r="M74" s="3" t="n">
        <v>616069.41</v>
      </c>
      <c r="N74" s="3" t="n">
        <v>54453.99</v>
      </c>
    </row>
    <row r="75" customFormat="false" ht="15" hidden="false" customHeight="true" outlineLevel="0" collapsed="false">
      <c r="A75" s="3" t="s">
        <v>40</v>
      </c>
      <c r="B75" s="4" t="n">
        <v>45689</v>
      </c>
      <c r="C75" s="3" t="s">
        <v>15</v>
      </c>
      <c r="D75" s="3" t="s">
        <v>16</v>
      </c>
      <c r="E75" s="3" t="n">
        <v>53762.92</v>
      </c>
      <c r="F75" s="3" t="n">
        <v>6821</v>
      </c>
      <c r="G75" s="3" t="n">
        <v>0.066</v>
      </c>
      <c r="H75" s="3" t="n">
        <v>19</v>
      </c>
      <c r="I75" s="3" t="n">
        <v>94.6</v>
      </c>
      <c r="J75" s="3" t="n">
        <v>7.03</v>
      </c>
      <c r="K75" s="3" t="n">
        <v>0</v>
      </c>
      <c r="L75" s="3" t="n">
        <v>4.4</v>
      </c>
      <c r="M75" s="3" t="n">
        <v>630829.94</v>
      </c>
      <c r="N75" s="3" t="n">
        <v>117090.02</v>
      </c>
    </row>
    <row r="76" customFormat="false" ht="15" hidden="false" customHeight="true" outlineLevel="0" collapsed="false">
      <c r="A76" s="3" t="s">
        <v>40</v>
      </c>
      <c r="B76" s="4" t="n">
        <v>45717</v>
      </c>
      <c r="C76" s="3" t="s">
        <v>15</v>
      </c>
      <c r="D76" s="3" t="s">
        <v>16</v>
      </c>
      <c r="E76" s="3" t="n">
        <v>70144.78</v>
      </c>
      <c r="F76" s="3" t="n">
        <v>6806</v>
      </c>
      <c r="G76" s="3" t="n">
        <v>0.178</v>
      </c>
      <c r="H76" s="3" t="n">
        <v>20</v>
      </c>
      <c r="I76" s="3" t="n">
        <v>93.1</v>
      </c>
      <c r="J76" s="3" t="n">
        <v>0.28</v>
      </c>
      <c r="K76" s="3" t="n">
        <v>1</v>
      </c>
      <c r="L76" s="3" t="n">
        <v>4.3</v>
      </c>
      <c r="M76" s="3" t="n">
        <v>788087.68</v>
      </c>
      <c r="N76" s="3" t="n">
        <v>116803.42</v>
      </c>
    </row>
    <row r="77" customFormat="false" ht="15" hidden="false" customHeight="true" outlineLevel="0" collapsed="false">
      <c r="A77" s="3" t="s">
        <v>40</v>
      </c>
      <c r="B77" s="4" t="n">
        <v>45748</v>
      </c>
      <c r="C77" s="3" t="s">
        <v>15</v>
      </c>
      <c r="D77" s="3" t="s">
        <v>16</v>
      </c>
      <c r="E77" s="3" t="n">
        <v>58749.63</v>
      </c>
      <c r="F77" s="3" t="n">
        <v>8252</v>
      </c>
      <c r="G77" s="3" t="n">
        <v>0.203</v>
      </c>
      <c r="H77" s="3" t="n">
        <v>20</v>
      </c>
      <c r="I77" s="3" t="n">
        <v>85.2</v>
      </c>
      <c r="J77" s="3" t="n">
        <v>3.61</v>
      </c>
      <c r="K77" s="3" t="n">
        <v>0</v>
      </c>
      <c r="L77" s="3" t="n">
        <v>4.5</v>
      </c>
      <c r="M77" s="3" t="n">
        <v>680840.36</v>
      </c>
      <c r="N77" s="3" t="n">
        <v>68007.68</v>
      </c>
    </row>
    <row r="78" customFormat="false" ht="15" hidden="false" customHeight="true" outlineLevel="0" collapsed="false">
      <c r="A78" s="3" t="s">
        <v>41</v>
      </c>
      <c r="B78" s="4" t="n">
        <v>45658</v>
      </c>
      <c r="C78" s="3" t="s">
        <v>24</v>
      </c>
      <c r="D78" s="3" t="s">
        <v>18</v>
      </c>
      <c r="E78" s="3" t="n">
        <v>56973.18</v>
      </c>
      <c r="F78" s="3" t="n">
        <v>6662</v>
      </c>
      <c r="G78" s="3" t="n">
        <v>0.1</v>
      </c>
      <c r="H78" s="3" t="n">
        <v>15</v>
      </c>
      <c r="I78" s="3" t="n">
        <v>77.7</v>
      </c>
      <c r="J78" s="3" t="n">
        <v>7.52</v>
      </c>
      <c r="K78" s="3" t="n">
        <v>1</v>
      </c>
      <c r="L78" s="3" t="n">
        <v>3.2</v>
      </c>
      <c r="M78" s="3" t="n">
        <v>643657.47</v>
      </c>
      <c r="N78" s="3" t="n">
        <v>87022.45</v>
      </c>
    </row>
    <row r="79" customFormat="false" ht="15" hidden="false" customHeight="true" outlineLevel="0" collapsed="false">
      <c r="A79" s="3" t="s">
        <v>41</v>
      </c>
      <c r="B79" s="4" t="n">
        <v>45689</v>
      </c>
      <c r="C79" s="3" t="s">
        <v>24</v>
      </c>
      <c r="D79" s="3" t="s">
        <v>18</v>
      </c>
      <c r="E79" s="3" t="n">
        <v>54872.82</v>
      </c>
      <c r="F79" s="3" t="n">
        <v>5962</v>
      </c>
      <c r="G79" s="3" t="n">
        <v>0.064</v>
      </c>
      <c r="H79" s="3" t="n">
        <v>12</v>
      </c>
      <c r="I79" s="3" t="n">
        <v>85.4</v>
      </c>
      <c r="J79" s="3" t="n">
        <v>2.58</v>
      </c>
      <c r="K79" s="3" t="n">
        <v>0</v>
      </c>
      <c r="L79" s="3" t="n">
        <v>2.9</v>
      </c>
      <c r="M79" s="3" t="n">
        <v>691112.6</v>
      </c>
      <c r="N79" s="3" t="n">
        <v>109212.83</v>
      </c>
    </row>
    <row r="80" customFormat="false" ht="15" hidden="false" customHeight="true" outlineLevel="0" collapsed="false">
      <c r="A80" s="3" t="s">
        <v>41</v>
      </c>
      <c r="B80" s="4" t="n">
        <v>45717</v>
      </c>
      <c r="C80" s="3" t="s">
        <v>24</v>
      </c>
      <c r="D80" s="3" t="s">
        <v>18</v>
      </c>
      <c r="E80" s="3" t="n">
        <v>80562.81</v>
      </c>
      <c r="F80" s="3" t="n">
        <v>7470</v>
      </c>
      <c r="G80" s="3" t="n">
        <v>0.172</v>
      </c>
      <c r="H80" s="3" t="n">
        <v>16</v>
      </c>
      <c r="I80" s="3" t="n">
        <v>83.5</v>
      </c>
      <c r="J80" s="3" t="n">
        <v>2.29</v>
      </c>
      <c r="K80" s="3" t="n">
        <v>0</v>
      </c>
      <c r="L80" s="3" t="n">
        <v>3.3</v>
      </c>
      <c r="M80" s="3" t="n">
        <v>776922.17</v>
      </c>
      <c r="N80" s="3" t="n">
        <v>150701.93</v>
      </c>
    </row>
    <row r="81" customFormat="false" ht="15" hidden="false" customHeight="true" outlineLevel="0" collapsed="false">
      <c r="A81" s="3" t="s">
        <v>41</v>
      </c>
      <c r="B81" s="4" t="n">
        <v>45748</v>
      </c>
      <c r="C81" s="3" t="s">
        <v>24</v>
      </c>
      <c r="D81" s="3" t="s">
        <v>18</v>
      </c>
      <c r="E81" s="3" t="n">
        <v>77999.9</v>
      </c>
      <c r="F81" s="3" t="n">
        <v>5974</v>
      </c>
      <c r="G81" s="3" t="n">
        <v>0.252</v>
      </c>
      <c r="H81" s="3" t="n">
        <v>14</v>
      </c>
      <c r="I81" s="3" t="n">
        <v>81.3</v>
      </c>
      <c r="J81" s="3" t="n">
        <v>2.39</v>
      </c>
      <c r="K81" s="3" t="n">
        <v>0</v>
      </c>
      <c r="L81" s="3" t="n">
        <v>3.2</v>
      </c>
      <c r="M81" s="3" t="n">
        <v>636561.34</v>
      </c>
      <c r="N81" s="3" t="n">
        <v>93861.06</v>
      </c>
    </row>
    <row r="82" customFormat="false" ht="15" hidden="false" customHeight="true" outlineLevel="0" collapsed="false">
      <c r="A82" s="3" t="s">
        <v>42</v>
      </c>
      <c r="B82" s="4" t="n">
        <v>45658</v>
      </c>
      <c r="C82" s="3" t="s">
        <v>27</v>
      </c>
      <c r="D82" s="3" t="s">
        <v>28</v>
      </c>
      <c r="E82" s="3" t="n">
        <v>60881.01</v>
      </c>
      <c r="F82" s="3" t="n">
        <v>5410</v>
      </c>
      <c r="G82" s="3" t="n">
        <v>0.179</v>
      </c>
      <c r="H82" s="3" t="n">
        <v>15</v>
      </c>
      <c r="I82" s="3" t="n">
        <v>83.9</v>
      </c>
      <c r="J82" s="3" t="n">
        <v>5.24</v>
      </c>
      <c r="K82" s="3" t="n">
        <v>0</v>
      </c>
      <c r="L82" s="3" t="n">
        <v>4.6</v>
      </c>
      <c r="M82" s="3" t="n">
        <v>621369.58</v>
      </c>
      <c r="N82" s="3" t="n">
        <v>85493.64</v>
      </c>
    </row>
    <row r="83" customFormat="false" ht="15" hidden="false" customHeight="true" outlineLevel="0" collapsed="false">
      <c r="A83" s="3" t="s">
        <v>42</v>
      </c>
      <c r="B83" s="4" t="n">
        <v>45689</v>
      </c>
      <c r="C83" s="3" t="s">
        <v>27</v>
      </c>
      <c r="D83" s="3" t="s">
        <v>28</v>
      </c>
      <c r="E83" s="3" t="n">
        <v>60628.38</v>
      </c>
      <c r="F83" s="3" t="n">
        <v>4451</v>
      </c>
      <c r="G83" s="3" t="n">
        <v>0.095</v>
      </c>
      <c r="H83" s="3" t="n">
        <v>10</v>
      </c>
      <c r="I83" s="3" t="n">
        <v>89.6</v>
      </c>
      <c r="J83" s="3" t="n">
        <v>3.17</v>
      </c>
      <c r="K83" s="3" t="n">
        <v>0</v>
      </c>
      <c r="L83" s="3" t="n">
        <v>4.6</v>
      </c>
      <c r="M83" s="3" t="n">
        <v>682208.01</v>
      </c>
      <c r="N83" s="3" t="n">
        <v>110318.84</v>
      </c>
    </row>
    <row r="84" customFormat="false" ht="15" hidden="false" customHeight="true" outlineLevel="0" collapsed="false">
      <c r="A84" s="3" t="s">
        <v>42</v>
      </c>
      <c r="B84" s="4" t="n">
        <v>45717</v>
      </c>
      <c r="C84" s="3" t="s">
        <v>27</v>
      </c>
      <c r="D84" s="3" t="s">
        <v>28</v>
      </c>
      <c r="E84" s="3" t="n">
        <v>72731.14</v>
      </c>
      <c r="F84" s="3" t="n">
        <v>4644</v>
      </c>
      <c r="G84" s="3" t="n">
        <v>0.084</v>
      </c>
      <c r="H84" s="3" t="n">
        <v>15</v>
      </c>
      <c r="I84" s="3" t="n">
        <v>87.1</v>
      </c>
      <c r="J84" s="3" t="n">
        <v>2.66</v>
      </c>
      <c r="K84" s="3" t="n">
        <v>0</v>
      </c>
      <c r="L84" s="3" t="n">
        <v>4.6</v>
      </c>
      <c r="M84" s="3" t="n">
        <v>727241.86</v>
      </c>
      <c r="N84" s="3" t="n">
        <v>155810.3</v>
      </c>
    </row>
    <row r="85" customFormat="false" ht="15" hidden="false" customHeight="true" outlineLevel="0" collapsed="false">
      <c r="A85" s="3" t="s">
        <v>42</v>
      </c>
      <c r="B85" s="4" t="n">
        <v>45748</v>
      </c>
      <c r="C85" s="3" t="s">
        <v>27</v>
      </c>
      <c r="D85" s="3" t="s">
        <v>28</v>
      </c>
      <c r="E85" s="3" t="n">
        <v>36475.71</v>
      </c>
      <c r="F85" s="3" t="n">
        <v>3559</v>
      </c>
      <c r="G85" s="3" t="n">
        <v>0.03</v>
      </c>
      <c r="H85" s="3" t="n">
        <v>8</v>
      </c>
      <c r="I85" s="3" t="n">
        <v>83.6</v>
      </c>
      <c r="J85" s="3" t="n">
        <v>1.41</v>
      </c>
      <c r="K85" s="3" t="n">
        <v>0</v>
      </c>
      <c r="L85" s="3" t="n">
        <v>4.2</v>
      </c>
      <c r="M85" s="3" t="n">
        <v>569100.78</v>
      </c>
      <c r="N85" s="3" t="n">
        <v>104808.78</v>
      </c>
    </row>
    <row r="86" customFormat="false" ht="15" hidden="false" customHeight="true" outlineLevel="0" collapsed="false">
      <c r="A86" s="3" t="s">
        <v>43</v>
      </c>
      <c r="B86" s="4" t="n">
        <v>45658</v>
      </c>
      <c r="C86" s="3" t="s">
        <v>27</v>
      </c>
      <c r="D86" s="3" t="s">
        <v>18</v>
      </c>
      <c r="E86" s="3" t="n">
        <v>55388.11</v>
      </c>
      <c r="F86" s="3" t="n">
        <v>3091</v>
      </c>
      <c r="G86" s="3" t="n">
        <v>0.108</v>
      </c>
      <c r="H86" s="3" t="n">
        <v>7</v>
      </c>
      <c r="I86" s="3" t="n">
        <v>85.4</v>
      </c>
      <c r="J86" s="3" t="n">
        <v>7.34</v>
      </c>
      <c r="K86" s="3" t="n">
        <v>0</v>
      </c>
      <c r="L86" s="3" t="n">
        <v>4.9</v>
      </c>
      <c r="M86" s="3" t="n">
        <v>574436.29</v>
      </c>
      <c r="N86" s="3" t="n">
        <v>80271.99</v>
      </c>
    </row>
    <row r="87" customFormat="false" ht="15" hidden="false" customHeight="true" outlineLevel="0" collapsed="false">
      <c r="A87" s="3" t="s">
        <v>43</v>
      </c>
      <c r="B87" s="4" t="n">
        <v>45689</v>
      </c>
      <c r="C87" s="3" t="s">
        <v>27</v>
      </c>
      <c r="D87" s="3" t="s">
        <v>18</v>
      </c>
      <c r="E87" s="3" t="n">
        <v>88443.77</v>
      </c>
      <c r="F87" s="3" t="n">
        <v>4004</v>
      </c>
      <c r="G87" s="3" t="n">
        <v>0.206</v>
      </c>
      <c r="H87" s="3" t="n">
        <v>11</v>
      </c>
      <c r="I87" s="3" t="n">
        <v>91.9</v>
      </c>
      <c r="J87" s="3" t="n">
        <v>5.95</v>
      </c>
      <c r="K87" s="3" t="n">
        <v>0</v>
      </c>
      <c r="L87" s="3"/>
      <c r="M87" s="3" t="n">
        <v>611766.72</v>
      </c>
      <c r="N87" s="3" t="n">
        <v>88275.61</v>
      </c>
    </row>
    <row r="88" customFormat="false" ht="15" hidden="false" customHeight="true" outlineLevel="0" collapsed="false">
      <c r="A88" s="3" t="s">
        <v>43</v>
      </c>
      <c r="B88" s="4" t="n">
        <v>45717</v>
      </c>
      <c r="C88" s="3" t="s">
        <v>27</v>
      </c>
      <c r="D88" s="3" t="s">
        <v>18</v>
      </c>
      <c r="E88" s="3" t="n">
        <v>78231.91</v>
      </c>
      <c r="F88" s="3" t="n">
        <v>3788</v>
      </c>
      <c r="G88" s="3" t="n">
        <v>0.059</v>
      </c>
      <c r="H88" s="3" t="n">
        <v>11</v>
      </c>
      <c r="I88" s="3" t="n">
        <v>88.5</v>
      </c>
      <c r="J88" s="3" t="n">
        <v>15.51</v>
      </c>
      <c r="K88" s="3" t="n">
        <v>0</v>
      </c>
      <c r="L88" s="3" t="n">
        <v>4.3</v>
      </c>
      <c r="M88" s="3" t="n">
        <v>614596.32</v>
      </c>
      <c r="N88" s="3" t="n">
        <v>131199.41</v>
      </c>
    </row>
    <row r="89" customFormat="false" ht="15" hidden="false" customHeight="true" outlineLevel="0" collapsed="false">
      <c r="A89" s="3" t="s">
        <v>43</v>
      </c>
      <c r="B89" s="4" t="n">
        <v>45748</v>
      </c>
      <c r="C89" s="3" t="s">
        <v>27</v>
      </c>
      <c r="D89" s="3" t="s">
        <v>18</v>
      </c>
      <c r="E89" s="3" t="n">
        <v>18996.32</v>
      </c>
      <c r="F89" s="3" t="n">
        <v>1260</v>
      </c>
      <c r="G89" s="3" t="n">
        <v>0.145</v>
      </c>
      <c r="H89" s="3" t="n">
        <v>9</v>
      </c>
      <c r="I89" s="3" t="n">
        <v>86.4</v>
      </c>
      <c r="J89" s="3" t="n">
        <v>4.31</v>
      </c>
      <c r="K89" s="3" t="n">
        <v>0</v>
      </c>
      <c r="L89" s="3" t="n">
        <v>4.6</v>
      </c>
      <c r="M89" s="3" t="n">
        <v>450711.92</v>
      </c>
      <c r="N89" s="3" t="n">
        <v>90043.76</v>
      </c>
    </row>
    <row r="90" customFormat="false" ht="15" hidden="false" customHeight="true" outlineLevel="0" collapsed="false">
      <c r="A90" s="3" t="s">
        <v>44</v>
      </c>
      <c r="B90" s="4" t="n">
        <v>45658</v>
      </c>
      <c r="C90" s="3" t="s">
        <v>24</v>
      </c>
      <c r="D90" s="3" t="s">
        <v>28</v>
      </c>
      <c r="E90" s="3" t="n">
        <v>50517.94</v>
      </c>
      <c r="F90" s="3" t="n">
        <v>7024</v>
      </c>
      <c r="G90" s="3" t="n">
        <v>0.029</v>
      </c>
      <c r="H90" s="3" t="n">
        <v>18</v>
      </c>
      <c r="I90" s="3" t="n">
        <v>79.2</v>
      </c>
      <c r="J90" s="3" t="n">
        <v>6.61</v>
      </c>
      <c r="K90" s="3" t="n">
        <v>1</v>
      </c>
      <c r="L90" s="3" t="n">
        <v>4.1</v>
      </c>
      <c r="M90" s="3" t="n">
        <v>711213.46</v>
      </c>
      <c r="N90" s="3" t="n">
        <v>105863.26</v>
      </c>
    </row>
    <row r="91" customFormat="false" ht="15" hidden="false" customHeight="true" outlineLevel="0" collapsed="false">
      <c r="A91" s="3" t="s">
        <v>44</v>
      </c>
      <c r="B91" s="4" t="n">
        <v>45689</v>
      </c>
      <c r="C91" s="3" t="s">
        <v>24</v>
      </c>
      <c r="D91" s="3" t="s">
        <v>28</v>
      </c>
      <c r="E91" s="3" t="n">
        <v>141540.29</v>
      </c>
      <c r="F91" s="3" t="n">
        <v>5400</v>
      </c>
      <c r="G91" s="3" t="n">
        <v>0.013</v>
      </c>
      <c r="H91" s="3" t="n">
        <v>12</v>
      </c>
      <c r="I91" s="3" t="n">
        <v>87</v>
      </c>
      <c r="J91" s="3" t="n">
        <v>4.26</v>
      </c>
      <c r="K91" s="3" t="n">
        <v>0</v>
      </c>
      <c r="L91" s="3" t="n">
        <v>4.5</v>
      </c>
      <c r="M91" s="3" t="n">
        <v>627171.9</v>
      </c>
      <c r="N91" s="3" t="n">
        <v>105772.75</v>
      </c>
    </row>
    <row r="92" customFormat="false" ht="15" hidden="false" customHeight="true" outlineLevel="0" collapsed="false">
      <c r="A92" s="3" t="s">
        <v>44</v>
      </c>
      <c r="B92" s="4" t="n">
        <v>45717</v>
      </c>
      <c r="C92" s="3" t="s">
        <v>24</v>
      </c>
      <c r="D92" s="3" t="s">
        <v>28</v>
      </c>
      <c r="E92" s="3" t="n">
        <v>82116.19</v>
      </c>
      <c r="F92" s="3" t="n">
        <v>5988</v>
      </c>
      <c r="G92" s="3" t="n">
        <v>0.04</v>
      </c>
      <c r="H92" s="3" t="n">
        <v>17</v>
      </c>
      <c r="I92" s="3" t="n">
        <v>91.8</v>
      </c>
      <c r="J92" s="3" t="n">
        <v>5.75</v>
      </c>
      <c r="K92" s="3" t="n">
        <v>0</v>
      </c>
      <c r="L92" s="3" t="n">
        <v>4.7</v>
      </c>
      <c r="M92" s="3" t="n">
        <v>739852.58</v>
      </c>
      <c r="N92" s="3" t="n">
        <v>129386.43</v>
      </c>
    </row>
    <row r="93" customFormat="false" ht="15" hidden="false" customHeight="true" outlineLevel="0" collapsed="false">
      <c r="A93" s="3" t="s">
        <v>44</v>
      </c>
      <c r="B93" s="4" t="n">
        <v>45748</v>
      </c>
      <c r="C93" s="3" t="s">
        <v>24</v>
      </c>
      <c r="D93" s="3" t="s">
        <v>28</v>
      </c>
      <c r="E93" s="3" t="n">
        <v>31207.51</v>
      </c>
      <c r="F93" s="3" t="n">
        <v>3701</v>
      </c>
      <c r="G93" s="3" t="n">
        <v>0.043</v>
      </c>
      <c r="H93" s="3" t="n">
        <v>11</v>
      </c>
      <c r="I93" s="3" t="n">
        <v>84.7</v>
      </c>
      <c r="J93" s="3" t="n">
        <v>0.33</v>
      </c>
      <c r="K93" s="3" t="n">
        <v>0</v>
      </c>
      <c r="L93" s="3" t="n">
        <v>4.3</v>
      </c>
      <c r="M93" s="3" t="n">
        <v>586307.22</v>
      </c>
      <c r="N93" s="3" t="n">
        <v>73927.85</v>
      </c>
    </row>
    <row r="94" customFormat="false" ht="15" hidden="false" customHeight="true" outlineLevel="0" collapsed="false">
      <c r="A94" s="3" t="s">
        <v>45</v>
      </c>
      <c r="B94" s="4" t="n">
        <v>45658</v>
      </c>
      <c r="C94" s="3" t="s">
        <v>27</v>
      </c>
      <c r="D94" s="3" t="s">
        <v>16</v>
      </c>
      <c r="E94" s="3" t="n">
        <v>38966.59</v>
      </c>
      <c r="F94" s="3" t="n">
        <v>4509</v>
      </c>
      <c r="G94" s="3" t="n">
        <v>0.194</v>
      </c>
      <c r="H94" s="3" t="n">
        <v>14</v>
      </c>
      <c r="I94" s="3" t="n">
        <v>91.1</v>
      </c>
      <c r="J94" s="3" t="n">
        <v>2.92</v>
      </c>
      <c r="K94" s="3" t="n">
        <v>0</v>
      </c>
      <c r="L94" s="3" t="n">
        <v>4.6</v>
      </c>
      <c r="M94" s="3" t="n">
        <v>585937.48</v>
      </c>
      <c r="N94" s="3" t="n">
        <v>82624.2</v>
      </c>
    </row>
    <row r="95" customFormat="false" ht="15" hidden="false" customHeight="true" outlineLevel="0" collapsed="false">
      <c r="A95" s="3" t="s">
        <v>45</v>
      </c>
      <c r="B95" s="4" t="n">
        <v>45689</v>
      </c>
      <c r="C95" s="3" t="s">
        <v>27</v>
      </c>
      <c r="D95" s="3" t="s">
        <v>16</v>
      </c>
      <c r="E95" s="3" t="n">
        <v>67439.3</v>
      </c>
      <c r="F95" s="3" t="n">
        <v>6477</v>
      </c>
      <c r="G95" s="3" t="n">
        <v>0</v>
      </c>
      <c r="H95" s="3" t="n">
        <v>16</v>
      </c>
      <c r="I95" s="3" t="n">
        <v>90.9</v>
      </c>
      <c r="J95" s="3" t="n">
        <v>1.64</v>
      </c>
      <c r="K95" s="3" t="n">
        <v>0</v>
      </c>
      <c r="L95" s="3" t="n">
        <v>4.5</v>
      </c>
      <c r="M95" s="3" t="n">
        <v>753473.55</v>
      </c>
      <c r="N95" s="3" t="n">
        <v>151527.22</v>
      </c>
    </row>
    <row r="96" customFormat="false" ht="15" hidden="false" customHeight="true" outlineLevel="0" collapsed="false">
      <c r="A96" s="3" t="s">
        <v>45</v>
      </c>
      <c r="B96" s="4" t="n">
        <v>45717</v>
      </c>
      <c r="C96" s="3" t="s">
        <v>27</v>
      </c>
      <c r="D96" s="3" t="s">
        <v>16</v>
      </c>
      <c r="E96" s="3" t="n">
        <v>86421.88</v>
      </c>
      <c r="F96" s="3" t="n">
        <v>7970</v>
      </c>
      <c r="G96" s="3" t="n">
        <v>0.073</v>
      </c>
      <c r="H96" s="3" t="n">
        <v>17</v>
      </c>
      <c r="I96" s="3" t="n">
        <v>91.3</v>
      </c>
      <c r="J96" s="3" t="n">
        <v>0.8</v>
      </c>
      <c r="K96" s="3" t="n">
        <v>0</v>
      </c>
      <c r="L96" s="3" t="n">
        <v>5</v>
      </c>
      <c r="M96" s="3" t="n">
        <v>838250.32</v>
      </c>
      <c r="N96" s="3" t="n">
        <v>122939.34</v>
      </c>
    </row>
    <row r="97" customFormat="false" ht="15" hidden="false" customHeight="true" outlineLevel="0" collapsed="false">
      <c r="A97" s="3" t="s">
        <v>45</v>
      </c>
      <c r="B97" s="4" t="n">
        <v>45748</v>
      </c>
      <c r="C97" s="3" t="s">
        <v>27</v>
      </c>
      <c r="D97" s="3" t="s">
        <v>16</v>
      </c>
      <c r="E97" s="3" t="n">
        <v>9534.65</v>
      </c>
      <c r="F97" s="3" t="n">
        <v>6057</v>
      </c>
      <c r="G97" s="3" t="n">
        <v>0.074</v>
      </c>
      <c r="H97" s="3" t="n">
        <v>15</v>
      </c>
      <c r="I97" s="3" t="n">
        <v>94.1</v>
      </c>
      <c r="J97" s="3" t="n">
        <v>5.79</v>
      </c>
      <c r="K97" s="3" t="n">
        <v>0</v>
      </c>
      <c r="L97" s="3" t="n">
        <v>4.5</v>
      </c>
      <c r="M97" s="3" t="n">
        <v>607898.12</v>
      </c>
      <c r="N97" s="3" t="n">
        <v>135404.85</v>
      </c>
    </row>
    <row r="98" customFormat="false" ht="15" hidden="false" customHeight="true" outlineLevel="0" collapsed="false">
      <c r="A98" s="3" t="s">
        <v>46</v>
      </c>
      <c r="B98" s="4" t="n">
        <v>45658</v>
      </c>
      <c r="C98" s="3" t="s">
        <v>27</v>
      </c>
      <c r="D98" s="3" t="s">
        <v>28</v>
      </c>
      <c r="E98" s="3" t="n">
        <v>61132.07</v>
      </c>
      <c r="F98" s="3" t="n">
        <v>6394</v>
      </c>
      <c r="G98" s="3" t="n">
        <v>0.163</v>
      </c>
      <c r="H98" s="3" t="n">
        <v>19</v>
      </c>
      <c r="I98" s="3" t="n">
        <v>91</v>
      </c>
      <c r="J98" s="3" t="n">
        <v>19.6</v>
      </c>
      <c r="K98" s="3" t="n">
        <v>0</v>
      </c>
      <c r="L98" s="3" t="n">
        <v>4.4</v>
      </c>
      <c r="M98" s="3" t="n">
        <v>691113.62</v>
      </c>
      <c r="N98" s="3" t="n">
        <v>135145.44</v>
      </c>
    </row>
    <row r="99" customFormat="false" ht="15" hidden="false" customHeight="true" outlineLevel="0" collapsed="false">
      <c r="A99" s="3" t="s">
        <v>46</v>
      </c>
      <c r="B99" s="4" t="n">
        <v>45689</v>
      </c>
      <c r="C99" s="3" t="s">
        <v>27</v>
      </c>
      <c r="D99" s="3" t="s">
        <v>28</v>
      </c>
      <c r="E99" s="3" t="n">
        <v>78839.39</v>
      </c>
      <c r="F99" s="3" t="n">
        <v>5150</v>
      </c>
      <c r="G99" s="3" t="n">
        <v>0.171</v>
      </c>
      <c r="H99" s="3" t="n">
        <v>13</v>
      </c>
      <c r="I99" s="3" t="n">
        <v>85.8</v>
      </c>
      <c r="J99" s="3" t="n">
        <v>7.57</v>
      </c>
      <c r="K99" s="3" t="n">
        <v>0</v>
      </c>
      <c r="L99" s="3" t="n">
        <v>4.3</v>
      </c>
      <c r="M99" s="3" t="n">
        <v>735509.4</v>
      </c>
      <c r="N99" s="3" t="n">
        <v>83895.96</v>
      </c>
    </row>
    <row r="100" customFormat="false" ht="15" hidden="false" customHeight="true" outlineLevel="0" collapsed="false">
      <c r="A100" s="3" t="s">
        <v>46</v>
      </c>
      <c r="B100" s="4" t="n">
        <v>45717</v>
      </c>
      <c r="C100" s="3" t="s">
        <v>27</v>
      </c>
      <c r="D100" s="3" t="s">
        <v>28</v>
      </c>
      <c r="E100" s="3" t="n">
        <v>38752.8</v>
      </c>
      <c r="F100" s="3" t="n">
        <v>4712</v>
      </c>
      <c r="G100" s="3" t="n">
        <v>0.075</v>
      </c>
      <c r="H100" s="3" t="n">
        <v>15</v>
      </c>
      <c r="I100" s="3" t="n">
        <v>89.7</v>
      </c>
      <c r="J100" s="3"/>
      <c r="K100" s="3" t="n">
        <v>0</v>
      </c>
      <c r="L100" s="3" t="n">
        <v>4.3</v>
      </c>
      <c r="M100" s="3" t="n">
        <v>605775.33</v>
      </c>
      <c r="N100" s="3" t="n">
        <v>107194.6</v>
      </c>
    </row>
    <row r="101" customFormat="false" ht="15" hidden="false" customHeight="true" outlineLevel="0" collapsed="false">
      <c r="A101" s="3" t="s">
        <v>46</v>
      </c>
      <c r="B101" s="4" t="n">
        <v>45748</v>
      </c>
      <c r="C101" s="3" t="s">
        <v>27</v>
      </c>
      <c r="D101" s="3" t="s">
        <v>28</v>
      </c>
      <c r="E101" s="3" t="n">
        <v>55101.1</v>
      </c>
      <c r="F101" s="3" t="n">
        <v>5281</v>
      </c>
      <c r="G101" s="3" t="n">
        <v>0.189</v>
      </c>
      <c r="H101" s="3" t="n">
        <v>11</v>
      </c>
      <c r="I101" s="3" t="n">
        <v>91</v>
      </c>
      <c r="J101" s="3" t="n">
        <v>2.7</v>
      </c>
      <c r="K101" s="3" t="n">
        <v>0</v>
      </c>
      <c r="L101" s="3" t="n">
        <v>4.4</v>
      </c>
      <c r="M101" s="3" t="n">
        <v>675177.68</v>
      </c>
      <c r="N101" s="3" t="n">
        <v>105628.68</v>
      </c>
    </row>
    <row r="102" customFormat="false" ht="15" hidden="false" customHeight="true" outlineLevel="0" collapsed="false">
      <c r="A102" s="3" t="s">
        <v>47</v>
      </c>
      <c r="B102" s="4" t="n">
        <v>45658</v>
      </c>
      <c r="C102" s="3" t="s">
        <v>15</v>
      </c>
      <c r="D102" s="3" t="s">
        <v>28</v>
      </c>
      <c r="E102" s="3" t="n">
        <v>53084.76</v>
      </c>
      <c r="F102" s="3" t="n">
        <v>3642</v>
      </c>
      <c r="G102" s="3" t="n">
        <v>0.15</v>
      </c>
      <c r="H102" s="3" t="n">
        <v>12</v>
      </c>
      <c r="I102" s="3" t="n">
        <v>91.4</v>
      </c>
      <c r="J102" s="3" t="n">
        <v>0.2</v>
      </c>
      <c r="K102" s="3" t="n">
        <v>0</v>
      </c>
      <c r="L102" s="3" t="n">
        <v>4.4</v>
      </c>
      <c r="M102" s="3" t="n">
        <v>635181.35</v>
      </c>
      <c r="N102" s="3" t="n">
        <v>83341.25</v>
      </c>
    </row>
    <row r="103" customFormat="false" ht="15" hidden="false" customHeight="true" outlineLevel="0" collapsed="false">
      <c r="A103" s="3" t="s">
        <v>47</v>
      </c>
      <c r="B103" s="4" t="n">
        <v>45689</v>
      </c>
      <c r="C103" s="3" t="s">
        <v>15</v>
      </c>
      <c r="D103" s="3" t="s">
        <v>28</v>
      </c>
      <c r="E103" s="3" t="n">
        <v>63101.59</v>
      </c>
      <c r="F103" s="3" t="n">
        <v>4373</v>
      </c>
      <c r="G103" s="3" t="n">
        <v>0.173</v>
      </c>
      <c r="H103" s="3" t="n">
        <v>14</v>
      </c>
      <c r="I103" s="3" t="n">
        <v>90.4</v>
      </c>
      <c r="J103" s="3" t="n">
        <v>7.87</v>
      </c>
      <c r="K103" s="3" t="n">
        <v>0</v>
      </c>
      <c r="L103" s="3" t="n">
        <v>4.7</v>
      </c>
      <c r="M103" s="3" t="n">
        <v>586626.94</v>
      </c>
      <c r="N103" s="3" t="n">
        <v>86498.55</v>
      </c>
    </row>
    <row r="104" customFormat="false" ht="15" hidden="false" customHeight="true" outlineLevel="0" collapsed="false">
      <c r="A104" s="3" t="s">
        <v>47</v>
      </c>
      <c r="B104" s="4" t="n">
        <v>45717</v>
      </c>
      <c r="C104" s="3" t="s">
        <v>15</v>
      </c>
      <c r="D104" s="3" t="s">
        <v>28</v>
      </c>
      <c r="E104" s="3" t="n">
        <v>90084.4</v>
      </c>
      <c r="F104" s="3" t="n">
        <v>6832</v>
      </c>
      <c r="G104" s="3" t="n">
        <v>0.185</v>
      </c>
      <c r="H104" s="3" t="n">
        <v>14</v>
      </c>
      <c r="I104" s="3" t="n">
        <v>80.5</v>
      </c>
      <c r="J104" s="3" t="n">
        <v>0.77</v>
      </c>
      <c r="K104" s="3" t="n">
        <v>1</v>
      </c>
      <c r="L104" s="3" t="n">
        <v>4.4</v>
      </c>
      <c r="M104" s="3" t="n">
        <v>740102.64</v>
      </c>
      <c r="N104" s="3" t="n">
        <v>114299.07</v>
      </c>
    </row>
    <row r="105" customFormat="false" ht="15" hidden="false" customHeight="true" outlineLevel="0" collapsed="false">
      <c r="A105" s="3" t="s">
        <v>47</v>
      </c>
      <c r="B105" s="4" t="n">
        <v>45748</v>
      </c>
      <c r="C105" s="3" t="s">
        <v>15</v>
      </c>
      <c r="D105" s="3" t="s">
        <v>28</v>
      </c>
      <c r="E105" s="3" t="n">
        <v>32266.64</v>
      </c>
      <c r="F105" s="3" t="n">
        <v>2414</v>
      </c>
      <c r="G105" s="3" t="n">
        <v>0.08</v>
      </c>
      <c r="H105" s="3" t="n">
        <v>7</v>
      </c>
      <c r="I105" s="3" t="n">
        <v>92.1</v>
      </c>
      <c r="J105" s="3" t="n">
        <v>1.48</v>
      </c>
      <c r="K105" s="3" t="n">
        <v>0</v>
      </c>
      <c r="L105" s="3" t="n">
        <v>5</v>
      </c>
      <c r="M105" s="3" t="n">
        <v>625514.04</v>
      </c>
      <c r="N105" s="3" t="n">
        <v>120685.08</v>
      </c>
    </row>
    <row r="106" customFormat="false" ht="15" hidden="false" customHeight="true" outlineLevel="0" collapsed="false">
      <c r="A106" s="3" t="s">
        <v>48</v>
      </c>
      <c r="B106" s="4" t="n">
        <v>45658</v>
      </c>
      <c r="C106" s="3" t="s">
        <v>27</v>
      </c>
      <c r="D106" s="3" t="s">
        <v>18</v>
      </c>
      <c r="E106" s="3" t="n">
        <v>57919.07</v>
      </c>
      <c r="F106" s="3" t="n">
        <v>7374</v>
      </c>
      <c r="G106" s="3" t="n">
        <v>0.103</v>
      </c>
      <c r="H106" s="3" t="n">
        <v>21</v>
      </c>
      <c r="I106" s="3" t="n">
        <v>82.3</v>
      </c>
      <c r="J106" s="3" t="n">
        <v>2.87</v>
      </c>
      <c r="K106" s="3" t="n">
        <v>0</v>
      </c>
      <c r="L106" s="3" t="n">
        <v>2.9</v>
      </c>
      <c r="M106" s="3" t="n">
        <v>727227.2</v>
      </c>
      <c r="N106" s="3" t="n">
        <v>121292.01</v>
      </c>
    </row>
    <row r="107" customFormat="false" ht="15" hidden="false" customHeight="true" outlineLevel="0" collapsed="false">
      <c r="A107" s="3" t="s">
        <v>48</v>
      </c>
      <c r="B107" s="4" t="n">
        <v>45689</v>
      </c>
      <c r="C107" s="3" t="s">
        <v>27</v>
      </c>
      <c r="D107" s="3" t="s">
        <v>18</v>
      </c>
      <c r="E107" s="3" t="n">
        <v>74679.35</v>
      </c>
      <c r="F107" s="3" t="n">
        <v>8739</v>
      </c>
      <c r="G107" s="3" t="n">
        <v>0.056</v>
      </c>
      <c r="H107" s="3" t="n">
        <v>21</v>
      </c>
      <c r="I107" s="3" t="n">
        <v>91.8</v>
      </c>
      <c r="J107" s="3" t="n">
        <v>2.83</v>
      </c>
      <c r="K107" s="3" t="n">
        <v>0</v>
      </c>
      <c r="L107" s="3" t="n">
        <v>3</v>
      </c>
      <c r="M107" s="3" t="n">
        <v>783797.89</v>
      </c>
      <c r="N107" s="3" t="n">
        <v>157620.7</v>
      </c>
    </row>
    <row r="108" customFormat="false" ht="15" hidden="false" customHeight="true" outlineLevel="0" collapsed="false">
      <c r="A108" s="3" t="s">
        <v>48</v>
      </c>
      <c r="B108" s="4" t="n">
        <v>45717</v>
      </c>
      <c r="C108" s="3" t="s">
        <v>27</v>
      </c>
      <c r="D108" s="3" t="s">
        <v>18</v>
      </c>
      <c r="E108" s="3" t="n">
        <v>64294.23</v>
      </c>
      <c r="F108" s="3" t="n">
        <v>6992</v>
      </c>
      <c r="G108" s="3" t="n">
        <v>0.133</v>
      </c>
      <c r="H108" s="3" t="n">
        <v>14</v>
      </c>
      <c r="I108" s="3" t="n">
        <v>94.1</v>
      </c>
      <c r="J108" s="3" t="n">
        <v>0.25</v>
      </c>
      <c r="K108" s="3" t="n">
        <v>0</v>
      </c>
      <c r="L108" s="3" t="n">
        <v>3</v>
      </c>
      <c r="M108" s="3" t="n">
        <v>795153.84</v>
      </c>
      <c r="N108" s="3" t="n">
        <v>143194.21</v>
      </c>
    </row>
    <row r="109" customFormat="false" ht="15" hidden="false" customHeight="true" outlineLevel="0" collapsed="false">
      <c r="A109" s="3" t="s">
        <v>48</v>
      </c>
      <c r="B109" s="4" t="n">
        <v>45748</v>
      </c>
      <c r="C109" s="3" t="s">
        <v>27</v>
      </c>
      <c r="D109" s="3" t="s">
        <v>18</v>
      </c>
      <c r="E109" s="3" t="n">
        <v>31042.03</v>
      </c>
      <c r="F109" s="3" t="n">
        <v>7107</v>
      </c>
      <c r="G109" s="3" t="n">
        <v>0.051</v>
      </c>
      <c r="H109" s="3" t="n">
        <v>15</v>
      </c>
      <c r="I109" s="3" t="n">
        <v>87</v>
      </c>
      <c r="J109" s="3" t="n">
        <v>13.33</v>
      </c>
      <c r="K109" s="3" t="n">
        <v>0</v>
      </c>
      <c r="L109" s="3" t="n">
        <v>3.2</v>
      </c>
      <c r="M109" s="3" t="n">
        <v>665594.94</v>
      </c>
      <c r="N109" s="3" t="n">
        <v>127597.34</v>
      </c>
    </row>
    <row r="110" customFormat="false" ht="15" hidden="false" customHeight="true" outlineLevel="0" collapsed="false">
      <c r="A110" s="3" t="s">
        <v>49</v>
      </c>
      <c r="B110" s="4" t="n">
        <v>45658</v>
      </c>
      <c r="C110" s="3" t="s">
        <v>15</v>
      </c>
      <c r="D110" s="3" t="s">
        <v>28</v>
      </c>
      <c r="E110" s="3" t="n">
        <v>75265.02</v>
      </c>
      <c r="F110" s="3" t="n">
        <v>6975</v>
      </c>
      <c r="G110" s="3" t="n">
        <v>0.157</v>
      </c>
      <c r="H110" s="3" t="n">
        <v>20</v>
      </c>
      <c r="I110" s="3" t="n">
        <v>73.8</v>
      </c>
      <c r="J110" s="3" t="n">
        <v>6.35</v>
      </c>
      <c r="K110" s="3" t="n">
        <v>1</v>
      </c>
      <c r="L110" s="3" t="n">
        <v>3.8</v>
      </c>
      <c r="M110" s="3" t="n">
        <v>709478.39</v>
      </c>
      <c r="N110" s="3" t="n">
        <v>71294.27</v>
      </c>
    </row>
    <row r="111" customFormat="false" ht="15" hidden="false" customHeight="true" outlineLevel="0" collapsed="false">
      <c r="A111" s="3" t="s">
        <v>49</v>
      </c>
      <c r="B111" s="4" t="n">
        <v>45689</v>
      </c>
      <c r="C111" s="3" t="s">
        <v>15</v>
      </c>
      <c r="D111" s="3" t="s">
        <v>28</v>
      </c>
      <c r="E111" s="3" t="n">
        <v>69411.7</v>
      </c>
      <c r="F111" s="3" t="n">
        <v>5493</v>
      </c>
      <c r="G111" s="3" t="n">
        <v>0.292</v>
      </c>
      <c r="H111" s="3" t="n">
        <v>13</v>
      </c>
      <c r="I111" s="3" t="n">
        <v>86.5</v>
      </c>
      <c r="J111" s="3" t="n">
        <v>6.69</v>
      </c>
      <c r="K111" s="3" t="n">
        <v>0</v>
      </c>
      <c r="L111" s="3" t="n">
        <v>3.8</v>
      </c>
      <c r="M111" s="3" t="n">
        <v>664162.49</v>
      </c>
      <c r="N111" s="3" t="n">
        <v>98291.06</v>
      </c>
    </row>
    <row r="112" customFormat="false" ht="15" hidden="false" customHeight="true" outlineLevel="0" collapsed="false">
      <c r="A112" s="3" t="s">
        <v>49</v>
      </c>
      <c r="B112" s="4" t="n">
        <v>45717</v>
      </c>
      <c r="C112" s="3" t="s">
        <v>15</v>
      </c>
      <c r="D112" s="3" t="s">
        <v>28</v>
      </c>
      <c r="E112" s="3" t="n">
        <v>51056.15</v>
      </c>
      <c r="F112" s="3" t="n">
        <v>5686</v>
      </c>
      <c r="G112" s="3" t="n">
        <v>0.089</v>
      </c>
      <c r="H112" s="3" t="n">
        <v>13</v>
      </c>
      <c r="I112" s="3" t="n">
        <v>89.9</v>
      </c>
      <c r="J112" s="3" t="n">
        <v>1.28</v>
      </c>
      <c r="K112" s="3" t="n">
        <v>0</v>
      </c>
      <c r="L112" s="3" t="n">
        <v>4.2</v>
      </c>
      <c r="M112" s="3" t="n">
        <v>633494.21</v>
      </c>
      <c r="N112" s="3" t="n">
        <v>105739.47</v>
      </c>
    </row>
    <row r="113" customFormat="false" ht="15" hidden="false" customHeight="true" outlineLevel="0" collapsed="false">
      <c r="A113" s="3" t="s">
        <v>49</v>
      </c>
      <c r="B113" s="4" t="n">
        <v>45748</v>
      </c>
      <c r="C113" s="3" t="s">
        <v>15</v>
      </c>
      <c r="D113" s="3" t="s">
        <v>28</v>
      </c>
      <c r="E113" s="3" t="n">
        <v>52758.01</v>
      </c>
      <c r="F113" s="3" t="n">
        <v>4063</v>
      </c>
      <c r="G113" s="3" t="n">
        <v>0.057</v>
      </c>
      <c r="H113" s="3" t="n">
        <v>12</v>
      </c>
      <c r="I113" s="3" t="n">
        <v>91.7</v>
      </c>
      <c r="J113" s="3" t="n">
        <v>0.92</v>
      </c>
      <c r="K113" s="3" t="n">
        <v>0</v>
      </c>
      <c r="L113" s="3" t="n">
        <v>3.5</v>
      </c>
      <c r="M113" s="3" t="n">
        <v>713611.16</v>
      </c>
      <c r="N113" s="3" t="n">
        <v>129717.18</v>
      </c>
    </row>
    <row r="114" customFormat="false" ht="15" hidden="false" customHeight="true" outlineLevel="0" collapsed="false">
      <c r="A114" s="3" t="s">
        <v>50</v>
      </c>
      <c r="B114" s="4" t="n">
        <v>45658</v>
      </c>
      <c r="C114" s="3" t="s">
        <v>27</v>
      </c>
      <c r="D114" s="3" t="s">
        <v>28</v>
      </c>
      <c r="E114" s="3" t="n">
        <v>61426.04</v>
      </c>
      <c r="F114" s="3" t="n">
        <v>8966</v>
      </c>
      <c r="G114" s="3" t="n">
        <v>0.173</v>
      </c>
      <c r="H114" s="3" t="n">
        <v>22</v>
      </c>
      <c r="I114" s="3" t="n">
        <v>76.4</v>
      </c>
      <c r="J114" s="3" t="n">
        <v>1.05</v>
      </c>
      <c r="K114" s="3" t="n">
        <v>0</v>
      </c>
      <c r="L114" s="3" t="n">
        <v>3.1</v>
      </c>
      <c r="M114" s="3" t="n">
        <v>778397.97</v>
      </c>
      <c r="N114" s="3" t="n">
        <v>120044.41</v>
      </c>
    </row>
    <row r="115" customFormat="false" ht="15" hidden="false" customHeight="true" outlineLevel="0" collapsed="false">
      <c r="A115" s="3" t="s">
        <v>50</v>
      </c>
      <c r="B115" s="4" t="n">
        <v>45689</v>
      </c>
      <c r="C115" s="3" t="s">
        <v>27</v>
      </c>
      <c r="D115" s="3" t="s">
        <v>28</v>
      </c>
      <c r="E115" s="3" t="n">
        <v>80176.34</v>
      </c>
      <c r="F115" s="3" t="n">
        <v>9489</v>
      </c>
      <c r="G115" s="3" t="n">
        <v>0.142</v>
      </c>
      <c r="H115" s="3" t="n">
        <v>22</v>
      </c>
      <c r="I115" s="3" t="n">
        <v>94.3</v>
      </c>
      <c r="J115" s="3" t="n">
        <v>2.67</v>
      </c>
      <c r="K115" s="3" t="n">
        <v>0</v>
      </c>
      <c r="L115" s="3" t="n">
        <v>3.5</v>
      </c>
      <c r="M115" s="3" t="n">
        <v>873380.02</v>
      </c>
      <c r="N115" s="3" t="n">
        <v>149734.76</v>
      </c>
    </row>
    <row r="116" customFormat="false" ht="15" hidden="false" customHeight="true" outlineLevel="0" collapsed="false">
      <c r="A116" s="3" t="s">
        <v>50</v>
      </c>
      <c r="B116" s="4" t="n">
        <v>45717</v>
      </c>
      <c r="C116" s="3" t="s">
        <v>27</v>
      </c>
      <c r="D116" s="3" t="s">
        <v>28</v>
      </c>
      <c r="E116" s="3" t="n">
        <v>33605.18</v>
      </c>
      <c r="F116" s="3" t="n">
        <v>9225</v>
      </c>
      <c r="G116" s="3" t="n">
        <v>0.159</v>
      </c>
      <c r="H116" s="3" t="n">
        <v>23</v>
      </c>
      <c r="I116" s="3" t="n">
        <v>88.4</v>
      </c>
      <c r="J116" s="3" t="n">
        <v>5.91</v>
      </c>
      <c r="K116" s="3" t="n">
        <v>0</v>
      </c>
      <c r="L116" s="3" t="n">
        <v>2.8</v>
      </c>
      <c r="M116" s="3" t="n">
        <v>697287.9</v>
      </c>
      <c r="N116" s="3" t="n">
        <v>128208.33</v>
      </c>
    </row>
    <row r="117" customFormat="false" ht="15" hidden="false" customHeight="true" outlineLevel="0" collapsed="false">
      <c r="A117" s="3" t="s">
        <v>50</v>
      </c>
      <c r="B117" s="4" t="n">
        <v>45748</v>
      </c>
      <c r="C117" s="3" t="s">
        <v>27</v>
      </c>
      <c r="D117" s="3" t="s">
        <v>28</v>
      </c>
      <c r="E117" s="3" t="n">
        <v>25990.54</v>
      </c>
      <c r="F117" s="3" t="n">
        <v>9249</v>
      </c>
      <c r="G117" s="3" t="n">
        <v>0.139</v>
      </c>
      <c r="H117" s="3" t="n">
        <v>23</v>
      </c>
      <c r="I117" s="3" t="n">
        <v>92.5</v>
      </c>
      <c r="J117" s="3" t="n">
        <v>6.37</v>
      </c>
      <c r="K117" s="3" t="n">
        <v>0</v>
      </c>
      <c r="L117" s="3" t="n">
        <v>3.3</v>
      </c>
      <c r="M117" s="3" t="n">
        <v>718074.79</v>
      </c>
      <c r="N117" s="3" t="n">
        <v>115819.87</v>
      </c>
    </row>
    <row r="118" customFormat="false" ht="15" hidden="false" customHeight="true" outlineLevel="0" collapsed="false">
      <c r="A118" s="3" t="s">
        <v>51</v>
      </c>
      <c r="B118" s="4" t="n">
        <v>45658</v>
      </c>
      <c r="C118" s="3" t="s">
        <v>27</v>
      </c>
      <c r="D118" s="3" t="s">
        <v>16</v>
      </c>
      <c r="E118" s="3" t="n">
        <v>43685.14</v>
      </c>
      <c r="F118" s="3" t="n">
        <v>7821</v>
      </c>
      <c r="G118" s="3" t="n">
        <v>0.19</v>
      </c>
      <c r="H118" s="3" t="n">
        <v>17</v>
      </c>
      <c r="I118" s="3" t="n">
        <v>91</v>
      </c>
      <c r="J118" s="3" t="n">
        <v>2.49</v>
      </c>
      <c r="K118" s="3" t="n">
        <v>1</v>
      </c>
      <c r="L118" s="3" t="n">
        <v>4.7</v>
      </c>
      <c r="M118" s="3" t="n">
        <v>714942.43</v>
      </c>
      <c r="N118" s="3" t="n">
        <v>94697.71</v>
      </c>
    </row>
    <row r="119" customFormat="false" ht="15" hidden="false" customHeight="true" outlineLevel="0" collapsed="false">
      <c r="A119" s="3" t="s">
        <v>51</v>
      </c>
      <c r="B119" s="4" t="n">
        <v>45689</v>
      </c>
      <c r="C119" s="3" t="s">
        <v>27</v>
      </c>
      <c r="D119" s="3" t="s">
        <v>16</v>
      </c>
      <c r="E119" s="3" t="n">
        <v>57360.01</v>
      </c>
      <c r="F119" s="3" t="n">
        <v>8434</v>
      </c>
      <c r="G119" s="3" t="n">
        <v>0.151</v>
      </c>
      <c r="H119" s="3" t="n">
        <v>19</v>
      </c>
      <c r="I119" s="3" t="n">
        <v>84.1</v>
      </c>
      <c r="J119" s="3" t="n">
        <v>1.56</v>
      </c>
      <c r="K119" s="3" t="n">
        <v>0</v>
      </c>
      <c r="L119" s="3" t="n">
        <v>4.7</v>
      </c>
      <c r="M119" s="3" t="n">
        <v>820519.04</v>
      </c>
      <c r="N119" s="3" t="n">
        <v>99035.88</v>
      </c>
    </row>
    <row r="120" customFormat="false" ht="15" hidden="false" customHeight="true" outlineLevel="0" collapsed="false">
      <c r="A120" s="3" t="s">
        <v>51</v>
      </c>
      <c r="B120" s="4" t="n">
        <v>45717</v>
      </c>
      <c r="C120" s="3" t="s">
        <v>27</v>
      </c>
      <c r="D120" s="3" t="s">
        <v>16</v>
      </c>
      <c r="E120" s="3" t="n">
        <v>42415.47</v>
      </c>
      <c r="F120" s="3" t="n">
        <v>8512</v>
      </c>
      <c r="G120" s="3" t="n">
        <v>0.133</v>
      </c>
      <c r="H120" s="3" t="n">
        <v>18</v>
      </c>
      <c r="I120" s="3" t="n">
        <v>96.8</v>
      </c>
      <c r="J120" s="3" t="n">
        <v>14.95</v>
      </c>
      <c r="K120" s="3" t="n">
        <v>0</v>
      </c>
      <c r="L120" s="3" t="n">
        <v>4.6</v>
      </c>
      <c r="M120" s="3" t="n">
        <v>684217.32</v>
      </c>
      <c r="N120" s="3" t="n">
        <v>136217.19</v>
      </c>
    </row>
    <row r="121" customFormat="false" ht="15" hidden="false" customHeight="true" outlineLevel="0" collapsed="false">
      <c r="A121" s="3" t="s">
        <v>51</v>
      </c>
      <c r="B121" s="4" t="n">
        <v>45748</v>
      </c>
      <c r="C121" s="3" t="s">
        <v>27</v>
      </c>
      <c r="D121" s="3" t="s">
        <v>16</v>
      </c>
      <c r="E121" s="3" t="n">
        <v>54968.98</v>
      </c>
      <c r="F121" s="3" t="n">
        <v>7816</v>
      </c>
      <c r="G121" s="3" t="n">
        <v>0.232</v>
      </c>
      <c r="H121" s="3" t="n">
        <v>19</v>
      </c>
      <c r="I121" s="3" t="n">
        <v>95.7</v>
      </c>
      <c r="J121" s="3" t="n">
        <v>7.85</v>
      </c>
      <c r="K121" s="3" t="n">
        <v>0</v>
      </c>
      <c r="L121" s="3" t="n">
        <v>4.7</v>
      </c>
      <c r="M121" s="3" t="n">
        <v>735480.19</v>
      </c>
      <c r="N121" s="3" t="n">
        <v>88342.11</v>
      </c>
    </row>
    <row r="122" customFormat="false" ht="15" hidden="false" customHeight="true" outlineLevel="0" collapsed="false">
      <c r="A122" s="3" t="s">
        <v>52</v>
      </c>
      <c r="B122" s="4" t="n">
        <v>45658</v>
      </c>
      <c r="C122" s="3" t="s">
        <v>20</v>
      </c>
      <c r="D122" s="3" t="s">
        <v>18</v>
      </c>
      <c r="E122" s="3" t="n">
        <v>43896.13</v>
      </c>
      <c r="F122" s="3" t="n">
        <v>3853</v>
      </c>
      <c r="G122" s="3" t="n">
        <v>0.088</v>
      </c>
      <c r="H122" s="3" t="n">
        <v>13</v>
      </c>
      <c r="I122" s="3" t="n">
        <v>83</v>
      </c>
      <c r="J122" s="3" t="n">
        <v>6.8</v>
      </c>
      <c r="K122" s="3" t="n">
        <v>0</v>
      </c>
      <c r="L122" s="3" t="n">
        <v>4.4</v>
      </c>
      <c r="M122" s="3" t="n">
        <v>509484.81</v>
      </c>
      <c r="N122" s="3" t="n">
        <v>85742.36</v>
      </c>
    </row>
    <row r="123" customFormat="false" ht="15" hidden="false" customHeight="true" outlineLevel="0" collapsed="false">
      <c r="A123" s="3" t="s">
        <v>52</v>
      </c>
      <c r="B123" s="4" t="n">
        <v>45689</v>
      </c>
      <c r="C123" s="3" t="s">
        <v>20</v>
      </c>
      <c r="D123" s="3" t="s">
        <v>18</v>
      </c>
      <c r="E123" s="3" t="n">
        <v>83044.17</v>
      </c>
      <c r="F123" s="3" t="n">
        <v>3694</v>
      </c>
      <c r="G123" s="3" t="n">
        <v>0</v>
      </c>
      <c r="H123" s="3" t="n">
        <v>14</v>
      </c>
      <c r="I123" s="3" t="n">
        <v>89.4</v>
      </c>
      <c r="J123" s="3" t="n">
        <v>2.2</v>
      </c>
      <c r="K123" s="3" t="n">
        <v>0</v>
      </c>
      <c r="L123" s="3" t="n">
        <v>3.7</v>
      </c>
      <c r="M123" s="3" t="n">
        <v>654317.09</v>
      </c>
      <c r="N123" s="3" t="n">
        <v>121446.89</v>
      </c>
    </row>
    <row r="124" customFormat="false" ht="15" hidden="false" customHeight="true" outlineLevel="0" collapsed="false">
      <c r="A124" s="3" t="s">
        <v>52</v>
      </c>
      <c r="B124" s="4" t="n">
        <v>45717</v>
      </c>
      <c r="C124" s="3" t="s">
        <v>20</v>
      </c>
      <c r="D124" s="3" t="s">
        <v>18</v>
      </c>
      <c r="E124" s="3" t="n">
        <v>48396.13</v>
      </c>
      <c r="F124" s="3" t="n">
        <v>4423</v>
      </c>
      <c r="G124" s="3" t="n">
        <v>0.069</v>
      </c>
      <c r="H124" s="3" t="n">
        <v>15</v>
      </c>
      <c r="I124" s="3" t="n">
        <v>85.7</v>
      </c>
      <c r="J124" s="3" t="n">
        <v>1.88</v>
      </c>
      <c r="K124" s="3" t="n">
        <v>0</v>
      </c>
      <c r="L124" s="3" t="n">
        <v>3.9</v>
      </c>
      <c r="M124" s="3" t="n">
        <v>557487.26</v>
      </c>
      <c r="N124" s="3" t="n">
        <v>76432.19</v>
      </c>
    </row>
    <row r="125" customFormat="false" ht="15" hidden="false" customHeight="true" outlineLevel="0" collapsed="false">
      <c r="A125" s="3" t="s">
        <v>52</v>
      </c>
      <c r="B125" s="4" t="n">
        <v>45748</v>
      </c>
      <c r="C125" s="3" t="s">
        <v>20</v>
      </c>
      <c r="D125" s="3" t="s">
        <v>18</v>
      </c>
      <c r="E125" s="3" t="n">
        <v>19063.48</v>
      </c>
      <c r="F125" s="3" t="n">
        <v>1906</v>
      </c>
      <c r="G125" s="3" t="n">
        <v>0.216</v>
      </c>
      <c r="H125" s="3" t="n">
        <v>10</v>
      </c>
      <c r="I125" s="3" t="n">
        <v>97.8</v>
      </c>
      <c r="J125" s="3" t="n">
        <v>15.79</v>
      </c>
      <c r="K125" s="3" t="n">
        <v>0</v>
      </c>
      <c r="L125" s="3" t="n">
        <v>4.4</v>
      </c>
      <c r="M125" s="3" t="n">
        <v>441275.42</v>
      </c>
      <c r="N125" s="3" t="n">
        <v>58234.87</v>
      </c>
    </row>
    <row r="126" customFormat="false" ht="15" hidden="false" customHeight="true" outlineLevel="0" collapsed="false">
      <c r="A126" s="3" t="s">
        <v>53</v>
      </c>
      <c r="B126" s="4" t="n">
        <v>45658</v>
      </c>
      <c r="C126" s="3" t="s">
        <v>24</v>
      </c>
      <c r="D126" s="3" t="s">
        <v>18</v>
      </c>
      <c r="E126" s="3" t="n">
        <v>61541.21</v>
      </c>
      <c r="F126" s="3" t="n">
        <v>10396</v>
      </c>
      <c r="G126" s="3" t="n">
        <v>0.123</v>
      </c>
      <c r="H126" s="3" t="n">
        <v>25</v>
      </c>
      <c r="I126" s="3" t="n">
        <v>88.1</v>
      </c>
      <c r="J126" s="3" t="n">
        <v>2.34</v>
      </c>
      <c r="K126" s="3" t="n">
        <v>1</v>
      </c>
      <c r="L126" s="3" t="n">
        <v>4.8</v>
      </c>
      <c r="M126" s="3" t="n">
        <v>914544.17</v>
      </c>
      <c r="N126" s="3" t="n">
        <v>79831.73</v>
      </c>
    </row>
    <row r="127" customFormat="false" ht="15" hidden="false" customHeight="true" outlineLevel="0" collapsed="false">
      <c r="A127" s="3" t="s">
        <v>53</v>
      </c>
      <c r="B127" s="4" t="n">
        <v>45689</v>
      </c>
      <c r="C127" s="3" t="s">
        <v>24</v>
      </c>
      <c r="D127" s="3" t="s">
        <v>18</v>
      </c>
      <c r="E127" s="3" t="n">
        <v>44747</v>
      </c>
      <c r="F127" s="3" t="n">
        <v>11076</v>
      </c>
      <c r="G127" s="3" t="n">
        <v>0.176</v>
      </c>
      <c r="H127" s="3" t="n">
        <v>27</v>
      </c>
      <c r="I127" s="3" t="n">
        <v>98.3</v>
      </c>
      <c r="J127" s="3" t="n">
        <v>0.54</v>
      </c>
      <c r="K127" s="3" t="n">
        <v>0</v>
      </c>
      <c r="L127" s="3" t="n">
        <v>4.4</v>
      </c>
      <c r="M127" s="3" t="n">
        <v>842439.67</v>
      </c>
      <c r="N127" s="3" t="n">
        <v>169983.63</v>
      </c>
    </row>
    <row r="128" customFormat="false" ht="15" hidden="false" customHeight="true" outlineLevel="0" collapsed="false">
      <c r="A128" s="3" t="s">
        <v>53</v>
      </c>
      <c r="B128" s="4" t="n">
        <v>45717</v>
      </c>
      <c r="C128" s="3" t="s">
        <v>24</v>
      </c>
      <c r="D128" s="3" t="s">
        <v>18</v>
      </c>
      <c r="E128" s="3" t="n">
        <v>56517.9</v>
      </c>
      <c r="F128" s="3" t="n">
        <v>9574</v>
      </c>
      <c r="G128" s="3" t="n">
        <v>0.204</v>
      </c>
      <c r="H128" s="3" t="n">
        <v>20</v>
      </c>
      <c r="I128" s="3" t="n">
        <v>88.2</v>
      </c>
      <c r="J128" s="3" t="n">
        <v>5.37</v>
      </c>
      <c r="K128" s="3" t="n">
        <v>1</v>
      </c>
      <c r="L128" s="3" t="n">
        <v>4.9</v>
      </c>
      <c r="M128" s="3" t="n">
        <v>842157.92</v>
      </c>
      <c r="N128" s="3" t="n">
        <v>107348.22</v>
      </c>
    </row>
    <row r="129" customFormat="false" ht="15" hidden="false" customHeight="true" outlineLevel="0" collapsed="false">
      <c r="A129" s="3" t="s">
        <v>53</v>
      </c>
      <c r="B129" s="4" t="n">
        <v>45748</v>
      </c>
      <c r="C129" s="3" t="s">
        <v>24</v>
      </c>
      <c r="D129" s="3" t="s">
        <v>18</v>
      </c>
      <c r="E129" s="3" t="n">
        <v>37828.5</v>
      </c>
      <c r="F129" s="3" t="n">
        <v>8221</v>
      </c>
      <c r="G129" s="3" t="n">
        <v>0.096</v>
      </c>
      <c r="H129" s="3" t="n">
        <v>19</v>
      </c>
      <c r="I129" s="3" t="n">
        <v>81.5</v>
      </c>
      <c r="J129" s="3" t="n">
        <v>3.19</v>
      </c>
      <c r="K129" s="3" t="n">
        <v>0</v>
      </c>
      <c r="L129" s="3" t="n">
        <v>4.8</v>
      </c>
      <c r="M129" s="3" t="n">
        <v>697155.3</v>
      </c>
      <c r="N129" s="3" t="n">
        <v>136408.54</v>
      </c>
    </row>
    <row r="130" customFormat="false" ht="15" hidden="false" customHeight="true" outlineLevel="0" collapsed="false">
      <c r="A130" s="3" t="s">
        <v>54</v>
      </c>
      <c r="B130" s="4" t="n">
        <v>45658</v>
      </c>
      <c r="C130" s="3" t="s">
        <v>15</v>
      </c>
      <c r="D130" s="3" t="s">
        <v>18</v>
      </c>
      <c r="E130" s="3" t="n">
        <v>66250.53</v>
      </c>
      <c r="F130" s="3" t="n">
        <v>10618</v>
      </c>
      <c r="G130" s="3" t="n">
        <v>0.142</v>
      </c>
      <c r="H130" s="3" t="n">
        <v>27</v>
      </c>
      <c r="I130" s="3" t="n">
        <v>88.3</v>
      </c>
      <c r="J130" s="3" t="n">
        <v>1.1</v>
      </c>
      <c r="K130" s="3" t="n">
        <v>1</v>
      </c>
      <c r="L130" s="3" t="n">
        <v>4.4</v>
      </c>
      <c r="M130" s="3" t="n">
        <v>849018.3</v>
      </c>
      <c r="N130" s="3" t="n">
        <v>149035.13</v>
      </c>
    </row>
    <row r="131" customFormat="false" ht="15" hidden="false" customHeight="true" outlineLevel="0" collapsed="false">
      <c r="A131" s="3" t="s">
        <v>54</v>
      </c>
      <c r="B131" s="4" t="n">
        <v>45689</v>
      </c>
      <c r="C131" s="3" t="s">
        <v>15</v>
      </c>
      <c r="D131" s="3" t="s">
        <v>18</v>
      </c>
      <c r="E131" s="3" t="n">
        <v>68410.93</v>
      </c>
      <c r="F131" s="3" t="n">
        <v>10596</v>
      </c>
      <c r="G131" s="3" t="n">
        <v>0.207</v>
      </c>
      <c r="H131" s="3" t="n">
        <v>25</v>
      </c>
      <c r="I131" s="3" t="n">
        <v>81.2</v>
      </c>
      <c r="J131" s="3" t="n">
        <v>0.21</v>
      </c>
      <c r="K131" s="3" t="n">
        <v>0</v>
      </c>
      <c r="L131" s="3" t="n">
        <v>4</v>
      </c>
      <c r="M131" s="3" t="n">
        <v>801830.35</v>
      </c>
      <c r="N131" s="3" t="n">
        <v>114875.32</v>
      </c>
    </row>
    <row r="132" customFormat="false" ht="15" hidden="false" customHeight="true" outlineLevel="0" collapsed="false">
      <c r="A132" s="3" t="s">
        <v>54</v>
      </c>
      <c r="B132" s="4" t="n">
        <v>45717</v>
      </c>
      <c r="C132" s="3" t="s">
        <v>15</v>
      </c>
      <c r="D132" s="3" t="s">
        <v>18</v>
      </c>
      <c r="E132" s="3" t="n">
        <v>50735.63</v>
      </c>
      <c r="F132" s="3" t="n">
        <v>9619</v>
      </c>
      <c r="G132" s="3" t="n">
        <v>0.144</v>
      </c>
      <c r="H132" s="3" t="n">
        <v>19</v>
      </c>
      <c r="I132" s="3" t="n">
        <v>93.8</v>
      </c>
      <c r="J132" s="3" t="n">
        <v>5.12</v>
      </c>
      <c r="K132" s="3" t="n">
        <v>1</v>
      </c>
      <c r="L132" s="3" t="n">
        <v>4.5</v>
      </c>
      <c r="M132" s="3" t="n">
        <v>725235.28</v>
      </c>
      <c r="N132" s="3" t="n">
        <v>121632.24</v>
      </c>
    </row>
    <row r="133" customFormat="false" ht="15" hidden="false" customHeight="true" outlineLevel="0" collapsed="false">
      <c r="A133" s="3" t="s">
        <v>54</v>
      </c>
      <c r="B133" s="4" t="n">
        <v>45748</v>
      </c>
      <c r="C133" s="3" t="s">
        <v>15</v>
      </c>
      <c r="D133" s="3" t="s">
        <v>18</v>
      </c>
      <c r="E133" s="3" t="n">
        <v>66455.8</v>
      </c>
      <c r="F133" s="3" t="n">
        <v>10836</v>
      </c>
      <c r="G133" s="3" t="n">
        <v>0.089</v>
      </c>
      <c r="H133" s="3" t="n">
        <v>25</v>
      </c>
      <c r="I133" s="3" t="n">
        <v>85</v>
      </c>
      <c r="J133" s="3" t="n">
        <v>9.77</v>
      </c>
      <c r="K133" s="3" t="n">
        <v>0</v>
      </c>
      <c r="L133" s="3" t="n">
        <v>4.5</v>
      </c>
      <c r="M133" s="3" t="n">
        <v>811452.72</v>
      </c>
      <c r="N133" s="3" t="n">
        <v>131325.67</v>
      </c>
    </row>
    <row r="134" customFormat="false" ht="15" hidden="false" customHeight="true" outlineLevel="0" collapsed="false">
      <c r="A134" s="3" t="s">
        <v>55</v>
      </c>
      <c r="B134" s="4" t="n">
        <v>45658</v>
      </c>
      <c r="C134" s="3" t="s">
        <v>20</v>
      </c>
      <c r="D134" s="3" t="s">
        <v>18</v>
      </c>
      <c r="E134" s="3" t="n">
        <v>70276.28</v>
      </c>
      <c r="F134" s="3" t="n">
        <v>3043</v>
      </c>
      <c r="G134" s="3" t="n">
        <v>0.079</v>
      </c>
      <c r="H134" s="3" t="n">
        <v>9</v>
      </c>
      <c r="I134" s="3" t="n">
        <v>87.9</v>
      </c>
      <c r="J134" s="3" t="n">
        <v>3.77</v>
      </c>
      <c r="K134" s="3" t="n">
        <v>0</v>
      </c>
      <c r="L134" s="3" t="n">
        <v>4.4</v>
      </c>
      <c r="M134" s="3" t="n">
        <v>527300.13</v>
      </c>
      <c r="N134" s="3" t="n">
        <v>84197.87</v>
      </c>
    </row>
    <row r="135" customFormat="false" ht="15" hidden="false" customHeight="true" outlineLevel="0" collapsed="false">
      <c r="A135" s="3" t="s">
        <v>55</v>
      </c>
      <c r="B135" s="4" t="n">
        <v>45689</v>
      </c>
      <c r="C135" s="3" t="s">
        <v>20</v>
      </c>
      <c r="D135" s="3" t="s">
        <v>18</v>
      </c>
      <c r="E135" s="3" t="n">
        <v>22071.64</v>
      </c>
      <c r="F135" s="3" t="n">
        <v>1814</v>
      </c>
      <c r="G135" s="3" t="n">
        <v>0.196</v>
      </c>
      <c r="H135" s="3" t="n">
        <v>8</v>
      </c>
      <c r="I135" s="3" t="n">
        <v>81.1</v>
      </c>
      <c r="J135" s="3" t="n">
        <v>0.78</v>
      </c>
      <c r="K135" s="3" t="n">
        <v>0</v>
      </c>
      <c r="L135" s="3"/>
      <c r="M135" s="3" t="n">
        <v>400831.65</v>
      </c>
      <c r="N135" s="3" t="n">
        <v>70979.31</v>
      </c>
    </row>
    <row r="136" customFormat="false" ht="15" hidden="false" customHeight="true" outlineLevel="0" collapsed="false">
      <c r="A136" s="3" t="s">
        <v>55</v>
      </c>
      <c r="B136" s="4" t="n">
        <v>45717</v>
      </c>
      <c r="C136" s="3" t="s">
        <v>20</v>
      </c>
      <c r="D136" s="3" t="s">
        <v>18</v>
      </c>
      <c r="E136" s="3" t="n">
        <v>52285.45</v>
      </c>
      <c r="F136" s="3" t="n">
        <v>3618</v>
      </c>
      <c r="G136" s="3" t="n">
        <v>0.086</v>
      </c>
      <c r="H136" s="3" t="n">
        <v>11</v>
      </c>
      <c r="I136" s="3" t="n">
        <v>95.6</v>
      </c>
      <c r="J136" s="3" t="n">
        <v>5.17</v>
      </c>
      <c r="K136" s="3" t="n">
        <v>1</v>
      </c>
      <c r="L136" s="3" t="n">
        <v>4.4</v>
      </c>
      <c r="M136" s="3" t="n">
        <v>593247.25</v>
      </c>
      <c r="N136" s="3" t="n">
        <v>81240.29</v>
      </c>
    </row>
    <row r="137" customFormat="false" ht="15" hidden="false" customHeight="true" outlineLevel="0" collapsed="false">
      <c r="A137" s="3" t="s">
        <v>55</v>
      </c>
      <c r="B137" s="4" t="n">
        <v>45748</v>
      </c>
      <c r="C137" s="3" t="s">
        <v>20</v>
      </c>
      <c r="D137" s="3" t="s">
        <v>18</v>
      </c>
      <c r="E137" s="3" t="n">
        <v>70366.76</v>
      </c>
      <c r="F137" s="3" t="n">
        <v>1963</v>
      </c>
      <c r="G137" s="3" t="n">
        <v>0.182</v>
      </c>
      <c r="H137" s="3" t="n">
        <v>8</v>
      </c>
      <c r="I137" s="3" t="n">
        <v>89.8</v>
      </c>
      <c r="J137" s="3" t="n">
        <v>3.2</v>
      </c>
      <c r="K137" s="3" t="n">
        <v>0</v>
      </c>
      <c r="L137" s="3" t="n">
        <v>4.6</v>
      </c>
      <c r="M137" s="3" t="n">
        <v>529075.95</v>
      </c>
      <c r="N137" s="3" t="n">
        <v>95978.83</v>
      </c>
    </row>
    <row r="138" customFormat="false" ht="15" hidden="false" customHeight="true" outlineLevel="0" collapsed="false">
      <c r="A138" s="3" t="s">
        <v>56</v>
      </c>
      <c r="B138" s="4" t="n">
        <v>45658</v>
      </c>
      <c r="C138" s="3" t="s">
        <v>24</v>
      </c>
      <c r="D138" s="3" t="s">
        <v>16</v>
      </c>
      <c r="E138" s="3" t="n">
        <v>71320.66</v>
      </c>
      <c r="F138" s="3" t="n">
        <v>7888</v>
      </c>
      <c r="G138" s="3" t="n">
        <v>0.048</v>
      </c>
      <c r="H138" s="3" t="n">
        <v>20</v>
      </c>
      <c r="I138" s="3" t="n">
        <v>78.1</v>
      </c>
      <c r="J138" s="3" t="n">
        <v>3.4</v>
      </c>
      <c r="K138" s="3" t="n">
        <v>0</v>
      </c>
      <c r="L138" s="3"/>
      <c r="M138" s="3" t="n">
        <v>633638.03</v>
      </c>
      <c r="N138" s="3" t="n">
        <v>99402.01</v>
      </c>
    </row>
    <row r="139" customFormat="false" ht="15" hidden="false" customHeight="true" outlineLevel="0" collapsed="false">
      <c r="A139" s="3" t="s">
        <v>56</v>
      </c>
      <c r="B139" s="4" t="n">
        <v>45689</v>
      </c>
      <c r="C139" s="3" t="s">
        <v>24</v>
      </c>
      <c r="D139" s="3" t="s">
        <v>16</v>
      </c>
      <c r="E139" s="3" t="n">
        <v>75109.67</v>
      </c>
      <c r="F139" s="3" t="n">
        <v>6244</v>
      </c>
      <c r="G139" s="3" t="n">
        <v>0.079</v>
      </c>
      <c r="H139" s="3" t="n">
        <v>15</v>
      </c>
      <c r="I139" s="3" t="n">
        <v>96.3</v>
      </c>
      <c r="J139" s="3" t="n">
        <v>7.38</v>
      </c>
      <c r="K139" s="3" t="n">
        <v>0</v>
      </c>
      <c r="L139" s="3" t="n">
        <v>3.7</v>
      </c>
      <c r="M139" s="3" t="n">
        <v>743348.84</v>
      </c>
      <c r="N139" s="3" t="n">
        <v>104186.09</v>
      </c>
    </row>
    <row r="140" customFormat="false" ht="15" hidden="false" customHeight="true" outlineLevel="0" collapsed="false">
      <c r="A140" s="3" t="s">
        <v>56</v>
      </c>
      <c r="B140" s="4" t="n">
        <v>45717</v>
      </c>
      <c r="C140" s="3" t="s">
        <v>24</v>
      </c>
      <c r="D140" s="3" t="s">
        <v>16</v>
      </c>
      <c r="E140" s="3" t="n">
        <v>69779</v>
      </c>
      <c r="F140" s="3" t="n">
        <v>6544</v>
      </c>
      <c r="G140" s="3" t="n">
        <v>0.152</v>
      </c>
      <c r="H140" s="3" t="n">
        <v>18</v>
      </c>
      <c r="I140" s="3" t="n">
        <v>90.2</v>
      </c>
      <c r="J140" s="3" t="n">
        <v>0.85</v>
      </c>
      <c r="K140" s="3" t="n">
        <v>1</v>
      </c>
      <c r="L140" s="3" t="n">
        <v>3.3</v>
      </c>
      <c r="M140" s="3" t="n">
        <v>758827.64</v>
      </c>
      <c r="N140" s="3" t="n">
        <v>161439.48</v>
      </c>
    </row>
    <row r="141" customFormat="false" ht="15" hidden="false" customHeight="true" outlineLevel="0" collapsed="false">
      <c r="A141" s="3" t="s">
        <v>56</v>
      </c>
      <c r="B141" s="4" t="n">
        <v>45748</v>
      </c>
      <c r="C141" s="3" t="s">
        <v>24</v>
      </c>
      <c r="D141" s="3" t="s">
        <v>16</v>
      </c>
      <c r="E141" s="3" t="n">
        <v>44211.95</v>
      </c>
      <c r="F141" s="3" t="n">
        <v>5465</v>
      </c>
      <c r="G141" s="3" t="n">
        <v>0.187</v>
      </c>
      <c r="H141" s="3" t="n">
        <v>12</v>
      </c>
      <c r="I141" s="3" t="n">
        <v>90</v>
      </c>
      <c r="J141" s="3" t="n">
        <v>2.89</v>
      </c>
      <c r="K141" s="3" t="n">
        <v>0</v>
      </c>
      <c r="L141" s="3" t="n">
        <v>3.6</v>
      </c>
      <c r="M141" s="3" t="n">
        <v>646559.71</v>
      </c>
      <c r="N141" s="3" t="n">
        <v>97981.75</v>
      </c>
    </row>
    <row r="142" customFormat="false" ht="15" hidden="false" customHeight="true" outlineLevel="0" collapsed="false">
      <c r="A142" s="3" t="s">
        <v>57</v>
      </c>
      <c r="B142" s="4" t="n">
        <v>45658</v>
      </c>
      <c r="C142" s="3" t="s">
        <v>27</v>
      </c>
      <c r="D142" s="3" t="s">
        <v>18</v>
      </c>
      <c r="E142" s="3" t="n">
        <v>51430.31</v>
      </c>
      <c r="F142" s="3" t="n">
        <v>6427</v>
      </c>
      <c r="G142" s="3" t="n">
        <v>0.234</v>
      </c>
      <c r="H142" s="3" t="n">
        <v>14</v>
      </c>
      <c r="I142" s="3" t="n">
        <v>88.8</v>
      </c>
      <c r="J142" s="3" t="n">
        <v>0.77</v>
      </c>
      <c r="K142" s="3" t="n">
        <v>0</v>
      </c>
      <c r="L142" s="3" t="n">
        <v>4.1</v>
      </c>
      <c r="M142" s="3" t="n">
        <v>715890.53</v>
      </c>
      <c r="N142" s="3" t="n">
        <v>109032.15</v>
      </c>
    </row>
    <row r="143" customFormat="false" ht="15" hidden="false" customHeight="true" outlineLevel="0" collapsed="false">
      <c r="A143" s="3" t="s">
        <v>57</v>
      </c>
      <c r="B143" s="4" t="n">
        <v>45689</v>
      </c>
      <c r="C143" s="3" t="s">
        <v>27</v>
      </c>
      <c r="D143" s="3" t="s">
        <v>18</v>
      </c>
      <c r="E143" s="3" t="n">
        <v>45706.49</v>
      </c>
      <c r="F143" s="3" t="n">
        <v>6704</v>
      </c>
      <c r="G143" s="3" t="n">
        <v>0.038</v>
      </c>
      <c r="H143" s="3" t="n">
        <v>15</v>
      </c>
      <c r="I143" s="3" t="n">
        <v>94.2</v>
      </c>
      <c r="J143" s="3" t="n">
        <v>2.92</v>
      </c>
      <c r="K143" s="3" t="n">
        <v>0</v>
      </c>
      <c r="L143" s="3" t="n">
        <v>4.2</v>
      </c>
      <c r="M143" s="3" t="n">
        <v>715097.57</v>
      </c>
      <c r="N143" s="3" t="n">
        <v>151875.86</v>
      </c>
    </row>
    <row r="144" customFormat="false" ht="15" hidden="false" customHeight="true" outlineLevel="0" collapsed="false">
      <c r="A144" s="3" t="s">
        <v>57</v>
      </c>
      <c r="B144" s="4" t="n">
        <v>45717</v>
      </c>
      <c r="C144" s="3" t="s">
        <v>27</v>
      </c>
      <c r="D144" s="3" t="s">
        <v>18</v>
      </c>
      <c r="E144" s="3" t="n">
        <v>44034.6</v>
      </c>
      <c r="F144" s="3" t="n">
        <v>5645</v>
      </c>
      <c r="G144" s="3" t="n">
        <v>0.069</v>
      </c>
      <c r="H144" s="3" t="n">
        <v>18</v>
      </c>
      <c r="I144" s="3" t="n">
        <v>88.5</v>
      </c>
      <c r="J144" s="3" t="n">
        <v>3.07</v>
      </c>
      <c r="K144" s="3" t="n">
        <v>0</v>
      </c>
      <c r="L144" s="3" t="n">
        <v>3.8</v>
      </c>
      <c r="M144" s="3" t="n">
        <v>682639.28</v>
      </c>
      <c r="N144" s="3" t="n">
        <v>77557.53</v>
      </c>
    </row>
    <row r="145" customFormat="false" ht="15" hidden="false" customHeight="true" outlineLevel="0" collapsed="false">
      <c r="A145" s="3" t="s">
        <v>57</v>
      </c>
      <c r="B145" s="4" t="n">
        <v>45748</v>
      </c>
      <c r="C145" s="3" t="s">
        <v>27</v>
      </c>
      <c r="D145" s="3" t="s">
        <v>18</v>
      </c>
      <c r="E145" s="3" t="n">
        <v>50198.12</v>
      </c>
      <c r="F145" s="3" t="n">
        <v>6089</v>
      </c>
      <c r="G145" s="3" t="n">
        <v>0.182</v>
      </c>
      <c r="H145" s="3" t="n">
        <v>19</v>
      </c>
      <c r="I145" s="3" t="n">
        <v>94</v>
      </c>
      <c r="J145" s="3" t="n">
        <v>9.7</v>
      </c>
      <c r="K145" s="3" t="n">
        <v>0</v>
      </c>
      <c r="L145" s="3" t="n">
        <v>3.9</v>
      </c>
      <c r="M145" s="3" t="n">
        <v>695098.51</v>
      </c>
      <c r="N145" s="3" t="n">
        <v>108192.75</v>
      </c>
    </row>
    <row r="146" customFormat="false" ht="15" hidden="false" customHeight="true" outlineLevel="0" collapsed="false">
      <c r="A146" s="3" t="s">
        <v>58</v>
      </c>
      <c r="B146" s="4" t="n">
        <v>45658</v>
      </c>
      <c r="C146" s="3" t="s">
        <v>20</v>
      </c>
      <c r="D146" s="3" t="s">
        <v>16</v>
      </c>
      <c r="E146" s="3" t="n">
        <v>70488.2</v>
      </c>
      <c r="F146" s="3" t="n">
        <v>4312</v>
      </c>
      <c r="G146" s="3" t="n">
        <v>0.169</v>
      </c>
      <c r="H146" s="3" t="n">
        <v>12</v>
      </c>
      <c r="I146" s="3" t="n">
        <v>90.2</v>
      </c>
      <c r="J146" s="3" t="n">
        <v>3.71</v>
      </c>
      <c r="K146" s="3" t="n">
        <v>0</v>
      </c>
      <c r="L146" s="3" t="n">
        <v>3.2</v>
      </c>
      <c r="M146" s="3" t="n">
        <v>577732.57</v>
      </c>
      <c r="N146" s="3" t="n">
        <v>93804.27</v>
      </c>
    </row>
    <row r="147" customFormat="false" ht="15" hidden="false" customHeight="true" outlineLevel="0" collapsed="false">
      <c r="A147" s="3" t="s">
        <v>58</v>
      </c>
      <c r="B147" s="4" t="n">
        <v>45689</v>
      </c>
      <c r="C147" s="3" t="s">
        <v>20</v>
      </c>
      <c r="D147" s="3" t="s">
        <v>16</v>
      </c>
      <c r="E147" s="3" t="n">
        <v>50909.27</v>
      </c>
      <c r="F147" s="3" t="n">
        <v>3152</v>
      </c>
      <c r="G147" s="3" t="n">
        <v>0.06</v>
      </c>
      <c r="H147" s="3" t="n">
        <v>13</v>
      </c>
      <c r="I147" s="3" t="n">
        <v>93.7</v>
      </c>
      <c r="J147" s="3" t="n">
        <v>10.79</v>
      </c>
      <c r="K147" s="3" t="n">
        <v>0</v>
      </c>
      <c r="L147" s="3" t="n">
        <v>3.5</v>
      </c>
      <c r="M147" s="3" t="n">
        <v>537058.33</v>
      </c>
      <c r="N147" s="3" t="n">
        <v>93555.71</v>
      </c>
    </row>
    <row r="148" customFormat="false" ht="15" hidden="false" customHeight="true" outlineLevel="0" collapsed="false">
      <c r="A148" s="3" t="s">
        <v>58</v>
      </c>
      <c r="B148" s="4" t="n">
        <v>45717</v>
      </c>
      <c r="C148" s="3" t="s">
        <v>20</v>
      </c>
      <c r="D148" s="3" t="s">
        <v>16</v>
      </c>
      <c r="E148" s="3" t="n">
        <v>53351.7</v>
      </c>
      <c r="F148" s="3" t="n">
        <v>4259</v>
      </c>
      <c r="G148" s="3" t="n">
        <v>0.156</v>
      </c>
      <c r="H148" s="3" t="n">
        <v>15</v>
      </c>
      <c r="I148" s="3" t="n">
        <v>93.7</v>
      </c>
      <c r="J148" s="3" t="n">
        <v>6.03</v>
      </c>
      <c r="K148" s="3" t="n">
        <v>0</v>
      </c>
      <c r="L148" s="3" t="n">
        <v>3.4</v>
      </c>
      <c r="M148" s="3" t="n">
        <v>601568.87</v>
      </c>
      <c r="N148" s="3" t="n">
        <v>91634.82</v>
      </c>
    </row>
    <row r="149" customFormat="false" ht="15" hidden="false" customHeight="true" outlineLevel="0" collapsed="false">
      <c r="A149" s="3" t="s">
        <v>58</v>
      </c>
      <c r="B149" s="4" t="n">
        <v>45748</v>
      </c>
      <c r="C149" s="3" t="s">
        <v>20</v>
      </c>
      <c r="D149" s="3" t="s">
        <v>16</v>
      </c>
      <c r="E149" s="3" t="n">
        <v>60322.4</v>
      </c>
      <c r="F149" s="3" t="n">
        <v>3350</v>
      </c>
      <c r="G149" s="3" t="n">
        <v>0.108</v>
      </c>
      <c r="H149" s="3" t="n">
        <v>12</v>
      </c>
      <c r="I149" s="3" t="n">
        <v>89.4</v>
      </c>
      <c r="J149" s="3" t="n">
        <v>4.92</v>
      </c>
      <c r="K149" s="3" t="n">
        <v>0</v>
      </c>
      <c r="L149" s="3" t="n">
        <v>3.4</v>
      </c>
      <c r="M149" s="3" t="n">
        <v>570964.84</v>
      </c>
      <c r="N149" s="3" t="n">
        <v>81331.07</v>
      </c>
    </row>
    <row r="150" customFormat="false" ht="15" hidden="false" customHeight="true" outlineLevel="0" collapsed="false">
      <c r="A150" s="3" t="s">
        <v>59</v>
      </c>
      <c r="B150" s="4" t="n">
        <v>45658</v>
      </c>
      <c r="C150" s="3" t="s">
        <v>24</v>
      </c>
      <c r="D150" s="3" t="s">
        <v>28</v>
      </c>
      <c r="E150" s="3" t="n">
        <v>51575.68</v>
      </c>
      <c r="F150" s="3" t="n">
        <v>5329</v>
      </c>
      <c r="G150" s="3" t="n">
        <v>0.047</v>
      </c>
      <c r="H150" s="3" t="n">
        <v>17</v>
      </c>
      <c r="I150" s="3" t="n">
        <v>88.1</v>
      </c>
      <c r="J150" s="3" t="n">
        <v>19.78</v>
      </c>
      <c r="K150" s="3" t="n">
        <v>0</v>
      </c>
      <c r="L150" s="3" t="n">
        <v>3.8</v>
      </c>
      <c r="M150" s="3" t="n">
        <v>614024.91</v>
      </c>
      <c r="N150" s="3" t="n">
        <v>84828.93</v>
      </c>
    </row>
    <row r="151" customFormat="false" ht="15" hidden="false" customHeight="true" outlineLevel="0" collapsed="false">
      <c r="A151" s="3" t="s">
        <v>59</v>
      </c>
      <c r="B151" s="4" t="n">
        <v>45689</v>
      </c>
      <c r="C151" s="3" t="s">
        <v>24</v>
      </c>
      <c r="D151" s="3" t="s">
        <v>28</v>
      </c>
      <c r="E151" s="3" t="n">
        <v>43319.94</v>
      </c>
      <c r="F151" s="3" t="n">
        <v>6551</v>
      </c>
      <c r="G151" s="3" t="n">
        <v>0.044</v>
      </c>
      <c r="H151" s="3" t="n">
        <v>13</v>
      </c>
      <c r="I151" s="3" t="n">
        <v>99</v>
      </c>
      <c r="J151" s="3" t="n">
        <v>5.45</v>
      </c>
      <c r="K151" s="3" t="n">
        <v>0</v>
      </c>
      <c r="L151" s="3" t="n">
        <v>4.1</v>
      </c>
      <c r="M151" s="3" t="n">
        <v>712868.35</v>
      </c>
      <c r="N151" s="3" t="n">
        <v>133650.51</v>
      </c>
    </row>
    <row r="152" customFormat="false" ht="15" hidden="false" customHeight="true" outlineLevel="0" collapsed="false">
      <c r="A152" s="3" t="s">
        <v>59</v>
      </c>
      <c r="B152" s="4" t="n">
        <v>45717</v>
      </c>
      <c r="C152" s="3" t="s">
        <v>24</v>
      </c>
      <c r="D152" s="3" t="s">
        <v>28</v>
      </c>
      <c r="E152" s="3" t="n">
        <v>47093.55</v>
      </c>
      <c r="F152" s="3" t="n">
        <v>5550</v>
      </c>
      <c r="G152" s="3" t="n">
        <v>0.1</v>
      </c>
      <c r="H152" s="3" t="n">
        <v>12</v>
      </c>
      <c r="I152" s="3" t="n">
        <v>95</v>
      </c>
      <c r="J152" s="3" t="n">
        <v>2.33</v>
      </c>
      <c r="K152" s="3" t="n">
        <v>1</v>
      </c>
      <c r="L152" s="3" t="n">
        <v>3.7</v>
      </c>
      <c r="M152" s="3" t="n">
        <v>696744.15</v>
      </c>
      <c r="N152" s="3" t="n">
        <v>152230.09</v>
      </c>
    </row>
    <row r="153" customFormat="false" ht="15" hidden="false" customHeight="true" outlineLevel="0" collapsed="false">
      <c r="A153" s="3" t="s">
        <v>59</v>
      </c>
      <c r="B153" s="4" t="n">
        <v>45748</v>
      </c>
      <c r="C153" s="3" t="s">
        <v>24</v>
      </c>
      <c r="D153" s="3" t="s">
        <v>28</v>
      </c>
      <c r="E153" s="3" t="n">
        <v>71855.09</v>
      </c>
      <c r="F153" s="3" t="n">
        <v>5911</v>
      </c>
      <c r="G153" s="3" t="n">
        <v>0.197</v>
      </c>
      <c r="H153" s="3" t="n">
        <v>15</v>
      </c>
      <c r="I153" s="3" t="n">
        <v>94.3</v>
      </c>
      <c r="J153" s="3" t="n">
        <v>3.55</v>
      </c>
      <c r="K153" s="3" t="n">
        <v>0</v>
      </c>
      <c r="L153" s="3" t="n">
        <v>4.1</v>
      </c>
      <c r="M153" s="3" t="n">
        <v>725847.99</v>
      </c>
      <c r="N153" s="3" t="n">
        <v>122698.73</v>
      </c>
    </row>
    <row r="154" customFormat="false" ht="15" hidden="false" customHeight="true" outlineLevel="0" collapsed="false">
      <c r="A154" s="3" t="s">
        <v>60</v>
      </c>
      <c r="B154" s="4" t="n">
        <v>45658</v>
      </c>
      <c r="C154" s="3" t="s">
        <v>15</v>
      </c>
      <c r="D154" s="3" t="s">
        <v>18</v>
      </c>
      <c r="E154" s="3" t="n">
        <v>75645.23</v>
      </c>
      <c r="F154" s="3" t="n">
        <v>9674</v>
      </c>
      <c r="G154" s="3" t="n">
        <v>0.234</v>
      </c>
      <c r="H154" s="3" t="n">
        <v>21</v>
      </c>
      <c r="I154" s="3" t="n">
        <v>87.4</v>
      </c>
      <c r="J154" s="3" t="n">
        <v>0.2</v>
      </c>
      <c r="K154" s="3" t="n">
        <v>0</v>
      </c>
      <c r="L154" s="3" t="n">
        <v>4.5</v>
      </c>
      <c r="M154" s="3" t="n">
        <v>785028.25</v>
      </c>
      <c r="N154" s="3" t="n">
        <v>110726.44</v>
      </c>
    </row>
    <row r="155" customFormat="false" ht="15" hidden="false" customHeight="true" outlineLevel="0" collapsed="false">
      <c r="A155" s="3" t="s">
        <v>60</v>
      </c>
      <c r="B155" s="4" t="n">
        <v>45689</v>
      </c>
      <c r="C155" s="3" t="s">
        <v>15</v>
      </c>
      <c r="D155" s="3" t="s">
        <v>18</v>
      </c>
      <c r="E155" s="3" t="n">
        <v>64374.75</v>
      </c>
      <c r="F155" s="3" t="n">
        <v>6740</v>
      </c>
      <c r="G155" s="3" t="n">
        <v>0.169</v>
      </c>
      <c r="H155" s="3" t="n">
        <v>18</v>
      </c>
      <c r="I155" s="3" t="n">
        <v>87</v>
      </c>
      <c r="J155" s="3" t="n">
        <v>2.09</v>
      </c>
      <c r="K155" s="3" t="n">
        <v>0</v>
      </c>
      <c r="L155" s="3" t="n">
        <v>4.2</v>
      </c>
      <c r="M155" s="3" t="n">
        <v>698492.67</v>
      </c>
      <c r="N155" s="3" t="n">
        <v>117319.32</v>
      </c>
    </row>
    <row r="156" customFormat="false" ht="15" hidden="false" customHeight="true" outlineLevel="0" collapsed="false">
      <c r="A156" s="3" t="s">
        <v>60</v>
      </c>
      <c r="B156" s="4" t="n">
        <v>45717</v>
      </c>
      <c r="C156" s="3" t="s">
        <v>15</v>
      </c>
      <c r="D156" s="3" t="s">
        <v>18</v>
      </c>
      <c r="E156" s="3" t="n">
        <v>61433.84</v>
      </c>
      <c r="F156" s="3" t="n">
        <v>7745</v>
      </c>
      <c r="G156" s="3" t="n">
        <v>0.18</v>
      </c>
      <c r="H156" s="3" t="n">
        <v>16</v>
      </c>
      <c r="I156" s="3" t="n">
        <v>90.5</v>
      </c>
      <c r="J156" s="3" t="n">
        <v>2.26</v>
      </c>
      <c r="K156" s="3" t="n">
        <v>0</v>
      </c>
      <c r="L156" s="3" t="n">
        <v>4.2</v>
      </c>
      <c r="M156" s="3" t="n">
        <v>685830.24</v>
      </c>
      <c r="N156" s="3" t="n">
        <v>128736.18</v>
      </c>
    </row>
    <row r="157" customFormat="false" ht="15" hidden="false" customHeight="true" outlineLevel="0" collapsed="false">
      <c r="A157" s="3" t="s">
        <v>60</v>
      </c>
      <c r="B157" s="4" t="n">
        <v>45748</v>
      </c>
      <c r="C157" s="3" t="s">
        <v>15</v>
      </c>
      <c r="D157" s="3" t="s">
        <v>18</v>
      </c>
      <c r="E157" s="3" t="n">
        <v>42698.14</v>
      </c>
      <c r="F157" s="3" t="n">
        <v>7693</v>
      </c>
      <c r="G157" s="3" t="n">
        <v>0.187</v>
      </c>
      <c r="H157" s="3" t="n">
        <v>19</v>
      </c>
      <c r="I157" s="3" t="n">
        <v>90.1</v>
      </c>
      <c r="J157" s="3" t="n">
        <v>0.44</v>
      </c>
      <c r="K157" s="3" t="n">
        <v>0</v>
      </c>
      <c r="L157" s="3" t="n">
        <v>4.4</v>
      </c>
      <c r="M157" s="3" t="n">
        <v>702318.94</v>
      </c>
      <c r="N157" s="3" t="n">
        <v>112829.29</v>
      </c>
    </row>
    <row r="158" customFormat="false" ht="15" hidden="false" customHeight="true" outlineLevel="0" collapsed="false">
      <c r="A158" s="3" t="s">
        <v>61</v>
      </c>
      <c r="B158" s="4" t="n">
        <v>45658</v>
      </c>
      <c r="C158" s="3" t="s">
        <v>20</v>
      </c>
      <c r="D158" s="3" t="s">
        <v>28</v>
      </c>
      <c r="E158" s="3" t="n">
        <v>86883.31</v>
      </c>
      <c r="F158" s="3" t="n">
        <v>6424</v>
      </c>
      <c r="G158" s="3" t="n">
        <v>0.057</v>
      </c>
      <c r="H158" s="3" t="n">
        <v>19</v>
      </c>
      <c r="I158" s="3" t="n">
        <v>85.2</v>
      </c>
      <c r="J158" s="3" t="n">
        <v>3.08</v>
      </c>
      <c r="K158" s="3" t="n">
        <v>0</v>
      </c>
      <c r="L158" s="3" t="n">
        <v>3.9</v>
      </c>
      <c r="M158" s="3" t="n">
        <v>700078.32</v>
      </c>
      <c r="N158" s="3" t="n">
        <v>123707.58</v>
      </c>
    </row>
    <row r="159" customFormat="false" ht="15" hidden="false" customHeight="true" outlineLevel="0" collapsed="false">
      <c r="A159" s="3" t="s">
        <v>61</v>
      </c>
      <c r="B159" s="4" t="n">
        <v>45689</v>
      </c>
      <c r="C159" s="3" t="s">
        <v>20</v>
      </c>
      <c r="D159" s="3" t="s">
        <v>28</v>
      </c>
      <c r="E159" s="3" t="n">
        <v>41863.08</v>
      </c>
      <c r="F159" s="3" t="n">
        <v>5400</v>
      </c>
      <c r="G159" s="3" t="n">
        <v>0.114</v>
      </c>
      <c r="H159" s="3" t="n">
        <v>11</v>
      </c>
      <c r="I159" s="3" t="n">
        <v>91.6</v>
      </c>
      <c r="J159" s="3" t="n">
        <v>7.99</v>
      </c>
      <c r="K159" s="3" t="n">
        <v>0</v>
      </c>
      <c r="L159" s="3" t="n">
        <v>3</v>
      </c>
      <c r="M159" s="3" t="n">
        <v>602002.32</v>
      </c>
      <c r="N159" s="3" t="n">
        <v>110453.28</v>
      </c>
    </row>
    <row r="160" customFormat="false" ht="15" hidden="false" customHeight="true" outlineLevel="0" collapsed="false">
      <c r="A160" s="3" t="s">
        <v>61</v>
      </c>
      <c r="B160" s="4" t="n">
        <v>45717</v>
      </c>
      <c r="C160" s="3" t="s">
        <v>20</v>
      </c>
      <c r="D160" s="3" t="s">
        <v>28</v>
      </c>
      <c r="E160" s="3" t="n">
        <v>56918.16</v>
      </c>
      <c r="F160" s="3" t="n">
        <v>7015</v>
      </c>
      <c r="G160" s="3" t="n">
        <v>0.158</v>
      </c>
      <c r="H160" s="3" t="n">
        <v>18</v>
      </c>
      <c r="I160" s="3" t="n">
        <v>74.2</v>
      </c>
      <c r="J160" s="3" t="n">
        <v>0.2</v>
      </c>
      <c r="K160" s="3" t="n">
        <v>0</v>
      </c>
      <c r="L160" s="3" t="n">
        <v>3.4</v>
      </c>
      <c r="M160" s="3" t="n">
        <v>724216.07</v>
      </c>
      <c r="N160" s="3" t="n">
        <v>100627.56</v>
      </c>
    </row>
    <row r="161" customFormat="false" ht="15" hidden="false" customHeight="true" outlineLevel="0" collapsed="false">
      <c r="A161" s="3" t="s">
        <v>61</v>
      </c>
      <c r="B161" s="4" t="n">
        <v>45748</v>
      </c>
      <c r="C161" s="3" t="s">
        <v>20</v>
      </c>
      <c r="D161" s="3" t="s">
        <v>28</v>
      </c>
      <c r="E161" s="3" t="n">
        <v>23254.57</v>
      </c>
      <c r="F161" s="3" t="n">
        <v>3847</v>
      </c>
      <c r="G161" s="3" t="n">
        <v>0.159</v>
      </c>
      <c r="H161" s="3" t="n">
        <v>12</v>
      </c>
      <c r="I161" s="3" t="n">
        <v>93</v>
      </c>
      <c r="J161" s="3" t="n">
        <v>5.46</v>
      </c>
      <c r="K161" s="3" t="n">
        <v>0</v>
      </c>
      <c r="L161" s="3" t="n">
        <v>3.3</v>
      </c>
      <c r="M161" s="3" t="n">
        <v>620973.03</v>
      </c>
      <c r="N161" s="3" t="n">
        <v>72303.85</v>
      </c>
    </row>
    <row r="162" customFormat="false" ht="15" hidden="false" customHeight="true" outlineLevel="0" collapsed="false">
      <c r="A162" s="3" t="s">
        <v>62</v>
      </c>
      <c r="B162" s="4" t="n">
        <v>45658</v>
      </c>
      <c r="C162" s="3" t="s">
        <v>24</v>
      </c>
      <c r="D162" s="3" t="s">
        <v>18</v>
      </c>
      <c r="E162" s="3" t="n">
        <v>41443.41</v>
      </c>
      <c r="F162" s="3" t="n">
        <v>7455</v>
      </c>
      <c r="G162" s="3" t="n">
        <v>0.175</v>
      </c>
      <c r="H162" s="3" t="n">
        <v>16</v>
      </c>
      <c r="I162" s="3" t="n">
        <v>90.1</v>
      </c>
      <c r="J162" s="3" t="n">
        <v>4.05</v>
      </c>
      <c r="K162" s="3" t="n">
        <v>0</v>
      </c>
      <c r="L162" s="3" t="n">
        <v>4</v>
      </c>
      <c r="M162" s="3" t="n">
        <v>650480.06</v>
      </c>
      <c r="N162" s="3" t="n">
        <v>109012.07</v>
      </c>
    </row>
    <row r="163" customFormat="false" ht="15" hidden="false" customHeight="true" outlineLevel="0" collapsed="false">
      <c r="A163" s="3" t="s">
        <v>62</v>
      </c>
      <c r="B163" s="4" t="n">
        <v>45689</v>
      </c>
      <c r="C163" s="3" t="s">
        <v>24</v>
      </c>
      <c r="D163" s="3" t="s">
        <v>18</v>
      </c>
      <c r="E163" s="3" t="n">
        <v>48438.85</v>
      </c>
      <c r="F163" s="3" t="n">
        <v>6992</v>
      </c>
      <c r="G163" s="3" t="n">
        <v>0.034</v>
      </c>
      <c r="H163" s="3" t="n">
        <v>20</v>
      </c>
      <c r="I163" s="3" t="n">
        <v>91</v>
      </c>
      <c r="J163" s="3" t="n">
        <v>4.36</v>
      </c>
      <c r="K163" s="3" t="n">
        <v>0</v>
      </c>
      <c r="L163" s="3" t="n">
        <v>4.2</v>
      </c>
      <c r="M163" s="3" t="n">
        <v>778298.88</v>
      </c>
      <c r="N163" s="3" t="n">
        <v>130076.72</v>
      </c>
    </row>
    <row r="164" customFormat="false" ht="15" hidden="false" customHeight="true" outlineLevel="0" collapsed="false">
      <c r="A164" s="3" t="s">
        <v>62</v>
      </c>
      <c r="B164" s="4" t="n">
        <v>45717</v>
      </c>
      <c r="C164" s="3" t="s">
        <v>24</v>
      </c>
      <c r="D164" s="3" t="s">
        <v>18</v>
      </c>
      <c r="E164" s="3" t="n">
        <v>57143.3</v>
      </c>
      <c r="F164" s="3" t="n">
        <v>8038</v>
      </c>
      <c r="G164" s="3" t="n">
        <v>0.193</v>
      </c>
      <c r="H164" s="3" t="n">
        <v>17</v>
      </c>
      <c r="I164" s="3" t="n">
        <v>72.6</v>
      </c>
      <c r="J164" s="3"/>
      <c r="K164" s="3" t="n">
        <v>0</v>
      </c>
      <c r="L164" s="3" t="n">
        <v>4.2</v>
      </c>
      <c r="M164" s="3" t="n">
        <v>677096.71</v>
      </c>
      <c r="N164" s="3" t="n">
        <v>97174.11</v>
      </c>
    </row>
    <row r="165" customFormat="false" ht="15" hidden="false" customHeight="true" outlineLevel="0" collapsed="false">
      <c r="A165" s="3" t="s">
        <v>62</v>
      </c>
      <c r="B165" s="4" t="n">
        <v>45748</v>
      </c>
      <c r="C165" s="3" t="s">
        <v>24</v>
      </c>
      <c r="D165" s="3" t="s">
        <v>18</v>
      </c>
      <c r="E165" s="3" t="n">
        <v>66870.62</v>
      </c>
      <c r="F165" s="3" t="n">
        <v>6055</v>
      </c>
      <c r="G165" s="3" t="n">
        <v>0.075</v>
      </c>
      <c r="H165" s="3" t="n">
        <v>19</v>
      </c>
      <c r="I165" s="3" t="n">
        <v>93.8</v>
      </c>
      <c r="J165" s="3" t="n">
        <v>0.54</v>
      </c>
      <c r="K165" s="3" t="n">
        <v>0</v>
      </c>
      <c r="L165" s="3" t="n">
        <v>4.3</v>
      </c>
      <c r="M165" s="3" t="n">
        <v>692008.64</v>
      </c>
      <c r="N165" s="3" t="n">
        <v>116337.87</v>
      </c>
    </row>
    <row r="166" customFormat="false" ht="15" hidden="false" customHeight="true" outlineLevel="0" collapsed="false">
      <c r="A166" s="3" t="s">
        <v>63</v>
      </c>
      <c r="B166" s="4" t="n">
        <v>45658</v>
      </c>
      <c r="C166" s="3" t="s">
        <v>20</v>
      </c>
      <c r="D166" s="3" t="s">
        <v>28</v>
      </c>
      <c r="E166" s="3" t="n">
        <v>72150.53</v>
      </c>
      <c r="F166" s="3" t="n">
        <v>9323</v>
      </c>
      <c r="G166" s="3" t="n">
        <v>0.157</v>
      </c>
      <c r="H166" s="3" t="n">
        <v>22</v>
      </c>
      <c r="I166" s="3" t="n">
        <v>82.9</v>
      </c>
      <c r="J166" s="3" t="n">
        <v>11.37</v>
      </c>
      <c r="K166" s="3" t="n">
        <v>1</v>
      </c>
      <c r="L166" s="3" t="n">
        <v>4.3</v>
      </c>
      <c r="M166" s="3" t="n">
        <v>825797.91</v>
      </c>
      <c r="N166" s="3" t="n">
        <v>130945.24</v>
      </c>
    </row>
    <row r="167" customFormat="false" ht="15" hidden="false" customHeight="true" outlineLevel="0" collapsed="false">
      <c r="A167" s="3" t="s">
        <v>63</v>
      </c>
      <c r="B167" s="4" t="n">
        <v>45689</v>
      </c>
      <c r="C167" s="3" t="s">
        <v>20</v>
      </c>
      <c r="D167" s="3" t="s">
        <v>28</v>
      </c>
      <c r="E167" s="3" t="n">
        <v>35303.3</v>
      </c>
      <c r="F167" s="3" t="n">
        <v>8789</v>
      </c>
      <c r="G167" s="3" t="n">
        <v>0.123</v>
      </c>
      <c r="H167" s="3" t="n">
        <v>22</v>
      </c>
      <c r="I167" s="3" t="n">
        <v>86.1</v>
      </c>
      <c r="J167" s="3" t="n">
        <v>9.43</v>
      </c>
      <c r="K167" s="3" t="n">
        <v>0</v>
      </c>
      <c r="L167" s="3" t="n">
        <v>4.2</v>
      </c>
      <c r="M167" s="3" t="n">
        <v>706285.52</v>
      </c>
      <c r="N167" s="3" t="n">
        <v>138014.72</v>
      </c>
    </row>
    <row r="168" customFormat="false" ht="15" hidden="false" customHeight="true" outlineLevel="0" collapsed="false">
      <c r="A168" s="3" t="s">
        <v>63</v>
      </c>
      <c r="B168" s="4" t="n">
        <v>45717</v>
      </c>
      <c r="C168" s="3" t="s">
        <v>20</v>
      </c>
      <c r="D168" s="3" t="s">
        <v>28</v>
      </c>
      <c r="E168" s="3" t="n">
        <v>30301.86</v>
      </c>
      <c r="F168" s="3" t="n">
        <v>6939</v>
      </c>
      <c r="G168" s="3" t="n">
        <v>0.09</v>
      </c>
      <c r="H168" s="3" t="n">
        <v>16</v>
      </c>
      <c r="I168" s="3" t="n">
        <v>90.3</v>
      </c>
      <c r="J168" s="3" t="n">
        <v>3.49</v>
      </c>
      <c r="K168" s="3" t="n">
        <v>0</v>
      </c>
      <c r="L168" s="3" t="n">
        <v>4</v>
      </c>
      <c r="M168" s="3" t="n">
        <v>665534.7</v>
      </c>
      <c r="N168" s="3" t="n">
        <v>113167.73</v>
      </c>
    </row>
    <row r="169" customFormat="false" ht="15" hidden="false" customHeight="true" outlineLevel="0" collapsed="false">
      <c r="A169" s="3" t="s">
        <v>63</v>
      </c>
      <c r="B169" s="4" t="n">
        <v>45748</v>
      </c>
      <c r="C169" s="3" t="s">
        <v>20</v>
      </c>
      <c r="D169" s="3" t="s">
        <v>28</v>
      </c>
      <c r="E169" s="3" t="n">
        <v>78432.14</v>
      </c>
      <c r="F169" s="3" t="n">
        <v>9440</v>
      </c>
      <c r="G169" s="3" t="n">
        <v>0.126</v>
      </c>
      <c r="H169" s="3" t="n">
        <v>23</v>
      </c>
      <c r="I169" s="3" t="n">
        <v>89.2</v>
      </c>
      <c r="J169" s="3" t="n">
        <v>7.86</v>
      </c>
      <c r="K169" s="3" t="n">
        <v>0</v>
      </c>
      <c r="L169" s="3" t="n">
        <v>4.1</v>
      </c>
      <c r="M169" s="3" t="n">
        <v>820729.29</v>
      </c>
      <c r="N169" s="3" t="n">
        <v>159325.47</v>
      </c>
    </row>
    <row r="170" customFormat="false" ht="15" hidden="false" customHeight="true" outlineLevel="0" collapsed="false">
      <c r="A170" s="3" t="s">
        <v>64</v>
      </c>
      <c r="B170" s="4" t="n">
        <v>45658</v>
      </c>
      <c r="C170" s="3" t="s">
        <v>15</v>
      </c>
      <c r="D170" s="3" t="s">
        <v>16</v>
      </c>
      <c r="E170" s="3" t="n">
        <v>62059.18</v>
      </c>
      <c r="F170" s="3" t="n">
        <v>9374</v>
      </c>
      <c r="G170" s="3" t="n">
        <v>0.136</v>
      </c>
      <c r="H170" s="3" t="n">
        <v>25</v>
      </c>
      <c r="I170" s="3" t="n">
        <v>87.1</v>
      </c>
      <c r="J170" s="3" t="n">
        <v>12.55</v>
      </c>
      <c r="K170" s="3" t="n">
        <v>0</v>
      </c>
      <c r="L170" s="3" t="n">
        <v>4.9</v>
      </c>
      <c r="M170" s="3" t="n">
        <v>739831.73</v>
      </c>
      <c r="N170" s="3" t="n">
        <v>119490.21</v>
      </c>
    </row>
    <row r="171" customFormat="false" ht="15" hidden="false" customHeight="true" outlineLevel="0" collapsed="false">
      <c r="A171" s="3" t="s">
        <v>64</v>
      </c>
      <c r="B171" s="4" t="n">
        <v>45689</v>
      </c>
      <c r="C171" s="3" t="s">
        <v>15</v>
      </c>
      <c r="D171" s="3" t="s">
        <v>16</v>
      </c>
      <c r="E171" s="3" t="n">
        <v>32834.48</v>
      </c>
      <c r="F171" s="3" t="n">
        <v>7576</v>
      </c>
      <c r="G171" s="3" t="n">
        <v>0.099</v>
      </c>
      <c r="H171" s="3" t="n">
        <v>15</v>
      </c>
      <c r="I171" s="3" t="n">
        <v>84.1</v>
      </c>
      <c r="J171" s="3" t="n">
        <v>3.48</v>
      </c>
      <c r="K171" s="3" t="n">
        <v>0</v>
      </c>
      <c r="L171" s="3" t="n">
        <v>5</v>
      </c>
      <c r="M171" s="3" t="n">
        <v>593637.14</v>
      </c>
      <c r="N171" s="3" t="n">
        <v>106648.14</v>
      </c>
    </row>
    <row r="172" customFormat="false" ht="15" hidden="false" customHeight="true" outlineLevel="0" collapsed="false">
      <c r="A172" s="3" t="s">
        <v>64</v>
      </c>
      <c r="B172" s="4" t="n">
        <v>45717</v>
      </c>
      <c r="C172" s="3" t="s">
        <v>15</v>
      </c>
      <c r="D172" s="3" t="s">
        <v>16</v>
      </c>
      <c r="E172" s="3" t="n">
        <v>50825.08</v>
      </c>
      <c r="F172" s="3" t="n">
        <v>8949</v>
      </c>
      <c r="G172" s="3" t="n">
        <v>0.157</v>
      </c>
      <c r="H172" s="3" t="n">
        <v>21</v>
      </c>
      <c r="I172" s="3" t="n">
        <v>84.7</v>
      </c>
      <c r="J172" s="3" t="n">
        <v>7.73</v>
      </c>
      <c r="K172" s="3" t="n">
        <v>0</v>
      </c>
      <c r="L172" s="3" t="n">
        <v>4.9</v>
      </c>
      <c r="M172" s="3" t="n">
        <v>769702.76</v>
      </c>
      <c r="N172" s="3" t="n">
        <v>158697</v>
      </c>
    </row>
    <row r="173" customFormat="false" ht="15" hidden="false" customHeight="true" outlineLevel="0" collapsed="false">
      <c r="A173" s="3" t="s">
        <v>64</v>
      </c>
      <c r="B173" s="4" t="n">
        <v>45748</v>
      </c>
      <c r="C173" s="3" t="s">
        <v>15</v>
      </c>
      <c r="D173" s="3" t="s">
        <v>16</v>
      </c>
      <c r="E173" s="3" t="n">
        <v>36606.51</v>
      </c>
      <c r="F173" s="3" t="n">
        <v>7671</v>
      </c>
      <c r="G173" s="3" t="n">
        <v>0.118</v>
      </c>
      <c r="H173" s="3" t="n">
        <v>18</v>
      </c>
      <c r="I173" s="3" t="n">
        <v>89.8</v>
      </c>
      <c r="J173" s="3" t="n">
        <v>0.25</v>
      </c>
      <c r="K173" s="3" t="n">
        <v>0</v>
      </c>
      <c r="L173" s="3" t="n">
        <v>4.4</v>
      </c>
      <c r="M173" s="3" t="n">
        <v>679731.57</v>
      </c>
      <c r="N173" s="3" t="n">
        <v>121546.42</v>
      </c>
    </row>
    <row r="174" customFormat="false" ht="15" hidden="false" customHeight="true" outlineLevel="0" collapsed="false">
      <c r="A174" s="3" t="s">
        <v>65</v>
      </c>
      <c r="B174" s="4" t="n">
        <v>45658</v>
      </c>
      <c r="C174" s="3" t="s">
        <v>15</v>
      </c>
      <c r="D174" s="3" t="s">
        <v>16</v>
      </c>
      <c r="E174" s="3" t="n">
        <v>65237.79</v>
      </c>
      <c r="F174" s="3" t="n">
        <v>8741</v>
      </c>
      <c r="G174" s="3" t="n">
        <v>0.157</v>
      </c>
      <c r="H174" s="3" t="n">
        <v>20</v>
      </c>
      <c r="I174" s="3" t="n">
        <v>94.4</v>
      </c>
      <c r="J174" s="3" t="n">
        <v>6.43</v>
      </c>
      <c r="K174" s="3" t="n">
        <v>0</v>
      </c>
      <c r="L174" s="3" t="n">
        <v>3.3</v>
      </c>
      <c r="M174" s="3" t="n">
        <v>780344.18</v>
      </c>
      <c r="N174" s="3" t="n">
        <v>118239.09</v>
      </c>
    </row>
    <row r="175" customFormat="false" ht="15" hidden="false" customHeight="true" outlineLevel="0" collapsed="false">
      <c r="A175" s="3" t="s">
        <v>65</v>
      </c>
      <c r="B175" s="4" t="n">
        <v>45689</v>
      </c>
      <c r="C175" s="3" t="s">
        <v>15</v>
      </c>
      <c r="D175" s="3" t="s">
        <v>16</v>
      </c>
      <c r="E175" s="3" t="n">
        <v>43645.98</v>
      </c>
      <c r="F175" s="3" t="n">
        <v>9480</v>
      </c>
      <c r="G175" s="3" t="n">
        <v>0.109</v>
      </c>
      <c r="H175" s="3" t="n">
        <v>22</v>
      </c>
      <c r="I175" s="3" t="n">
        <v>89</v>
      </c>
      <c r="J175" s="3" t="n">
        <v>2.11</v>
      </c>
      <c r="K175" s="3" t="n">
        <v>0</v>
      </c>
      <c r="L175" s="3" t="n">
        <v>3.1</v>
      </c>
      <c r="M175" s="3" t="n">
        <v>721364.11</v>
      </c>
      <c r="N175" s="3" t="n">
        <v>147272.81</v>
      </c>
    </row>
    <row r="176" customFormat="false" ht="15" hidden="false" customHeight="true" outlineLevel="0" collapsed="false">
      <c r="A176" s="3" t="s">
        <v>65</v>
      </c>
      <c r="B176" s="4" t="n">
        <v>45717</v>
      </c>
      <c r="C176" s="3" t="s">
        <v>15</v>
      </c>
      <c r="D176" s="3" t="s">
        <v>16</v>
      </c>
      <c r="E176" s="3" t="n">
        <v>68040.15</v>
      </c>
      <c r="F176" s="3" t="n">
        <v>9826</v>
      </c>
      <c r="G176" s="3" t="n">
        <v>0.125</v>
      </c>
      <c r="H176" s="3" t="n">
        <v>20</v>
      </c>
      <c r="I176" s="3" t="n">
        <v>83.9</v>
      </c>
      <c r="J176" s="3" t="n">
        <v>9.12</v>
      </c>
      <c r="K176" s="3" t="n">
        <v>0</v>
      </c>
      <c r="L176" s="3" t="n">
        <v>3.6</v>
      </c>
      <c r="M176" s="3" t="n">
        <v>758138.29</v>
      </c>
      <c r="N176" s="3" t="n">
        <v>132975.26</v>
      </c>
    </row>
    <row r="177" customFormat="false" ht="15" hidden="false" customHeight="true" outlineLevel="0" collapsed="false">
      <c r="A177" s="3" t="s">
        <v>65</v>
      </c>
      <c r="B177" s="4" t="n">
        <v>45748</v>
      </c>
      <c r="C177" s="3" t="s">
        <v>15</v>
      </c>
      <c r="D177" s="3" t="s">
        <v>16</v>
      </c>
      <c r="E177" s="3" t="n">
        <v>63043.94</v>
      </c>
      <c r="F177" s="3" t="n">
        <v>10402</v>
      </c>
      <c r="G177" s="3" t="n">
        <v>0.159</v>
      </c>
      <c r="H177" s="3" t="n">
        <v>23</v>
      </c>
      <c r="I177" s="3" t="n">
        <v>93.9</v>
      </c>
      <c r="J177" s="3" t="n">
        <v>2.71</v>
      </c>
      <c r="K177" s="3" t="n">
        <v>0</v>
      </c>
      <c r="L177" s="3" t="n">
        <v>3.1</v>
      </c>
      <c r="M177" s="3" t="n">
        <v>804264</v>
      </c>
      <c r="N177" s="3" t="n">
        <v>167117.91</v>
      </c>
    </row>
    <row r="178" customFormat="false" ht="15" hidden="false" customHeight="true" outlineLevel="0" collapsed="false">
      <c r="A178" s="3" t="s">
        <v>66</v>
      </c>
      <c r="B178" s="4" t="n">
        <v>45658</v>
      </c>
      <c r="C178" s="3" t="s">
        <v>27</v>
      </c>
      <c r="D178" s="3" t="s">
        <v>21</v>
      </c>
      <c r="E178" s="3" t="n">
        <v>67494.09</v>
      </c>
      <c r="F178" s="3" t="n">
        <v>12361</v>
      </c>
      <c r="G178" s="3" t="n">
        <v>0.046</v>
      </c>
      <c r="H178" s="3" t="n">
        <v>24</v>
      </c>
      <c r="I178" s="3" t="n">
        <v>76.6</v>
      </c>
      <c r="J178" s="3" t="n">
        <v>3.65</v>
      </c>
      <c r="K178" s="3" t="n">
        <v>1</v>
      </c>
      <c r="L178" s="3" t="n">
        <v>3.7</v>
      </c>
      <c r="M178" s="3" t="n">
        <v>887537.75</v>
      </c>
      <c r="N178" s="3" t="n">
        <v>160362.92</v>
      </c>
    </row>
    <row r="179" customFormat="false" ht="15" hidden="false" customHeight="true" outlineLevel="0" collapsed="false">
      <c r="A179" s="3" t="s">
        <v>66</v>
      </c>
      <c r="B179" s="4" t="n">
        <v>45689</v>
      </c>
      <c r="C179" s="3" t="s">
        <v>27</v>
      </c>
      <c r="D179" s="3" t="s">
        <v>21</v>
      </c>
      <c r="E179" s="3" t="n">
        <v>29389.32</v>
      </c>
      <c r="F179" s="3" t="n">
        <v>7925</v>
      </c>
      <c r="G179" s="3" t="n">
        <v>0.177</v>
      </c>
      <c r="H179" s="3" t="n">
        <v>21</v>
      </c>
      <c r="I179" s="3" t="n">
        <v>90.9</v>
      </c>
      <c r="J179" s="3" t="n">
        <v>7.86</v>
      </c>
      <c r="K179" s="3" t="n">
        <v>0</v>
      </c>
      <c r="L179" s="3" t="n">
        <v>4</v>
      </c>
      <c r="M179" s="3" t="n">
        <v>783582</v>
      </c>
      <c r="N179" s="3" t="n">
        <v>130670.93</v>
      </c>
    </row>
    <row r="180" customFormat="false" ht="15" hidden="false" customHeight="true" outlineLevel="0" collapsed="false">
      <c r="A180" s="3" t="s">
        <v>66</v>
      </c>
      <c r="B180" s="4" t="n">
        <v>45717</v>
      </c>
      <c r="C180" s="3" t="s">
        <v>27</v>
      </c>
      <c r="D180" s="3" t="s">
        <v>21</v>
      </c>
      <c r="E180" s="3" t="n">
        <v>40535.09</v>
      </c>
      <c r="F180" s="3" t="n">
        <v>8870</v>
      </c>
      <c r="G180" s="3" t="n">
        <v>0.041</v>
      </c>
      <c r="H180" s="3" t="n">
        <v>21</v>
      </c>
      <c r="I180" s="3" t="n">
        <v>86.6</v>
      </c>
      <c r="J180" s="3" t="n">
        <v>0.3</v>
      </c>
      <c r="K180" s="3" t="n">
        <v>0</v>
      </c>
      <c r="L180" s="3" t="n">
        <v>4.1</v>
      </c>
      <c r="M180" s="3" t="n">
        <v>781955.52</v>
      </c>
      <c r="N180" s="3" t="n">
        <v>152578.71</v>
      </c>
    </row>
    <row r="181" customFormat="false" ht="15" hidden="false" customHeight="true" outlineLevel="0" collapsed="false">
      <c r="A181" s="3" t="s">
        <v>66</v>
      </c>
      <c r="B181" s="4" t="n">
        <v>45748</v>
      </c>
      <c r="C181" s="3" t="s">
        <v>27</v>
      </c>
      <c r="D181" s="3" t="s">
        <v>21</v>
      </c>
      <c r="E181" s="3" t="n">
        <v>74881.56</v>
      </c>
      <c r="F181" s="3" t="n">
        <v>9999</v>
      </c>
      <c r="G181" s="3" t="n">
        <v>0.013</v>
      </c>
      <c r="H181" s="3" t="n">
        <v>20</v>
      </c>
      <c r="I181" s="3" t="n">
        <v>89.6</v>
      </c>
      <c r="J181" s="3" t="n">
        <v>8.44</v>
      </c>
      <c r="K181" s="3" t="n">
        <v>0</v>
      </c>
      <c r="L181" s="3" t="n">
        <v>4.1</v>
      </c>
      <c r="M181" s="3" t="n">
        <v>898031.04</v>
      </c>
      <c r="N181" s="3" t="n">
        <v>138666.5</v>
      </c>
    </row>
    <row r="182" customFormat="false" ht="15" hidden="false" customHeight="true" outlineLevel="0" collapsed="false">
      <c r="A182" s="3" t="s">
        <v>67</v>
      </c>
      <c r="B182" s="4" t="n">
        <v>45658</v>
      </c>
      <c r="C182" s="3" t="s">
        <v>27</v>
      </c>
      <c r="D182" s="3" t="s">
        <v>16</v>
      </c>
      <c r="E182" s="3" t="n">
        <v>68491.11</v>
      </c>
      <c r="F182" s="3" t="n">
        <v>11154</v>
      </c>
      <c r="G182" s="3" t="n">
        <v>0.001</v>
      </c>
      <c r="H182" s="3" t="n">
        <v>24</v>
      </c>
      <c r="I182" s="3" t="n">
        <v>89.4</v>
      </c>
      <c r="J182" s="3" t="n">
        <v>5.27</v>
      </c>
      <c r="K182" s="3" t="n">
        <v>1</v>
      </c>
      <c r="L182" s="3" t="n">
        <v>3.9</v>
      </c>
      <c r="M182" s="3" t="n">
        <v>855341.28</v>
      </c>
      <c r="N182" s="3" t="n">
        <v>175823.8</v>
      </c>
    </row>
    <row r="183" customFormat="false" ht="15" hidden="false" customHeight="true" outlineLevel="0" collapsed="false">
      <c r="A183" s="3" t="s">
        <v>67</v>
      </c>
      <c r="B183" s="4" t="n">
        <v>45689</v>
      </c>
      <c r="C183" s="3" t="s">
        <v>27</v>
      </c>
      <c r="D183" s="3" t="s">
        <v>16</v>
      </c>
      <c r="E183" s="3" t="n">
        <v>45209.25</v>
      </c>
      <c r="F183" s="3" t="n">
        <v>9287</v>
      </c>
      <c r="G183" s="3" t="n">
        <v>0.141</v>
      </c>
      <c r="H183" s="3" t="n">
        <v>22</v>
      </c>
      <c r="I183" s="3" t="n">
        <v>86.4</v>
      </c>
      <c r="J183" s="3" t="n">
        <v>13.22</v>
      </c>
      <c r="K183" s="3" t="n">
        <v>0</v>
      </c>
      <c r="L183" s="3" t="n">
        <v>3.6</v>
      </c>
      <c r="M183" s="3" t="n">
        <v>751393.88</v>
      </c>
      <c r="N183" s="3" t="n">
        <v>91480.32</v>
      </c>
    </row>
    <row r="184" customFormat="false" ht="15" hidden="false" customHeight="true" outlineLevel="0" collapsed="false">
      <c r="A184" s="3" t="s">
        <v>67</v>
      </c>
      <c r="B184" s="4" t="n">
        <v>45717</v>
      </c>
      <c r="C184" s="3" t="s">
        <v>27</v>
      </c>
      <c r="D184" s="3" t="s">
        <v>16</v>
      </c>
      <c r="E184" s="3" t="n">
        <v>63010.23</v>
      </c>
      <c r="F184" s="3" t="n">
        <v>9812</v>
      </c>
      <c r="G184" s="3" t="n">
        <v>0.113</v>
      </c>
      <c r="H184" s="3" t="n">
        <v>24</v>
      </c>
      <c r="I184" s="3" t="n">
        <v>76.8</v>
      </c>
      <c r="J184" s="3" t="n">
        <v>1.02</v>
      </c>
      <c r="K184" s="3" t="n">
        <v>1</v>
      </c>
      <c r="L184" s="3" t="n">
        <v>3.8</v>
      </c>
      <c r="M184" s="3" t="n">
        <v>761077.08</v>
      </c>
      <c r="N184" s="3" t="n">
        <v>113605.93</v>
      </c>
    </row>
    <row r="185" customFormat="false" ht="15" hidden="false" customHeight="true" outlineLevel="0" collapsed="false">
      <c r="A185" s="3" t="s">
        <v>67</v>
      </c>
      <c r="B185" s="4" t="n">
        <v>45748</v>
      </c>
      <c r="C185" s="3" t="s">
        <v>27</v>
      </c>
      <c r="D185" s="3" t="s">
        <v>16</v>
      </c>
      <c r="E185" s="3" t="n">
        <v>57948.88</v>
      </c>
      <c r="F185" s="3" t="n">
        <v>10741</v>
      </c>
      <c r="G185" s="3" t="n">
        <v>0.07</v>
      </c>
      <c r="H185" s="3" t="n">
        <v>25</v>
      </c>
      <c r="I185" s="3" t="n">
        <v>90.1</v>
      </c>
      <c r="J185" s="3" t="n">
        <v>4.03</v>
      </c>
      <c r="K185" s="3" t="n">
        <v>0</v>
      </c>
      <c r="L185" s="3" t="n">
        <v>3.1</v>
      </c>
      <c r="M185" s="3" t="n">
        <v>819660.59</v>
      </c>
      <c r="N185" s="3" t="n">
        <v>172699.95</v>
      </c>
    </row>
    <row r="186" customFormat="false" ht="15" hidden="false" customHeight="true" outlineLevel="0" collapsed="false">
      <c r="A186" s="3" t="s">
        <v>68</v>
      </c>
      <c r="B186" s="4" t="n">
        <v>45658</v>
      </c>
      <c r="C186" s="3" t="s">
        <v>20</v>
      </c>
      <c r="D186" s="3" t="s">
        <v>18</v>
      </c>
      <c r="E186" s="3" t="n">
        <v>71941.62</v>
      </c>
      <c r="F186" s="3" t="n">
        <v>6084</v>
      </c>
      <c r="G186" s="3" t="n">
        <v>0.072</v>
      </c>
      <c r="H186" s="3" t="n">
        <v>13</v>
      </c>
      <c r="I186" s="3" t="n">
        <v>93.7</v>
      </c>
      <c r="J186" s="3" t="n">
        <v>2.34</v>
      </c>
      <c r="K186" s="3" t="n">
        <v>0</v>
      </c>
      <c r="L186" s="3" t="n">
        <v>4.4</v>
      </c>
      <c r="M186" s="3" t="n">
        <v>681855.56</v>
      </c>
      <c r="N186" s="3" t="n">
        <v>117645.61</v>
      </c>
    </row>
    <row r="187" customFormat="false" ht="15" hidden="false" customHeight="true" outlineLevel="0" collapsed="false">
      <c r="A187" s="3" t="s">
        <v>68</v>
      </c>
      <c r="B187" s="4" t="n">
        <v>45689</v>
      </c>
      <c r="C187" s="3" t="s">
        <v>20</v>
      </c>
      <c r="D187" s="3" t="s">
        <v>18</v>
      </c>
      <c r="E187" s="3" t="n">
        <v>57147.88</v>
      </c>
      <c r="F187" s="3" t="n">
        <v>5252</v>
      </c>
      <c r="G187" s="3" t="n">
        <v>0.161</v>
      </c>
      <c r="H187" s="3" t="n">
        <v>15</v>
      </c>
      <c r="I187" s="3" t="n">
        <v>95.5</v>
      </c>
      <c r="J187" s="3" t="n">
        <v>8.51</v>
      </c>
      <c r="K187" s="3" t="n">
        <v>0</v>
      </c>
      <c r="L187" s="3" t="n">
        <v>4.4</v>
      </c>
      <c r="M187" s="3" t="n">
        <v>678311.17</v>
      </c>
      <c r="N187" s="3" t="n">
        <v>132029.76</v>
      </c>
    </row>
    <row r="188" customFormat="false" ht="15" hidden="false" customHeight="true" outlineLevel="0" collapsed="false">
      <c r="A188" s="3" t="s">
        <v>68</v>
      </c>
      <c r="B188" s="4" t="n">
        <v>45717</v>
      </c>
      <c r="C188" s="3" t="s">
        <v>20</v>
      </c>
      <c r="D188" s="3" t="s">
        <v>18</v>
      </c>
      <c r="E188" s="3" t="n">
        <v>48031.74</v>
      </c>
      <c r="F188" s="3" t="n">
        <v>6516</v>
      </c>
      <c r="G188" s="3" t="n">
        <v>0.067</v>
      </c>
      <c r="H188" s="3" t="n">
        <v>14</v>
      </c>
      <c r="I188" s="3" t="n">
        <v>99</v>
      </c>
      <c r="J188" s="3" t="n">
        <v>0.48</v>
      </c>
      <c r="K188" s="3" t="n">
        <v>1</v>
      </c>
      <c r="L188" s="3" t="n">
        <v>4.3</v>
      </c>
      <c r="M188" s="3" t="n">
        <v>765906.95</v>
      </c>
      <c r="N188" s="3" t="n">
        <v>114005.9</v>
      </c>
    </row>
    <row r="189" customFormat="false" ht="15" hidden="false" customHeight="true" outlineLevel="0" collapsed="false">
      <c r="A189" s="3" t="s">
        <v>68</v>
      </c>
      <c r="B189" s="4" t="n">
        <v>45748</v>
      </c>
      <c r="C189" s="3" t="s">
        <v>20</v>
      </c>
      <c r="D189" s="3" t="s">
        <v>18</v>
      </c>
      <c r="E189" s="3" t="n">
        <v>72784.8</v>
      </c>
      <c r="F189" s="3" t="n">
        <v>7932</v>
      </c>
      <c r="G189" s="3" t="n">
        <v>0.094</v>
      </c>
      <c r="H189" s="3" t="n">
        <v>20</v>
      </c>
      <c r="I189" s="3" t="n">
        <v>74.9</v>
      </c>
      <c r="J189" s="3" t="n">
        <v>13.62</v>
      </c>
      <c r="K189" s="3" t="n">
        <v>0</v>
      </c>
      <c r="L189" s="3" t="n">
        <v>4.2</v>
      </c>
      <c r="M189" s="3" t="n">
        <v>712546.38</v>
      </c>
      <c r="N189" s="3" t="n">
        <v>101480.04</v>
      </c>
    </row>
    <row r="190" customFormat="false" ht="15" hidden="false" customHeight="true" outlineLevel="0" collapsed="false">
      <c r="A190" s="3" t="s">
        <v>69</v>
      </c>
      <c r="B190" s="4" t="n">
        <v>45658</v>
      </c>
      <c r="C190" s="3" t="s">
        <v>15</v>
      </c>
      <c r="D190" s="3" t="s">
        <v>18</v>
      </c>
      <c r="E190" s="3" t="n">
        <v>71641.9</v>
      </c>
      <c r="F190" s="3" t="n">
        <v>3506</v>
      </c>
      <c r="G190" s="3" t="n">
        <v>0</v>
      </c>
      <c r="H190" s="3" t="n">
        <v>11</v>
      </c>
      <c r="I190" s="3" t="n">
        <v>86.4</v>
      </c>
      <c r="J190" s="3" t="n">
        <v>7.77</v>
      </c>
      <c r="K190" s="3" t="n">
        <v>0</v>
      </c>
      <c r="L190" s="3" t="n">
        <v>4.1</v>
      </c>
      <c r="M190" s="3" t="n">
        <v>625993.83</v>
      </c>
      <c r="N190" s="3" t="n">
        <v>98960.32</v>
      </c>
    </row>
    <row r="191" customFormat="false" ht="15" hidden="false" customHeight="true" outlineLevel="0" collapsed="false">
      <c r="A191" s="3" t="s">
        <v>69</v>
      </c>
      <c r="B191" s="4" t="n">
        <v>45689</v>
      </c>
      <c r="C191" s="3" t="s">
        <v>15</v>
      </c>
      <c r="D191" s="3" t="s">
        <v>18</v>
      </c>
      <c r="E191" s="3" t="n">
        <v>55788.61</v>
      </c>
      <c r="F191" s="3" t="n">
        <v>2312</v>
      </c>
      <c r="G191" s="3" t="n">
        <v>0.058</v>
      </c>
      <c r="H191" s="3" t="n">
        <v>10</v>
      </c>
      <c r="I191" s="3" t="n">
        <v>91.3</v>
      </c>
      <c r="J191" s="3" t="n">
        <v>1.99</v>
      </c>
      <c r="K191" s="3" t="n">
        <v>0</v>
      </c>
      <c r="L191" s="3" t="n">
        <v>3.8</v>
      </c>
      <c r="M191" s="3" t="n">
        <v>550962.93</v>
      </c>
      <c r="N191" s="3" t="n">
        <v>97144.58</v>
      </c>
    </row>
    <row r="192" customFormat="false" ht="15" hidden="false" customHeight="true" outlineLevel="0" collapsed="false">
      <c r="A192" s="3" t="s">
        <v>69</v>
      </c>
      <c r="B192" s="4" t="n">
        <v>45717</v>
      </c>
      <c r="C192" s="3" t="s">
        <v>15</v>
      </c>
      <c r="D192" s="3" t="s">
        <v>18</v>
      </c>
      <c r="E192" s="3" t="n">
        <v>37705.88</v>
      </c>
      <c r="F192" s="3" t="n">
        <v>1268</v>
      </c>
      <c r="G192" s="3" t="n">
        <v>0.259</v>
      </c>
      <c r="H192" s="3" t="n">
        <v>9</v>
      </c>
      <c r="I192" s="3" t="n">
        <v>84.1</v>
      </c>
      <c r="J192" s="3" t="n">
        <v>4.77</v>
      </c>
      <c r="K192" s="3" t="n">
        <v>0</v>
      </c>
      <c r="L192" s="3" t="n">
        <v>3.8</v>
      </c>
      <c r="M192" s="3" t="n">
        <v>443275.59</v>
      </c>
      <c r="N192" s="3" t="n">
        <v>53544.36</v>
      </c>
    </row>
    <row r="193" customFormat="false" ht="15" hidden="false" customHeight="true" outlineLevel="0" collapsed="false">
      <c r="A193" s="3" t="s">
        <v>69</v>
      </c>
      <c r="B193" s="4" t="n">
        <v>45748</v>
      </c>
      <c r="C193" s="3" t="s">
        <v>15</v>
      </c>
      <c r="D193" s="3" t="s">
        <v>18</v>
      </c>
      <c r="E193" s="3" t="n">
        <v>54966.18</v>
      </c>
      <c r="F193" s="3" t="n">
        <v>4423</v>
      </c>
      <c r="G193" s="3" t="n">
        <v>0.186</v>
      </c>
      <c r="H193" s="3" t="n">
        <v>13</v>
      </c>
      <c r="I193" s="3" t="n">
        <v>88.7</v>
      </c>
      <c r="J193" s="3" t="n">
        <v>0.2</v>
      </c>
      <c r="K193" s="3" t="n">
        <v>0</v>
      </c>
      <c r="L193" s="3" t="n">
        <v>4.4</v>
      </c>
      <c r="M193" s="3" t="n">
        <v>554012.07</v>
      </c>
      <c r="N193" s="3" t="n">
        <v>81101.62</v>
      </c>
    </row>
    <row r="194" customFormat="false" ht="15" hidden="false" customHeight="true" outlineLevel="0" collapsed="false">
      <c r="A194" s="3" t="s">
        <v>70</v>
      </c>
      <c r="B194" s="4" t="n">
        <v>45658</v>
      </c>
      <c r="C194" s="3" t="s">
        <v>27</v>
      </c>
      <c r="D194" s="3" t="s">
        <v>16</v>
      </c>
      <c r="E194" s="3" t="n">
        <v>81796.74</v>
      </c>
      <c r="F194" s="3" t="n">
        <v>6177</v>
      </c>
      <c r="G194" s="3" t="n">
        <v>0.164</v>
      </c>
      <c r="H194" s="3" t="n">
        <v>14</v>
      </c>
      <c r="I194" s="3" t="n">
        <v>87.9</v>
      </c>
      <c r="J194" s="3" t="n">
        <v>0.53</v>
      </c>
      <c r="K194" s="3" t="n">
        <v>0</v>
      </c>
      <c r="L194" s="3" t="n">
        <v>3.2</v>
      </c>
      <c r="M194" s="3" t="n">
        <v>643428.85</v>
      </c>
      <c r="N194" s="3" t="n">
        <v>94477.63</v>
      </c>
    </row>
    <row r="195" customFormat="false" ht="15" hidden="false" customHeight="true" outlineLevel="0" collapsed="false">
      <c r="A195" s="3" t="s">
        <v>70</v>
      </c>
      <c r="B195" s="4" t="n">
        <v>45689</v>
      </c>
      <c r="C195" s="3" t="s">
        <v>27</v>
      </c>
      <c r="D195" s="3" t="s">
        <v>16</v>
      </c>
      <c r="E195" s="3" t="n">
        <v>51133.43</v>
      </c>
      <c r="F195" s="3" t="n">
        <v>5150</v>
      </c>
      <c r="G195" s="3" t="n">
        <v>0.15</v>
      </c>
      <c r="H195" s="3" t="n">
        <v>12</v>
      </c>
      <c r="I195" s="3" t="n">
        <v>88.5</v>
      </c>
      <c r="J195" s="3" t="n">
        <v>1.54</v>
      </c>
      <c r="K195" s="3" t="n">
        <v>0</v>
      </c>
      <c r="L195" s="3" t="n">
        <v>3.2</v>
      </c>
      <c r="M195" s="3" t="n">
        <v>611924.27</v>
      </c>
      <c r="N195" s="3" t="n">
        <v>115488.75</v>
      </c>
    </row>
    <row r="196" customFormat="false" ht="15" hidden="false" customHeight="true" outlineLevel="0" collapsed="false">
      <c r="A196" s="3" t="s">
        <v>70</v>
      </c>
      <c r="B196" s="4" t="n">
        <v>45717</v>
      </c>
      <c r="C196" s="3" t="s">
        <v>27</v>
      </c>
      <c r="D196" s="3" t="s">
        <v>16</v>
      </c>
      <c r="E196" s="3" t="n">
        <v>40220.18</v>
      </c>
      <c r="F196" s="3" t="n">
        <v>3783</v>
      </c>
      <c r="G196" s="3" t="n">
        <v>0.089</v>
      </c>
      <c r="H196" s="3" t="n">
        <v>14</v>
      </c>
      <c r="I196" s="3" t="n">
        <v>86.6</v>
      </c>
      <c r="J196" s="3" t="n">
        <v>3.63</v>
      </c>
      <c r="K196" s="3" t="n">
        <v>0</v>
      </c>
      <c r="L196" s="3" t="n">
        <v>3.7</v>
      </c>
      <c r="M196" s="3" t="n">
        <v>559422.02</v>
      </c>
      <c r="N196" s="3" t="n">
        <v>73528.74</v>
      </c>
    </row>
    <row r="197" customFormat="false" ht="15" hidden="false" customHeight="true" outlineLevel="0" collapsed="false">
      <c r="A197" s="3" t="s">
        <v>70</v>
      </c>
      <c r="B197" s="4" t="n">
        <v>45748</v>
      </c>
      <c r="C197" s="3" t="s">
        <v>27</v>
      </c>
      <c r="D197" s="3" t="s">
        <v>16</v>
      </c>
      <c r="E197" s="3" t="n">
        <v>41657.64</v>
      </c>
      <c r="F197" s="3" t="n">
        <v>3135</v>
      </c>
      <c r="G197" s="3" t="n">
        <v>0.229</v>
      </c>
      <c r="H197" s="3" t="n">
        <v>7</v>
      </c>
      <c r="I197" s="3" t="n">
        <v>85.4</v>
      </c>
      <c r="J197" s="3" t="n">
        <v>13.48</v>
      </c>
      <c r="K197" s="3" t="n">
        <v>0</v>
      </c>
      <c r="L197" s="3"/>
      <c r="M197" s="3" t="n">
        <v>449465.06</v>
      </c>
      <c r="N197" s="3" t="n">
        <v>65694.78</v>
      </c>
    </row>
    <row r="198" customFormat="false" ht="15" hidden="false" customHeight="true" outlineLevel="0" collapsed="false">
      <c r="A198" s="3" t="s">
        <v>71</v>
      </c>
      <c r="B198" s="4" t="n">
        <v>45658</v>
      </c>
      <c r="C198" s="3" t="s">
        <v>20</v>
      </c>
      <c r="D198" s="3" t="s">
        <v>16</v>
      </c>
      <c r="E198" s="3" t="n">
        <v>71851.45</v>
      </c>
      <c r="F198" s="3" t="n">
        <v>4970</v>
      </c>
      <c r="G198" s="3" t="n">
        <v>0.098</v>
      </c>
      <c r="H198" s="3" t="n">
        <v>11</v>
      </c>
      <c r="I198" s="3" t="n">
        <v>89.6</v>
      </c>
      <c r="J198" s="3" t="n">
        <v>0.2</v>
      </c>
      <c r="K198" s="3" t="n">
        <v>0</v>
      </c>
      <c r="L198" s="3" t="n">
        <v>4.2</v>
      </c>
      <c r="M198" s="3" t="n">
        <v>691447.43</v>
      </c>
      <c r="N198" s="3" t="n">
        <v>114077.69</v>
      </c>
    </row>
    <row r="199" customFormat="false" ht="15" hidden="false" customHeight="true" outlineLevel="0" collapsed="false">
      <c r="A199" s="3" t="s">
        <v>71</v>
      </c>
      <c r="B199" s="4" t="n">
        <v>45689</v>
      </c>
      <c r="C199" s="3" t="s">
        <v>20</v>
      </c>
      <c r="D199" s="3" t="s">
        <v>16</v>
      </c>
      <c r="E199" s="3" t="n">
        <v>54002.83</v>
      </c>
      <c r="F199" s="3" t="n">
        <v>4366</v>
      </c>
      <c r="G199" s="3" t="n">
        <v>0.027</v>
      </c>
      <c r="H199" s="3" t="n">
        <v>15</v>
      </c>
      <c r="I199" s="3" t="n">
        <v>90.6</v>
      </c>
      <c r="J199" s="3" t="n">
        <v>12.82</v>
      </c>
      <c r="K199" s="3" t="n">
        <v>0</v>
      </c>
      <c r="L199" s="3" t="n">
        <v>4.6</v>
      </c>
      <c r="M199" s="3" t="n">
        <v>574066.61</v>
      </c>
      <c r="N199" s="3" t="n">
        <v>124674.67</v>
      </c>
    </row>
    <row r="200" customFormat="false" ht="15" hidden="false" customHeight="true" outlineLevel="0" collapsed="false">
      <c r="A200" s="3" t="s">
        <v>71</v>
      </c>
      <c r="B200" s="4" t="n">
        <v>45717</v>
      </c>
      <c r="C200" s="3" t="s">
        <v>20</v>
      </c>
      <c r="D200" s="3" t="s">
        <v>16</v>
      </c>
      <c r="E200" s="3" t="n">
        <v>54479.33</v>
      </c>
      <c r="F200" s="3" t="n">
        <v>5012</v>
      </c>
      <c r="G200" s="3" t="n">
        <v>0.284</v>
      </c>
      <c r="H200" s="3" t="n">
        <v>13</v>
      </c>
      <c r="I200" s="3" t="n">
        <v>86</v>
      </c>
      <c r="J200" s="3" t="n">
        <v>2.24</v>
      </c>
      <c r="K200" s="3" t="n">
        <v>1</v>
      </c>
      <c r="L200" s="3" t="n">
        <v>4.3</v>
      </c>
      <c r="M200" s="3" t="n">
        <v>578949.84</v>
      </c>
      <c r="N200" s="3" t="n">
        <v>80253.65</v>
      </c>
    </row>
    <row r="201" customFormat="false" ht="15" hidden="false" customHeight="true" outlineLevel="0" collapsed="false">
      <c r="A201" s="3" t="s">
        <v>71</v>
      </c>
      <c r="B201" s="4" t="n">
        <v>45748</v>
      </c>
      <c r="C201" s="3" t="s">
        <v>20</v>
      </c>
      <c r="D201" s="3" t="s">
        <v>16</v>
      </c>
      <c r="E201" s="3" t="n">
        <v>61391.8</v>
      </c>
      <c r="F201" s="3" t="n">
        <v>5575</v>
      </c>
      <c r="G201" s="3" t="n">
        <v>0.189</v>
      </c>
      <c r="H201" s="3" t="n">
        <v>18</v>
      </c>
      <c r="I201" s="3" t="n">
        <v>90</v>
      </c>
      <c r="J201" s="3" t="n">
        <v>1.8</v>
      </c>
      <c r="K201" s="3" t="n">
        <v>0</v>
      </c>
      <c r="L201" s="3" t="n">
        <v>4.8</v>
      </c>
      <c r="M201" s="3" t="n">
        <v>735786.64</v>
      </c>
      <c r="N201" s="3" t="n">
        <v>126540.66</v>
      </c>
    </row>
    <row r="202" customFormat="false" ht="15" hidden="false" customHeight="true" outlineLevel="0" collapsed="false">
      <c r="A202" s="3" t="s">
        <v>72</v>
      </c>
      <c r="B202" s="4" t="n">
        <v>45658</v>
      </c>
      <c r="C202" s="3" t="s">
        <v>15</v>
      </c>
      <c r="D202" s="3" t="s">
        <v>21</v>
      </c>
      <c r="E202" s="3" t="n">
        <v>22312.93</v>
      </c>
      <c r="F202" s="3" t="n">
        <v>5955</v>
      </c>
      <c r="G202" s="3" t="n">
        <v>0.123</v>
      </c>
      <c r="H202" s="3" t="n">
        <v>13</v>
      </c>
      <c r="I202" s="3" t="n">
        <v>84.2</v>
      </c>
      <c r="J202" s="3" t="n">
        <v>0.41</v>
      </c>
      <c r="K202" s="3" t="n">
        <v>1</v>
      </c>
      <c r="L202" s="3" t="n">
        <v>4.6</v>
      </c>
      <c r="M202" s="3" t="n">
        <v>598904.9</v>
      </c>
      <c r="N202" s="3" t="n">
        <v>72861</v>
      </c>
    </row>
    <row r="203" customFormat="false" ht="15" hidden="false" customHeight="true" outlineLevel="0" collapsed="false">
      <c r="A203" s="3" t="s">
        <v>72</v>
      </c>
      <c r="B203" s="4" t="n">
        <v>45689</v>
      </c>
      <c r="C203" s="3" t="s">
        <v>15</v>
      </c>
      <c r="D203" s="3" t="s">
        <v>21</v>
      </c>
      <c r="E203" s="3" t="n">
        <v>78111.97</v>
      </c>
      <c r="F203" s="3" t="n">
        <v>6389</v>
      </c>
      <c r="G203" s="3" t="n">
        <v>0.15</v>
      </c>
      <c r="H203" s="3" t="n">
        <v>13</v>
      </c>
      <c r="I203" s="3" t="n">
        <v>83.9</v>
      </c>
      <c r="J203" s="3" t="n">
        <v>3.05</v>
      </c>
      <c r="K203" s="3" t="n">
        <v>0</v>
      </c>
      <c r="L203" s="3" t="n">
        <v>4.8</v>
      </c>
      <c r="M203" s="3" t="n">
        <v>787715.51</v>
      </c>
      <c r="N203" s="3" t="n">
        <v>128969.62</v>
      </c>
    </row>
    <row r="204" customFormat="false" ht="15" hidden="false" customHeight="true" outlineLevel="0" collapsed="false">
      <c r="A204" s="3" t="s">
        <v>72</v>
      </c>
      <c r="B204" s="4" t="n">
        <v>45717</v>
      </c>
      <c r="C204" s="3" t="s">
        <v>15</v>
      </c>
      <c r="D204" s="3" t="s">
        <v>21</v>
      </c>
      <c r="E204" s="3" t="n">
        <v>35203.23</v>
      </c>
      <c r="F204" s="3" t="n">
        <v>6896</v>
      </c>
      <c r="G204" s="3" t="n">
        <v>0.032</v>
      </c>
      <c r="H204" s="3" t="n">
        <v>14</v>
      </c>
      <c r="I204" s="3" t="n">
        <v>80.8</v>
      </c>
      <c r="J204" s="3" t="n">
        <v>8.44</v>
      </c>
      <c r="K204" s="3" t="n">
        <v>1</v>
      </c>
      <c r="L204" s="3" t="n">
        <v>5</v>
      </c>
      <c r="M204" s="3" t="n">
        <v>607084.92</v>
      </c>
      <c r="N204" s="3" t="n">
        <v>98558.49</v>
      </c>
    </row>
    <row r="205" customFormat="false" ht="15" hidden="false" customHeight="true" outlineLevel="0" collapsed="false">
      <c r="A205" s="3" t="s">
        <v>72</v>
      </c>
      <c r="B205" s="4" t="n">
        <v>45748</v>
      </c>
      <c r="C205" s="3" t="s">
        <v>15</v>
      </c>
      <c r="D205" s="3" t="s">
        <v>21</v>
      </c>
      <c r="E205" s="3" t="n">
        <v>64104.28</v>
      </c>
      <c r="F205" s="3" t="n">
        <v>6015</v>
      </c>
      <c r="G205" s="3" t="n">
        <v>0.127</v>
      </c>
      <c r="H205" s="3" t="n">
        <v>15</v>
      </c>
      <c r="I205" s="3" t="n">
        <v>88.7</v>
      </c>
      <c r="J205" s="3" t="n">
        <v>0.78</v>
      </c>
      <c r="K205" s="3" t="n">
        <v>0</v>
      </c>
      <c r="L205" s="3" t="n">
        <v>4</v>
      </c>
      <c r="M205" s="3" t="n">
        <v>650795.49</v>
      </c>
      <c r="N205" s="3" t="n">
        <v>103035.89</v>
      </c>
    </row>
    <row r="206" customFormat="false" ht="15" hidden="false" customHeight="true" outlineLevel="0" collapsed="false">
      <c r="A206" s="3" t="s">
        <v>73</v>
      </c>
      <c r="B206" s="4" t="n">
        <v>45658</v>
      </c>
      <c r="C206" s="3" t="s">
        <v>15</v>
      </c>
      <c r="D206" s="3" t="s">
        <v>28</v>
      </c>
      <c r="E206" s="3" t="n">
        <v>92090.14</v>
      </c>
      <c r="F206" s="3" t="n">
        <v>9476</v>
      </c>
      <c r="G206" s="3" t="n">
        <v>0.07</v>
      </c>
      <c r="H206" s="3" t="n">
        <v>24</v>
      </c>
      <c r="I206" s="3" t="n">
        <v>94.3</v>
      </c>
      <c r="J206" s="3" t="n">
        <v>0.87</v>
      </c>
      <c r="K206" s="3" t="n">
        <v>0</v>
      </c>
      <c r="L206" s="3" t="n">
        <v>3.7</v>
      </c>
      <c r="M206" s="3" t="n">
        <v>825060.52</v>
      </c>
      <c r="N206" s="3" t="n">
        <v>143613.15</v>
      </c>
    </row>
    <row r="207" customFormat="false" ht="15" hidden="false" customHeight="true" outlineLevel="0" collapsed="false">
      <c r="A207" s="3" t="s">
        <v>73</v>
      </c>
      <c r="B207" s="4" t="n">
        <v>45689</v>
      </c>
      <c r="C207" s="3" t="s">
        <v>15</v>
      </c>
      <c r="D207" s="3" t="s">
        <v>28</v>
      </c>
      <c r="E207" s="3" t="n">
        <v>54300.87</v>
      </c>
      <c r="F207" s="3" t="n">
        <v>7875</v>
      </c>
      <c r="G207" s="3" t="n">
        <v>0.107</v>
      </c>
      <c r="H207" s="3" t="n">
        <v>19</v>
      </c>
      <c r="I207" s="3" t="n">
        <v>94.1</v>
      </c>
      <c r="J207" s="3" t="n">
        <v>0.95</v>
      </c>
      <c r="K207" s="3" t="n">
        <v>0</v>
      </c>
      <c r="L207" s="3" t="n">
        <v>3.7</v>
      </c>
      <c r="M207" s="3" t="n">
        <v>795464.47</v>
      </c>
      <c r="N207" s="3" t="n">
        <v>161150.52</v>
      </c>
    </row>
    <row r="208" customFormat="false" ht="15" hidden="false" customHeight="true" outlineLevel="0" collapsed="false">
      <c r="A208" s="3" t="s">
        <v>73</v>
      </c>
      <c r="B208" s="4" t="n">
        <v>45717</v>
      </c>
      <c r="C208" s="3" t="s">
        <v>15</v>
      </c>
      <c r="D208" s="3" t="s">
        <v>28</v>
      </c>
      <c r="E208" s="3" t="n">
        <v>37983.35</v>
      </c>
      <c r="F208" s="3" t="n">
        <v>9283</v>
      </c>
      <c r="G208" s="3" t="n">
        <v>0.149</v>
      </c>
      <c r="H208" s="3" t="n">
        <v>19</v>
      </c>
      <c r="I208" s="3" t="n">
        <v>83.2</v>
      </c>
      <c r="J208" s="3" t="n">
        <v>3.82</v>
      </c>
      <c r="K208" s="3" t="n">
        <v>0</v>
      </c>
      <c r="L208" s="3" t="n">
        <v>3.7</v>
      </c>
      <c r="M208" s="3" t="n">
        <v>671868.59</v>
      </c>
      <c r="N208" s="3" t="n">
        <v>71003.28</v>
      </c>
    </row>
    <row r="209" customFormat="false" ht="15" hidden="false" customHeight="true" outlineLevel="0" collapsed="false">
      <c r="A209" s="3" t="s">
        <v>73</v>
      </c>
      <c r="B209" s="4" t="n">
        <v>45748</v>
      </c>
      <c r="C209" s="3" t="s">
        <v>15</v>
      </c>
      <c r="D209" s="3" t="s">
        <v>28</v>
      </c>
      <c r="E209" s="3" t="n">
        <v>56413.83</v>
      </c>
      <c r="F209" s="3" t="n">
        <v>8303</v>
      </c>
      <c r="G209" s="3" t="n">
        <v>0.116</v>
      </c>
      <c r="H209" s="3" t="n">
        <v>18</v>
      </c>
      <c r="I209" s="3" t="n">
        <v>93.6</v>
      </c>
      <c r="J209" s="3" t="n">
        <v>2.7</v>
      </c>
      <c r="K209" s="3" t="n">
        <v>0</v>
      </c>
      <c r="L209" s="3" t="n">
        <v>3.7</v>
      </c>
      <c r="M209" s="3" t="n">
        <v>675917.63</v>
      </c>
      <c r="N209" s="3" t="n">
        <v>112564.75</v>
      </c>
    </row>
    <row r="210" customFormat="false" ht="15" hidden="false" customHeight="true" outlineLevel="0" collapsed="false">
      <c r="A210" s="3" t="s">
        <v>74</v>
      </c>
      <c r="B210" s="4" t="n">
        <v>45658</v>
      </c>
      <c r="C210" s="3" t="s">
        <v>15</v>
      </c>
      <c r="D210" s="3" t="s">
        <v>18</v>
      </c>
      <c r="E210" s="3" t="n">
        <v>63457.19</v>
      </c>
      <c r="F210" s="3" t="n">
        <v>10125</v>
      </c>
      <c r="G210" s="3" t="n">
        <v>0.097</v>
      </c>
      <c r="H210" s="3" t="n">
        <v>24</v>
      </c>
      <c r="I210" s="3" t="n">
        <v>87</v>
      </c>
      <c r="J210" s="3" t="n">
        <v>3.84</v>
      </c>
      <c r="K210" s="3" t="n">
        <v>1</v>
      </c>
      <c r="L210" s="3" t="n">
        <v>3.7</v>
      </c>
      <c r="M210" s="3" t="n">
        <v>810446.53</v>
      </c>
      <c r="N210" s="3" t="n">
        <v>200575.34</v>
      </c>
    </row>
    <row r="211" customFormat="false" ht="15" hidden="false" customHeight="true" outlineLevel="0" collapsed="false">
      <c r="A211" s="3" t="s">
        <v>74</v>
      </c>
      <c r="B211" s="4" t="n">
        <v>45689</v>
      </c>
      <c r="C211" s="3" t="s">
        <v>15</v>
      </c>
      <c r="D211" s="3" t="s">
        <v>18</v>
      </c>
      <c r="E211" s="3" t="n">
        <v>62949.7</v>
      </c>
      <c r="F211" s="3" t="n">
        <v>9458</v>
      </c>
      <c r="G211" s="3" t="n">
        <v>0.171</v>
      </c>
      <c r="H211" s="3" t="n">
        <v>19</v>
      </c>
      <c r="I211" s="3" t="n">
        <v>84.9</v>
      </c>
      <c r="J211" s="3" t="n">
        <v>5.09</v>
      </c>
      <c r="K211" s="3" t="n">
        <v>0</v>
      </c>
      <c r="L211" s="3" t="n">
        <v>3.3</v>
      </c>
      <c r="M211" s="3" t="n">
        <v>691288.19</v>
      </c>
      <c r="N211" s="3" t="n">
        <v>159074.14</v>
      </c>
    </row>
    <row r="212" customFormat="false" ht="15" hidden="false" customHeight="true" outlineLevel="0" collapsed="false">
      <c r="A212" s="3" t="s">
        <v>74</v>
      </c>
      <c r="B212" s="4" t="n">
        <v>45717</v>
      </c>
      <c r="C212" s="3" t="s">
        <v>15</v>
      </c>
      <c r="D212" s="3" t="s">
        <v>18</v>
      </c>
      <c r="E212" s="3" t="n">
        <v>107970.19</v>
      </c>
      <c r="F212" s="3" t="n">
        <v>12870</v>
      </c>
      <c r="G212" s="3" t="n">
        <v>0.029</v>
      </c>
      <c r="H212" s="3" t="n">
        <v>31</v>
      </c>
      <c r="I212" s="3" t="n">
        <v>91.7</v>
      </c>
      <c r="J212" s="3" t="n">
        <v>3.82</v>
      </c>
      <c r="K212" s="3" t="n">
        <v>1</v>
      </c>
      <c r="L212" s="3" t="n">
        <v>3.7</v>
      </c>
      <c r="M212" s="3" t="n">
        <v>946833.54</v>
      </c>
      <c r="N212" s="3" t="n">
        <v>184540.31</v>
      </c>
    </row>
    <row r="213" customFormat="false" ht="15" hidden="false" customHeight="true" outlineLevel="0" collapsed="false">
      <c r="A213" s="3" t="s">
        <v>74</v>
      </c>
      <c r="B213" s="4" t="n">
        <v>45748</v>
      </c>
      <c r="C213" s="3" t="s">
        <v>15</v>
      </c>
      <c r="D213" s="3" t="s">
        <v>18</v>
      </c>
      <c r="E213" s="3" t="n">
        <v>49405.75</v>
      </c>
      <c r="F213" s="3" t="n">
        <v>9752</v>
      </c>
      <c r="G213" s="3" t="n">
        <v>0.093</v>
      </c>
      <c r="H213" s="3" t="n">
        <v>21</v>
      </c>
      <c r="I213" s="3" t="n">
        <v>87</v>
      </c>
      <c r="J213" s="3" t="n">
        <v>12.28</v>
      </c>
      <c r="K213" s="3" t="n">
        <v>0</v>
      </c>
      <c r="L213" s="3" t="n">
        <v>4.1</v>
      </c>
      <c r="M213" s="3" t="n">
        <v>761963.23</v>
      </c>
      <c r="N213" s="3" t="n">
        <v>150113.61</v>
      </c>
    </row>
    <row r="214" customFormat="false" ht="15" hidden="false" customHeight="true" outlineLevel="0" collapsed="false">
      <c r="A214" s="3" t="s">
        <v>75</v>
      </c>
      <c r="B214" s="4" t="n">
        <v>45658</v>
      </c>
      <c r="C214" s="3" t="s">
        <v>27</v>
      </c>
      <c r="D214" s="3" t="s">
        <v>16</v>
      </c>
      <c r="E214" s="3" t="n">
        <v>50887.46</v>
      </c>
      <c r="F214" s="3" t="n">
        <v>9505</v>
      </c>
      <c r="G214" s="3" t="n">
        <v>0.091</v>
      </c>
      <c r="H214" s="3" t="n">
        <v>25</v>
      </c>
      <c r="I214" s="3" t="n">
        <v>89.7</v>
      </c>
      <c r="J214" s="3" t="n">
        <v>2.8</v>
      </c>
      <c r="K214" s="3" t="n">
        <v>0</v>
      </c>
      <c r="L214" s="3" t="n">
        <v>4.3</v>
      </c>
      <c r="M214" s="3" t="n">
        <v>812152.6</v>
      </c>
      <c r="N214" s="3" t="n">
        <v>138419.43</v>
      </c>
    </row>
    <row r="215" customFormat="false" ht="15" hidden="false" customHeight="true" outlineLevel="0" collapsed="false">
      <c r="A215" s="3" t="s">
        <v>75</v>
      </c>
      <c r="B215" s="4" t="n">
        <v>45689</v>
      </c>
      <c r="C215" s="3" t="s">
        <v>27</v>
      </c>
      <c r="D215" s="3" t="s">
        <v>16</v>
      </c>
      <c r="E215" s="3" t="n">
        <v>41819.45</v>
      </c>
      <c r="F215" s="3" t="n">
        <v>9412</v>
      </c>
      <c r="G215" s="3" t="n">
        <v>0.15</v>
      </c>
      <c r="H215" s="3" t="n">
        <v>22</v>
      </c>
      <c r="I215" s="3" t="n">
        <v>91</v>
      </c>
      <c r="J215" s="3" t="n">
        <v>3.67</v>
      </c>
      <c r="K215" s="3" t="n">
        <v>0</v>
      </c>
      <c r="L215" s="3" t="n">
        <v>4.2</v>
      </c>
      <c r="M215" s="3" t="n">
        <v>804975.5</v>
      </c>
      <c r="N215" s="3" t="n">
        <v>140054.5</v>
      </c>
    </row>
    <row r="216" customFormat="false" ht="15" hidden="false" customHeight="true" outlineLevel="0" collapsed="false">
      <c r="A216" s="3" t="s">
        <v>75</v>
      </c>
      <c r="B216" s="4" t="n">
        <v>45717</v>
      </c>
      <c r="C216" s="3" t="s">
        <v>27</v>
      </c>
      <c r="D216" s="3" t="s">
        <v>16</v>
      </c>
      <c r="E216" s="3" t="n">
        <v>35296.54</v>
      </c>
      <c r="F216" s="3" t="n">
        <v>9644</v>
      </c>
      <c r="G216" s="3" t="n">
        <v>0</v>
      </c>
      <c r="H216" s="3" t="n">
        <v>22</v>
      </c>
      <c r="I216" s="3" t="n">
        <v>88</v>
      </c>
      <c r="J216" s="3" t="n">
        <v>2.81</v>
      </c>
      <c r="K216" s="3" t="n">
        <v>0</v>
      </c>
      <c r="L216" s="3" t="n">
        <v>4.7</v>
      </c>
      <c r="M216" s="3" t="n">
        <v>752321.72</v>
      </c>
      <c r="N216" s="3" t="n">
        <v>137788.51</v>
      </c>
    </row>
    <row r="217" customFormat="false" ht="15" hidden="false" customHeight="true" outlineLevel="0" collapsed="false">
      <c r="A217" s="3" t="s">
        <v>75</v>
      </c>
      <c r="B217" s="4" t="n">
        <v>45748</v>
      </c>
      <c r="C217" s="3" t="s">
        <v>27</v>
      </c>
      <c r="D217" s="3" t="s">
        <v>16</v>
      </c>
      <c r="E217" s="3" t="n">
        <v>47391.09</v>
      </c>
      <c r="F217" s="3" t="n">
        <v>11224</v>
      </c>
      <c r="G217" s="3" t="n">
        <v>0.147</v>
      </c>
      <c r="H217" s="3" t="n">
        <v>25</v>
      </c>
      <c r="I217" s="3" t="n">
        <v>88.4</v>
      </c>
      <c r="J217" s="3" t="n">
        <v>2.44</v>
      </c>
      <c r="K217" s="3" t="n">
        <v>0</v>
      </c>
      <c r="L217" s="3" t="n">
        <v>4.9</v>
      </c>
      <c r="M217" s="3" t="n">
        <v>836908.24</v>
      </c>
      <c r="N217" s="3" t="n">
        <v>141090.26</v>
      </c>
    </row>
    <row r="218" customFormat="false" ht="15" hidden="false" customHeight="true" outlineLevel="0" collapsed="false">
      <c r="A218" s="3" t="s">
        <v>76</v>
      </c>
      <c r="B218" s="4" t="n">
        <v>45658</v>
      </c>
      <c r="C218" s="3" t="s">
        <v>20</v>
      </c>
      <c r="D218" s="3" t="s">
        <v>21</v>
      </c>
      <c r="E218" s="3" t="n">
        <v>69180.54</v>
      </c>
      <c r="F218" s="3" t="n">
        <v>5394</v>
      </c>
      <c r="G218" s="3" t="n">
        <v>0.126</v>
      </c>
      <c r="H218" s="3" t="n">
        <v>12</v>
      </c>
      <c r="I218" s="3" t="n">
        <v>82.9</v>
      </c>
      <c r="J218" s="3" t="n">
        <v>3.27</v>
      </c>
      <c r="K218" s="3" t="n">
        <v>0</v>
      </c>
      <c r="L218" s="3" t="n">
        <v>3.3</v>
      </c>
      <c r="M218" s="3" t="n">
        <v>674289.1</v>
      </c>
      <c r="N218" s="3" t="n">
        <v>117773.79</v>
      </c>
    </row>
    <row r="219" customFormat="false" ht="15" hidden="false" customHeight="true" outlineLevel="0" collapsed="false">
      <c r="A219" s="3" t="s">
        <v>76</v>
      </c>
      <c r="B219" s="4" t="n">
        <v>45689</v>
      </c>
      <c r="C219" s="3" t="s">
        <v>20</v>
      </c>
      <c r="D219" s="3" t="s">
        <v>21</v>
      </c>
      <c r="E219" s="3" t="n">
        <v>33987.33</v>
      </c>
      <c r="F219" s="3" t="n">
        <v>5014</v>
      </c>
      <c r="G219" s="3" t="n">
        <v>0.246</v>
      </c>
      <c r="H219" s="3" t="n">
        <v>17</v>
      </c>
      <c r="I219" s="3" t="n">
        <v>94.3</v>
      </c>
      <c r="J219" s="3" t="n">
        <v>10.34</v>
      </c>
      <c r="K219" s="3" t="n">
        <v>0</v>
      </c>
      <c r="L219" s="3" t="n">
        <v>3.9</v>
      </c>
      <c r="M219" s="3" t="n">
        <v>622892.42</v>
      </c>
      <c r="N219" s="3" t="n">
        <v>101032.52</v>
      </c>
    </row>
    <row r="220" customFormat="false" ht="15" hidden="false" customHeight="true" outlineLevel="0" collapsed="false">
      <c r="A220" s="3" t="s">
        <v>76</v>
      </c>
      <c r="B220" s="4" t="n">
        <v>45717</v>
      </c>
      <c r="C220" s="3" t="s">
        <v>20</v>
      </c>
      <c r="D220" s="3" t="s">
        <v>21</v>
      </c>
      <c r="E220" s="3" t="n">
        <v>58785.33</v>
      </c>
      <c r="F220" s="3" t="n">
        <v>4467</v>
      </c>
      <c r="G220" s="3" t="n">
        <v>0.229</v>
      </c>
      <c r="H220" s="3" t="n">
        <v>14</v>
      </c>
      <c r="I220" s="3" t="n">
        <v>90.7</v>
      </c>
      <c r="J220" s="3" t="n">
        <v>1.92</v>
      </c>
      <c r="K220" s="3" t="n">
        <v>0</v>
      </c>
      <c r="L220" s="3" t="n">
        <v>3.7</v>
      </c>
      <c r="M220" s="3" t="n">
        <v>673348.56</v>
      </c>
      <c r="N220" s="3" t="n">
        <v>69464.59</v>
      </c>
    </row>
    <row r="221" customFormat="false" ht="15" hidden="false" customHeight="true" outlineLevel="0" collapsed="false">
      <c r="A221" s="3" t="s">
        <v>76</v>
      </c>
      <c r="B221" s="4" t="n">
        <v>45748</v>
      </c>
      <c r="C221" s="3" t="s">
        <v>20</v>
      </c>
      <c r="D221" s="3" t="s">
        <v>21</v>
      </c>
      <c r="E221" s="3" t="n">
        <v>16451.85</v>
      </c>
      <c r="F221" s="3" t="n">
        <v>4678</v>
      </c>
      <c r="G221" s="3" t="n">
        <v>0.133</v>
      </c>
      <c r="H221" s="3" t="n">
        <v>11</v>
      </c>
      <c r="I221" s="3" t="n">
        <v>95.9</v>
      </c>
      <c r="J221" s="3" t="n">
        <v>3.1</v>
      </c>
      <c r="K221" s="3" t="n">
        <v>0</v>
      </c>
      <c r="L221" s="3" t="n">
        <v>3.9</v>
      </c>
      <c r="M221" s="3" t="n">
        <v>606278.3</v>
      </c>
      <c r="N221" s="3" t="n">
        <v>102213.26</v>
      </c>
    </row>
    <row r="222" customFormat="false" ht="15" hidden="false" customHeight="true" outlineLevel="0" collapsed="false">
      <c r="A222" s="3" t="s">
        <v>77</v>
      </c>
      <c r="B222" s="4" t="n">
        <v>45658</v>
      </c>
      <c r="C222" s="3" t="s">
        <v>15</v>
      </c>
      <c r="D222" s="3" t="s">
        <v>18</v>
      </c>
      <c r="E222" s="3" t="n">
        <v>53367.73</v>
      </c>
      <c r="F222" s="3" t="n">
        <v>7291</v>
      </c>
      <c r="G222" s="3" t="n">
        <v>0.146</v>
      </c>
      <c r="H222" s="3" t="n">
        <v>18</v>
      </c>
      <c r="I222" s="3" t="n">
        <v>90.6</v>
      </c>
      <c r="J222" s="3" t="n">
        <v>6.34</v>
      </c>
      <c r="K222" s="3" t="n">
        <v>1</v>
      </c>
      <c r="L222" s="3" t="n">
        <v>3.8</v>
      </c>
      <c r="M222" s="3" t="n">
        <v>712219.81</v>
      </c>
      <c r="N222" s="3" t="n">
        <v>85906.54</v>
      </c>
    </row>
    <row r="223" customFormat="false" ht="15" hidden="false" customHeight="true" outlineLevel="0" collapsed="false">
      <c r="A223" s="3" t="s">
        <v>77</v>
      </c>
      <c r="B223" s="4" t="n">
        <v>45689</v>
      </c>
      <c r="C223" s="3" t="s">
        <v>15</v>
      </c>
      <c r="D223" s="3" t="s">
        <v>18</v>
      </c>
      <c r="E223" s="3" t="n">
        <v>27194.64</v>
      </c>
      <c r="F223" s="3" t="n">
        <v>7404</v>
      </c>
      <c r="G223" s="3" t="n">
        <v>0.088</v>
      </c>
      <c r="H223" s="3" t="n">
        <v>18</v>
      </c>
      <c r="I223" s="3" t="n">
        <v>90.2</v>
      </c>
      <c r="J223" s="3" t="n">
        <v>1.2</v>
      </c>
      <c r="K223" s="3" t="n">
        <v>0</v>
      </c>
      <c r="L223" s="3" t="n">
        <v>3.4</v>
      </c>
      <c r="M223" s="3" t="n">
        <v>672670.54</v>
      </c>
      <c r="N223" s="3" t="n">
        <v>132684.18</v>
      </c>
    </row>
    <row r="224" customFormat="false" ht="15" hidden="false" customHeight="true" outlineLevel="0" collapsed="false">
      <c r="A224" s="3" t="s">
        <v>77</v>
      </c>
      <c r="B224" s="4" t="n">
        <v>45717</v>
      </c>
      <c r="C224" s="3" t="s">
        <v>15</v>
      </c>
      <c r="D224" s="3" t="s">
        <v>18</v>
      </c>
      <c r="E224" s="3" t="n">
        <v>66962.74</v>
      </c>
      <c r="F224" s="3" t="n">
        <v>7880</v>
      </c>
      <c r="G224" s="3" t="n">
        <v>0.116</v>
      </c>
      <c r="H224" s="3" t="n">
        <v>19</v>
      </c>
      <c r="I224" s="3" t="n">
        <v>90.4</v>
      </c>
      <c r="J224" s="3" t="n">
        <v>4.5</v>
      </c>
      <c r="K224" s="3" t="n">
        <v>0</v>
      </c>
      <c r="L224" s="3" t="n">
        <v>3.3</v>
      </c>
      <c r="M224" s="3" t="n">
        <v>732667.92</v>
      </c>
      <c r="N224" s="3" t="n">
        <v>128654.46</v>
      </c>
    </row>
    <row r="225" customFormat="false" ht="15" hidden="false" customHeight="true" outlineLevel="0" collapsed="false">
      <c r="A225" s="3" t="s">
        <v>77</v>
      </c>
      <c r="B225" s="4" t="n">
        <v>45748</v>
      </c>
      <c r="C225" s="3" t="s">
        <v>15</v>
      </c>
      <c r="D225" s="3" t="s">
        <v>18</v>
      </c>
      <c r="E225" s="3" t="n">
        <v>73540.99</v>
      </c>
      <c r="F225" s="3" t="n">
        <v>8773</v>
      </c>
      <c r="G225" s="3" t="n">
        <v>0.035</v>
      </c>
      <c r="H225" s="3" t="n">
        <v>21</v>
      </c>
      <c r="I225" s="3" t="n">
        <v>84.4</v>
      </c>
      <c r="J225" s="3" t="n">
        <v>6.68</v>
      </c>
      <c r="K225" s="3" t="n">
        <v>0</v>
      </c>
      <c r="L225" s="3" t="n">
        <v>3.6</v>
      </c>
      <c r="M225" s="3" t="n">
        <v>723531.4</v>
      </c>
      <c r="N225" s="3" t="n">
        <v>108794.85</v>
      </c>
    </row>
    <row r="226" customFormat="false" ht="15" hidden="false" customHeight="true" outlineLevel="0" collapsed="false">
      <c r="A226" s="3" t="s">
        <v>78</v>
      </c>
      <c r="B226" s="4" t="n">
        <v>45658</v>
      </c>
      <c r="C226" s="3" t="s">
        <v>15</v>
      </c>
      <c r="D226" s="3" t="s">
        <v>28</v>
      </c>
      <c r="E226" s="3" t="n">
        <v>68212.29</v>
      </c>
      <c r="F226" s="3" t="n">
        <v>4713</v>
      </c>
      <c r="G226" s="3" t="n">
        <v>0.198</v>
      </c>
      <c r="H226" s="3" t="n">
        <v>15</v>
      </c>
      <c r="I226" s="3" t="n">
        <v>82.6</v>
      </c>
      <c r="J226" s="3" t="n">
        <v>4.07</v>
      </c>
      <c r="K226" s="3" t="n">
        <v>1</v>
      </c>
      <c r="L226" s="3" t="n">
        <v>3</v>
      </c>
      <c r="M226" s="3" t="n">
        <v>641564.6</v>
      </c>
      <c r="N226" s="3" t="n">
        <v>90468.96</v>
      </c>
    </row>
    <row r="227" customFormat="false" ht="15" hidden="false" customHeight="true" outlineLevel="0" collapsed="false">
      <c r="A227" s="3" t="s">
        <v>78</v>
      </c>
      <c r="B227" s="4" t="n">
        <v>45689</v>
      </c>
      <c r="C227" s="3" t="s">
        <v>15</v>
      </c>
      <c r="D227" s="3" t="s">
        <v>28</v>
      </c>
      <c r="E227" s="3" t="n">
        <v>57225.98</v>
      </c>
      <c r="F227" s="3" t="n">
        <v>2842</v>
      </c>
      <c r="G227" s="3" t="n">
        <v>0.112</v>
      </c>
      <c r="H227" s="3" t="n">
        <v>10</v>
      </c>
      <c r="I227" s="3" t="n">
        <v>79.5</v>
      </c>
      <c r="J227" s="3" t="n">
        <v>5.45</v>
      </c>
      <c r="K227" s="3" t="n">
        <v>0</v>
      </c>
      <c r="L227" s="3" t="n">
        <v>3.4</v>
      </c>
      <c r="M227" s="3" t="n">
        <v>536545.49</v>
      </c>
      <c r="N227" s="3" t="n">
        <v>97917.45</v>
      </c>
    </row>
    <row r="228" customFormat="false" ht="15" hidden="false" customHeight="true" outlineLevel="0" collapsed="false">
      <c r="A228" s="3" t="s">
        <v>78</v>
      </c>
      <c r="B228" s="4" t="n">
        <v>45717</v>
      </c>
      <c r="C228" s="3" t="s">
        <v>15</v>
      </c>
      <c r="D228" s="3" t="s">
        <v>28</v>
      </c>
      <c r="E228" s="3" t="n">
        <v>42932.02</v>
      </c>
      <c r="F228" s="3" t="n">
        <v>3872</v>
      </c>
      <c r="G228" s="3" t="n">
        <v>0.171</v>
      </c>
      <c r="H228" s="3" t="n">
        <v>12</v>
      </c>
      <c r="I228" s="3" t="n">
        <v>83.2</v>
      </c>
      <c r="J228" s="3" t="n">
        <v>15.58</v>
      </c>
      <c r="K228" s="3" t="n">
        <v>0</v>
      </c>
      <c r="L228" s="3" t="n">
        <v>3.3</v>
      </c>
      <c r="M228" s="3" t="n">
        <v>527681.56</v>
      </c>
      <c r="N228" s="3" t="n">
        <v>63153.05</v>
      </c>
    </row>
    <row r="229" customFormat="false" ht="15" hidden="false" customHeight="true" outlineLevel="0" collapsed="false">
      <c r="A229" s="3" t="s">
        <v>78</v>
      </c>
      <c r="B229" s="4" t="n">
        <v>45748</v>
      </c>
      <c r="C229" s="3" t="s">
        <v>15</v>
      </c>
      <c r="D229" s="3" t="s">
        <v>28</v>
      </c>
      <c r="E229" s="3" t="n">
        <v>39341.45</v>
      </c>
      <c r="F229" s="3" t="n">
        <v>1375</v>
      </c>
      <c r="G229" s="3" t="n">
        <v>0.093</v>
      </c>
      <c r="H229" s="3" t="n">
        <v>5</v>
      </c>
      <c r="I229" s="3" t="n">
        <v>95</v>
      </c>
      <c r="J229" s="3" t="n">
        <v>5.32</v>
      </c>
      <c r="K229" s="3" t="n">
        <v>0</v>
      </c>
      <c r="L229" s="3"/>
      <c r="M229" s="3" t="n">
        <v>529598.94</v>
      </c>
      <c r="N229" s="3" t="n">
        <v>84334.33</v>
      </c>
    </row>
    <row r="230" customFormat="false" ht="15" hidden="false" customHeight="true" outlineLevel="0" collapsed="false">
      <c r="A230" s="3" t="s">
        <v>79</v>
      </c>
      <c r="B230" s="4" t="n">
        <v>45658</v>
      </c>
      <c r="C230" s="3" t="s">
        <v>15</v>
      </c>
      <c r="D230" s="3" t="s">
        <v>18</v>
      </c>
      <c r="E230" s="3" t="n">
        <v>37324.23</v>
      </c>
      <c r="F230" s="3" t="n">
        <v>5957</v>
      </c>
      <c r="G230" s="3" t="n">
        <v>0.071</v>
      </c>
      <c r="H230" s="3" t="n">
        <v>12</v>
      </c>
      <c r="I230" s="3" t="n">
        <v>85.9</v>
      </c>
      <c r="J230" s="3" t="n">
        <v>0.37</v>
      </c>
      <c r="K230" s="3" t="n">
        <v>0</v>
      </c>
      <c r="L230" s="3" t="n">
        <v>3.8</v>
      </c>
      <c r="M230" s="3" t="n">
        <v>570963.31</v>
      </c>
      <c r="N230" s="3" t="n">
        <v>87342.25</v>
      </c>
    </row>
    <row r="231" customFormat="false" ht="15" hidden="false" customHeight="true" outlineLevel="0" collapsed="false">
      <c r="A231" s="3" t="s">
        <v>79</v>
      </c>
      <c r="B231" s="4" t="n">
        <v>45689</v>
      </c>
      <c r="C231" s="3" t="s">
        <v>15</v>
      </c>
      <c r="D231" s="3" t="s">
        <v>18</v>
      </c>
      <c r="E231" s="3" t="n">
        <v>113736</v>
      </c>
      <c r="F231" s="3" t="n">
        <v>8961</v>
      </c>
      <c r="G231" s="3" t="n">
        <v>0.202</v>
      </c>
      <c r="H231" s="3" t="n">
        <v>24</v>
      </c>
      <c r="I231" s="3" t="n">
        <v>86.2</v>
      </c>
      <c r="J231" s="3" t="n">
        <v>21.63</v>
      </c>
      <c r="K231" s="3" t="n">
        <v>0</v>
      </c>
      <c r="L231" s="3" t="n">
        <v>4</v>
      </c>
      <c r="M231" s="3" t="n">
        <v>870937.4</v>
      </c>
      <c r="N231" s="3" t="n">
        <v>175282.74</v>
      </c>
    </row>
    <row r="232" customFormat="false" ht="15" hidden="false" customHeight="true" outlineLevel="0" collapsed="false">
      <c r="A232" s="3" t="s">
        <v>79</v>
      </c>
      <c r="B232" s="4" t="n">
        <v>45717</v>
      </c>
      <c r="C232" s="3" t="s">
        <v>15</v>
      </c>
      <c r="D232" s="3" t="s">
        <v>18</v>
      </c>
      <c r="E232" s="3" t="n">
        <v>33173.95</v>
      </c>
      <c r="F232" s="3" t="n">
        <v>6545</v>
      </c>
      <c r="G232" s="3" t="n">
        <v>0.169</v>
      </c>
      <c r="H232" s="3" t="n">
        <v>15</v>
      </c>
      <c r="I232" s="3" t="n">
        <v>84.4</v>
      </c>
      <c r="J232" s="3" t="n">
        <v>2.48</v>
      </c>
      <c r="K232" s="3" t="n">
        <v>0</v>
      </c>
      <c r="L232" s="3" t="n">
        <v>3.9</v>
      </c>
      <c r="M232" s="3" t="n">
        <v>596969.27</v>
      </c>
      <c r="N232" s="3" t="n">
        <v>105669.51</v>
      </c>
    </row>
    <row r="233" customFormat="false" ht="15" hidden="false" customHeight="true" outlineLevel="0" collapsed="false">
      <c r="A233" s="3" t="s">
        <v>79</v>
      </c>
      <c r="B233" s="4" t="n">
        <v>45748</v>
      </c>
      <c r="C233" s="3" t="s">
        <v>15</v>
      </c>
      <c r="D233" s="3" t="s">
        <v>18</v>
      </c>
      <c r="E233" s="3" t="n">
        <v>25818.08</v>
      </c>
      <c r="F233" s="3" t="n">
        <v>5457</v>
      </c>
      <c r="G233" s="3" t="n">
        <v>0</v>
      </c>
      <c r="H233" s="3" t="n">
        <v>11</v>
      </c>
      <c r="I233" s="3" t="n">
        <v>95.4</v>
      </c>
      <c r="J233" s="3"/>
      <c r="K233" s="3" t="n">
        <v>0</v>
      </c>
      <c r="L233" s="3" t="n">
        <v>3.7</v>
      </c>
      <c r="M233" s="3" t="n">
        <v>647512.85</v>
      </c>
      <c r="N233" s="3" t="n">
        <v>153835.57</v>
      </c>
    </row>
    <row r="234" customFormat="false" ht="15" hidden="false" customHeight="true" outlineLevel="0" collapsed="false">
      <c r="A234" s="3" t="s">
        <v>80</v>
      </c>
      <c r="B234" s="4" t="n">
        <v>45658</v>
      </c>
      <c r="C234" s="3" t="s">
        <v>27</v>
      </c>
      <c r="D234" s="3" t="s">
        <v>16</v>
      </c>
      <c r="E234" s="3" t="n">
        <v>47241.92</v>
      </c>
      <c r="F234" s="3" t="n">
        <v>4264</v>
      </c>
      <c r="G234" s="3" t="n">
        <v>0.069</v>
      </c>
      <c r="H234" s="3" t="n">
        <v>13</v>
      </c>
      <c r="I234" s="3" t="n">
        <v>95.3</v>
      </c>
      <c r="J234" s="3" t="n">
        <v>0.85</v>
      </c>
      <c r="K234" s="3" t="n">
        <v>0</v>
      </c>
      <c r="L234" s="3" t="n">
        <v>4.3</v>
      </c>
      <c r="M234" s="3" t="n">
        <v>658072.14</v>
      </c>
      <c r="N234" s="3" t="n">
        <v>110595.89</v>
      </c>
    </row>
    <row r="235" customFormat="false" ht="15" hidden="false" customHeight="true" outlineLevel="0" collapsed="false">
      <c r="A235" s="3" t="s">
        <v>80</v>
      </c>
      <c r="B235" s="4" t="n">
        <v>45689</v>
      </c>
      <c r="C235" s="3" t="s">
        <v>27</v>
      </c>
      <c r="D235" s="3" t="s">
        <v>16</v>
      </c>
      <c r="E235" s="3" t="n">
        <v>61650.79</v>
      </c>
      <c r="F235" s="3" t="n">
        <v>5321</v>
      </c>
      <c r="G235" s="3" t="n">
        <v>0.126</v>
      </c>
      <c r="H235" s="3" t="n">
        <v>17</v>
      </c>
      <c r="I235" s="3" t="n">
        <v>89.2</v>
      </c>
      <c r="J235" s="3" t="n">
        <v>2.13</v>
      </c>
      <c r="K235" s="3" t="n">
        <v>0</v>
      </c>
      <c r="L235" s="3" t="n">
        <v>4</v>
      </c>
      <c r="M235" s="3" t="n">
        <v>723305.11</v>
      </c>
      <c r="N235" s="3" t="n">
        <v>128468.7</v>
      </c>
    </row>
    <row r="236" customFormat="false" ht="15" hidden="false" customHeight="true" outlineLevel="0" collapsed="false">
      <c r="A236" s="3" t="s">
        <v>80</v>
      </c>
      <c r="B236" s="4" t="n">
        <v>45717</v>
      </c>
      <c r="C236" s="3" t="s">
        <v>27</v>
      </c>
      <c r="D236" s="3" t="s">
        <v>16</v>
      </c>
      <c r="E236" s="3" t="n">
        <v>62582.71</v>
      </c>
      <c r="F236" s="3" t="n">
        <v>5479</v>
      </c>
      <c r="G236" s="3" t="n">
        <v>0.048</v>
      </c>
      <c r="H236" s="3" t="n">
        <v>16</v>
      </c>
      <c r="I236" s="3" t="n">
        <v>81.2</v>
      </c>
      <c r="J236" s="3" t="n">
        <v>1.46</v>
      </c>
      <c r="K236" s="3" t="n">
        <v>0</v>
      </c>
      <c r="L236" s="3" t="n">
        <v>4.5</v>
      </c>
      <c r="M236" s="3" t="n">
        <v>640666.53</v>
      </c>
      <c r="N236" s="3" t="n">
        <v>134919.16</v>
      </c>
    </row>
    <row r="237" customFormat="false" ht="15" hidden="false" customHeight="true" outlineLevel="0" collapsed="false">
      <c r="A237" s="3" t="s">
        <v>80</v>
      </c>
      <c r="B237" s="4" t="n">
        <v>45748</v>
      </c>
      <c r="C237" s="3" t="s">
        <v>27</v>
      </c>
      <c r="D237" s="3" t="s">
        <v>16</v>
      </c>
      <c r="E237" s="3" t="n">
        <v>47944.14</v>
      </c>
      <c r="F237" s="3" t="n">
        <v>6169</v>
      </c>
      <c r="G237" s="3" t="n">
        <v>0.119</v>
      </c>
      <c r="H237" s="3" t="n">
        <v>17</v>
      </c>
      <c r="I237" s="3" t="n">
        <v>92.2</v>
      </c>
      <c r="J237" s="3" t="n">
        <v>3.02</v>
      </c>
      <c r="K237" s="3" t="n">
        <v>0</v>
      </c>
      <c r="L237" s="3" t="n">
        <v>4.1</v>
      </c>
      <c r="M237" s="3" t="n">
        <v>670629.48</v>
      </c>
      <c r="N237" s="3" t="n">
        <v>100140.8</v>
      </c>
    </row>
    <row r="238" customFormat="false" ht="15" hidden="false" customHeight="true" outlineLevel="0" collapsed="false">
      <c r="A238" s="3" t="s">
        <v>81</v>
      </c>
      <c r="B238" s="4" t="n">
        <v>45658</v>
      </c>
      <c r="C238" s="3" t="s">
        <v>27</v>
      </c>
      <c r="D238" s="3" t="s">
        <v>28</v>
      </c>
      <c r="E238" s="3" t="n">
        <v>46495.4</v>
      </c>
      <c r="F238" s="3" t="n">
        <v>9908</v>
      </c>
      <c r="G238" s="3" t="n">
        <v>0.121</v>
      </c>
      <c r="H238" s="3" t="n">
        <v>22</v>
      </c>
      <c r="I238" s="3" t="n">
        <v>89.4</v>
      </c>
      <c r="J238" s="3" t="n">
        <v>3.22</v>
      </c>
      <c r="K238" s="3" t="n">
        <v>0</v>
      </c>
      <c r="L238" s="3" t="n">
        <v>3.7</v>
      </c>
      <c r="M238" s="3" t="n">
        <v>721079.35</v>
      </c>
      <c r="N238" s="3" t="n">
        <v>115295.05</v>
      </c>
    </row>
    <row r="239" customFormat="false" ht="15" hidden="false" customHeight="true" outlineLevel="0" collapsed="false">
      <c r="A239" s="3" t="s">
        <v>81</v>
      </c>
      <c r="B239" s="4" t="n">
        <v>45689</v>
      </c>
      <c r="C239" s="3" t="s">
        <v>27</v>
      </c>
      <c r="D239" s="3" t="s">
        <v>28</v>
      </c>
      <c r="E239" s="3" t="n">
        <v>72961.95</v>
      </c>
      <c r="F239" s="3" t="n">
        <v>9996</v>
      </c>
      <c r="G239" s="3" t="n">
        <v>0.106</v>
      </c>
      <c r="H239" s="3" t="n">
        <v>22</v>
      </c>
      <c r="I239" s="3" t="n">
        <v>89.1</v>
      </c>
      <c r="J239" s="3" t="n">
        <v>15.66</v>
      </c>
      <c r="K239" s="3" t="n">
        <v>0</v>
      </c>
      <c r="L239" s="3" t="n">
        <v>3.4</v>
      </c>
      <c r="M239" s="3" t="n">
        <v>810355.02</v>
      </c>
      <c r="N239" s="3" t="n">
        <v>131510</v>
      </c>
    </row>
    <row r="240" customFormat="false" ht="15" hidden="false" customHeight="true" outlineLevel="0" collapsed="false">
      <c r="A240" s="3" t="s">
        <v>81</v>
      </c>
      <c r="B240" s="4" t="n">
        <v>45717</v>
      </c>
      <c r="C240" s="3" t="s">
        <v>27</v>
      </c>
      <c r="D240" s="3" t="s">
        <v>28</v>
      </c>
      <c r="E240" s="3" t="n">
        <v>59060.05</v>
      </c>
      <c r="F240" s="3" t="n">
        <v>9702</v>
      </c>
      <c r="G240" s="3" t="n">
        <v>0.201</v>
      </c>
      <c r="H240" s="3" t="n">
        <v>23</v>
      </c>
      <c r="I240" s="3" t="n">
        <v>80.9</v>
      </c>
      <c r="J240" s="3" t="n">
        <v>6.96</v>
      </c>
      <c r="K240" s="3" t="n">
        <v>0</v>
      </c>
      <c r="L240" s="3" t="n">
        <v>3.2</v>
      </c>
      <c r="M240" s="3" t="n">
        <v>761919.25</v>
      </c>
      <c r="N240" s="3" t="n">
        <v>111893.06</v>
      </c>
    </row>
    <row r="241" customFormat="false" ht="15" hidden="false" customHeight="true" outlineLevel="0" collapsed="false">
      <c r="A241" s="3" t="s">
        <v>81</v>
      </c>
      <c r="B241" s="4" t="n">
        <v>45748</v>
      </c>
      <c r="C241" s="3" t="s">
        <v>27</v>
      </c>
      <c r="D241" s="3" t="s">
        <v>28</v>
      </c>
      <c r="E241" s="3" t="n">
        <v>26248.1</v>
      </c>
      <c r="F241" s="3" t="n">
        <v>9314</v>
      </c>
      <c r="G241" s="3" t="n">
        <v>0.186</v>
      </c>
      <c r="H241" s="3" t="n">
        <v>21</v>
      </c>
      <c r="I241" s="3" t="n">
        <v>83.7</v>
      </c>
      <c r="J241" s="3" t="n">
        <v>4.62</v>
      </c>
      <c r="K241" s="3" t="n">
        <v>0</v>
      </c>
      <c r="L241" s="3" t="n">
        <v>3.3</v>
      </c>
      <c r="M241" s="3" t="n">
        <v>737070.18</v>
      </c>
      <c r="N241" s="3" t="n">
        <v>117593.97</v>
      </c>
    </row>
    <row r="242" customFormat="false" ht="15" hidden="false" customHeight="true" outlineLevel="0" collapsed="false">
      <c r="A242" s="3" t="s">
        <v>82</v>
      </c>
      <c r="B242" s="4" t="n">
        <v>45658</v>
      </c>
      <c r="C242" s="3" t="s">
        <v>24</v>
      </c>
      <c r="D242" s="3" t="s">
        <v>21</v>
      </c>
      <c r="E242" s="3" t="n">
        <v>69900.12</v>
      </c>
      <c r="F242" s="3" t="n">
        <v>8055</v>
      </c>
      <c r="G242" s="3" t="n">
        <v>0.281</v>
      </c>
      <c r="H242" s="3" t="n">
        <v>22</v>
      </c>
      <c r="I242" s="3" t="n">
        <v>85.6</v>
      </c>
      <c r="J242" s="3" t="n">
        <v>10.68</v>
      </c>
      <c r="K242" s="3" t="n">
        <v>1</v>
      </c>
      <c r="L242" s="3" t="n">
        <v>2.9</v>
      </c>
      <c r="M242" s="3" t="n">
        <v>776992.93</v>
      </c>
      <c r="N242" s="3" t="n">
        <v>101598.32</v>
      </c>
    </row>
    <row r="243" customFormat="false" ht="15" hidden="false" customHeight="true" outlineLevel="0" collapsed="false">
      <c r="A243" s="3" t="s">
        <v>82</v>
      </c>
      <c r="B243" s="4" t="n">
        <v>45689</v>
      </c>
      <c r="C243" s="3" t="s">
        <v>24</v>
      </c>
      <c r="D243" s="3" t="s">
        <v>21</v>
      </c>
      <c r="E243" s="3" t="n">
        <v>51781.6</v>
      </c>
      <c r="F243" s="3" t="n">
        <v>5648</v>
      </c>
      <c r="G243" s="3" t="n">
        <v>0.059</v>
      </c>
      <c r="H243" s="3" t="n">
        <v>13</v>
      </c>
      <c r="I243" s="3" t="n">
        <v>85.5</v>
      </c>
      <c r="J243" s="3" t="n">
        <v>4.04</v>
      </c>
      <c r="K243" s="3" t="n">
        <v>0</v>
      </c>
      <c r="L243" s="3" t="n">
        <v>3.7</v>
      </c>
      <c r="M243" s="3" t="n">
        <v>676337.41</v>
      </c>
      <c r="N243" s="3" t="n">
        <v>104355.77</v>
      </c>
    </row>
    <row r="244" customFormat="false" ht="15" hidden="false" customHeight="true" outlineLevel="0" collapsed="false">
      <c r="A244" s="3" t="s">
        <v>82</v>
      </c>
      <c r="B244" s="4" t="n">
        <v>45717</v>
      </c>
      <c r="C244" s="3" t="s">
        <v>24</v>
      </c>
      <c r="D244" s="3" t="s">
        <v>21</v>
      </c>
      <c r="E244" s="3" t="n">
        <v>70799.64</v>
      </c>
      <c r="F244" s="3" t="n">
        <v>10076</v>
      </c>
      <c r="G244" s="3" t="n">
        <v>0.152</v>
      </c>
      <c r="H244" s="3" t="n">
        <v>24</v>
      </c>
      <c r="I244" s="3" t="n">
        <v>84.8</v>
      </c>
      <c r="J244" s="3" t="n">
        <v>1.87</v>
      </c>
      <c r="K244" s="3" t="n">
        <v>0</v>
      </c>
      <c r="L244" s="3" t="n">
        <v>3.5</v>
      </c>
      <c r="M244" s="3" t="n">
        <v>828219.67</v>
      </c>
      <c r="N244" s="3" t="n">
        <v>179806.87</v>
      </c>
    </row>
    <row r="245" customFormat="false" ht="15" hidden="false" customHeight="true" outlineLevel="0" collapsed="false">
      <c r="A245" s="3" t="s">
        <v>82</v>
      </c>
      <c r="B245" s="4" t="n">
        <v>45748</v>
      </c>
      <c r="C245" s="3" t="s">
        <v>24</v>
      </c>
      <c r="D245" s="3" t="s">
        <v>21</v>
      </c>
      <c r="E245" s="3" t="n">
        <v>53546.34</v>
      </c>
      <c r="F245" s="3" t="n">
        <v>8004</v>
      </c>
      <c r="G245" s="3" t="n">
        <v>0</v>
      </c>
      <c r="H245" s="3" t="n">
        <v>21</v>
      </c>
      <c r="I245" s="3" t="n">
        <v>95.2</v>
      </c>
      <c r="J245" s="3" t="n">
        <v>2.83</v>
      </c>
      <c r="K245" s="3" t="n">
        <v>0</v>
      </c>
      <c r="L245" s="3" t="n">
        <v>3</v>
      </c>
      <c r="M245" s="3" t="n">
        <v>763159.92</v>
      </c>
      <c r="N245" s="3" t="n">
        <v>177104.87</v>
      </c>
    </row>
    <row r="246" customFormat="false" ht="15" hidden="false" customHeight="true" outlineLevel="0" collapsed="false">
      <c r="A246" s="3" t="s">
        <v>83</v>
      </c>
      <c r="B246" s="4" t="n">
        <v>45658</v>
      </c>
      <c r="C246" s="3" t="s">
        <v>15</v>
      </c>
      <c r="D246" s="3" t="s">
        <v>18</v>
      </c>
      <c r="E246" s="3" t="n">
        <v>76942.2</v>
      </c>
      <c r="F246" s="3" t="n">
        <v>8934</v>
      </c>
      <c r="G246" s="3" t="n">
        <v>0.084</v>
      </c>
      <c r="H246" s="3" t="n">
        <v>20</v>
      </c>
      <c r="I246" s="3" t="n">
        <v>91</v>
      </c>
      <c r="J246" s="3" t="n">
        <v>0.95</v>
      </c>
      <c r="K246" s="3" t="n">
        <v>0</v>
      </c>
      <c r="L246" s="3" t="n">
        <v>3.2</v>
      </c>
      <c r="M246" s="3" t="n">
        <v>802001.68</v>
      </c>
      <c r="N246" s="3" t="n">
        <v>159715.82</v>
      </c>
    </row>
    <row r="247" customFormat="false" ht="15" hidden="false" customHeight="true" outlineLevel="0" collapsed="false">
      <c r="A247" s="3" t="s">
        <v>83</v>
      </c>
      <c r="B247" s="4" t="n">
        <v>45689</v>
      </c>
      <c r="C247" s="3" t="s">
        <v>15</v>
      </c>
      <c r="D247" s="3" t="s">
        <v>18</v>
      </c>
      <c r="E247" s="3" t="n">
        <v>48060.78</v>
      </c>
      <c r="F247" s="3" t="n">
        <v>8733</v>
      </c>
      <c r="G247" s="3" t="n">
        <v>0</v>
      </c>
      <c r="H247" s="3" t="n">
        <v>20</v>
      </c>
      <c r="I247" s="3" t="n">
        <v>89.9</v>
      </c>
      <c r="J247" s="3" t="n">
        <v>0.8</v>
      </c>
      <c r="K247" s="3" t="n">
        <v>0</v>
      </c>
      <c r="L247" s="3" t="n">
        <v>3.4</v>
      </c>
      <c r="M247" s="3" t="n">
        <v>750471.34</v>
      </c>
      <c r="N247" s="3" t="n">
        <v>133788.04</v>
      </c>
    </row>
    <row r="248" customFormat="false" ht="15" hidden="false" customHeight="true" outlineLevel="0" collapsed="false">
      <c r="A248" s="3" t="s">
        <v>83</v>
      </c>
      <c r="B248" s="4" t="n">
        <v>45717</v>
      </c>
      <c r="C248" s="3" t="s">
        <v>15</v>
      </c>
      <c r="D248" s="3" t="s">
        <v>18</v>
      </c>
      <c r="E248" s="3" t="n">
        <v>57390.04</v>
      </c>
      <c r="F248" s="3" t="n">
        <v>7374</v>
      </c>
      <c r="G248" s="3" t="n">
        <v>0.21</v>
      </c>
      <c r="H248" s="3" t="n">
        <v>21</v>
      </c>
      <c r="I248" s="3" t="n">
        <v>91.8</v>
      </c>
      <c r="J248" s="3" t="n">
        <v>0.2</v>
      </c>
      <c r="K248" s="3" t="n">
        <v>0</v>
      </c>
      <c r="L248" s="3" t="n">
        <v>3.1</v>
      </c>
      <c r="M248" s="3" t="n">
        <v>679230.86</v>
      </c>
      <c r="N248" s="3" t="n">
        <v>106927.58</v>
      </c>
    </row>
    <row r="249" customFormat="false" ht="15" hidden="false" customHeight="true" outlineLevel="0" collapsed="false">
      <c r="A249" s="3" t="s">
        <v>83</v>
      </c>
      <c r="B249" s="4" t="n">
        <v>45748</v>
      </c>
      <c r="C249" s="3" t="s">
        <v>15</v>
      </c>
      <c r="D249" s="3" t="s">
        <v>18</v>
      </c>
      <c r="E249" s="3" t="n">
        <v>21536.18</v>
      </c>
      <c r="F249" s="3" t="n">
        <v>8119</v>
      </c>
      <c r="G249" s="3" t="n">
        <v>0.227</v>
      </c>
      <c r="H249" s="3" t="n">
        <v>20</v>
      </c>
      <c r="I249" s="3" t="n">
        <v>90.4</v>
      </c>
      <c r="J249" s="3" t="n">
        <v>1.7</v>
      </c>
      <c r="K249" s="3" t="n">
        <v>0</v>
      </c>
      <c r="L249" s="3" t="n">
        <v>3.3</v>
      </c>
      <c r="M249" s="3" t="n">
        <v>679888.74</v>
      </c>
      <c r="N249" s="3" t="n">
        <v>83406.89</v>
      </c>
    </row>
    <row r="250" customFormat="false" ht="15" hidden="false" customHeight="true" outlineLevel="0" collapsed="false">
      <c r="A250" s="3" t="s">
        <v>84</v>
      </c>
      <c r="B250" s="4" t="n">
        <v>45658</v>
      </c>
      <c r="C250" s="3" t="s">
        <v>20</v>
      </c>
      <c r="D250" s="3" t="s">
        <v>18</v>
      </c>
      <c r="E250" s="3" t="n">
        <v>40923.67</v>
      </c>
      <c r="F250" s="3" t="n">
        <v>3875</v>
      </c>
      <c r="G250" s="3" t="n">
        <v>0.15</v>
      </c>
      <c r="H250" s="3" t="n">
        <v>10</v>
      </c>
      <c r="I250" s="3" t="n">
        <v>96.1</v>
      </c>
      <c r="J250" s="3"/>
      <c r="K250" s="3" t="n">
        <v>0</v>
      </c>
      <c r="L250" s="3" t="n">
        <v>3.8</v>
      </c>
      <c r="M250" s="3" t="n">
        <v>606783.67</v>
      </c>
      <c r="N250" s="3" t="n">
        <v>74515.87</v>
      </c>
    </row>
    <row r="251" customFormat="false" ht="15" hidden="false" customHeight="true" outlineLevel="0" collapsed="false">
      <c r="A251" s="3" t="s">
        <v>84</v>
      </c>
      <c r="B251" s="4" t="n">
        <v>45689</v>
      </c>
      <c r="C251" s="3" t="s">
        <v>20</v>
      </c>
      <c r="D251" s="3" t="s">
        <v>18</v>
      </c>
      <c r="E251" s="3" t="n">
        <v>72932.55</v>
      </c>
      <c r="F251" s="3" t="n">
        <v>5765</v>
      </c>
      <c r="G251" s="3" t="n">
        <v>0.026</v>
      </c>
      <c r="H251" s="3" t="n">
        <v>17</v>
      </c>
      <c r="I251" s="3" t="n">
        <v>81.8</v>
      </c>
      <c r="J251" s="3" t="n">
        <v>5.1</v>
      </c>
      <c r="K251" s="3" t="n">
        <v>0</v>
      </c>
      <c r="L251" s="3" t="n">
        <v>3.6</v>
      </c>
      <c r="M251" s="3" t="n">
        <v>642751.42</v>
      </c>
      <c r="N251" s="3" t="n">
        <v>131942.15</v>
      </c>
    </row>
    <row r="252" customFormat="false" ht="15" hidden="false" customHeight="true" outlineLevel="0" collapsed="false">
      <c r="A252" s="3" t="s">
        <v>84</v>
      </c>
      <c r="B252" s="4" t="n">
        <v>45717</v>
      </c>
      <c r="C252" s="3" t="s">
        <v>20</v>
      </c>
      <c r="D252" s="3" t="s">
        <v>18</v>
      </c>
      <c r="E252" s="3" t="n">
        <v>38361.93</v>
      </c>
      <c r="F252" s="3" t="n">
        <v>6322</v>
      </c>
      <c r="G252" s="3" t="n">
        <v>0.273</v>
      </c>
      <c r="H252" s="3" t="n">
        <v>15</v>
      </c>
      <c r="I252" s="3" t="n">
        <v>88.4</v>
      </c>
      <c r="J252" s="3" t="n">
        <v>0.83</v>
      </c>
      <c r="K252" s="3" t="n">
        <v>0</v>
      </c>
      <c r="L252" s="3" t="n">
        <v>4</v>
      </c>
      <c r="M252" s="3" t="n">
        <v>647953.78</v>
      </c>
      <c r="N252" s="3" t="n">
        <v>118497.43</v>
      </c>
    </row>
    <row r="253" customFormat="false" ht="15" hidden="false" customHeight="true" outlineLevel="0" collapsed="false">
      <c r="A253" s="3" t="s">
        <v>84</v>
      </c>
      <c r="B253" s="4" t="n">
        <v>45748</v>
      </c>
      <c r="C253" s="3" t="s">
        <v>20</v>
      </c>
      <c r="D253" s="3" t="s">
        <v>18</v>
      </c>
      <c r="E253" s="3" t="n">
        <v>97480.94</v>
      </c>
      <c r="F253" s="3" t="n">
        <v>6840</v>
      </c>
      <c r="G253" s="3" t="n">
        <v>0.087</v>
      </c>
      <c r="H253" s="3" t="n">
        <v>14</v>
      </c>
      <c r="I253" s="3" t="n">
        <v>79.2</v>
      </c>
      <c r="J253" s="3" t="n">
        <v>1.14</v>
      </c>
      <c r="K253" s="3" t="n">
        <v>0</v>
      </c>
      <c r="L253" s="3" t="n">
        <v>4</v>
      </c>
      <c r="M253" s="3" t="n">
        <v>729440.45</v>
      </c>
      <c r="N253" s="3" t="n">
        <v>87614.29</v>
      </c>
    </row>
    <row r="254" customFormat="false" ht="15" hidden="false" customHeight="true" outlineLevel="0" collapsed="false">
      <c r="A254" s="3" t="s">
        <v>85</v>
      </c>
      <c r="B254" s="4" t="n">
        <v>45658</v>
      </c>
      <c r="C254" s="3" t="s">
        <v>24</v>
      </c>
      <c r="D254" s="3" t="s">
        <v>21</v>
      </c>
      <c r="E254" s="3" t="n">
        <v>81801.8</v>
      </c>
      <c r="F254" s="3" t="n">
        <v>6782</v>
      </c>
      <c r="G254" s="3" t="n">
        <v>0.05</v>
      </c>
      <c r="H254" s="3" t="n">
        <v>16</v>
      </c>
      <c r="I254" s="3" t="n">
        <v>99</v>
      </c>
      <c r="J254" s="3" t="n">
        <v>9.54</v>
      </c>
      <c r="K254" s="3" t="n">
        <v>0</v>
      </c>
      <c r="L254" s="3" t="n">
        <v>3.7</v>
      </c>
      <c r="M254" s="3" t="n">
        <v>764949</v>
      </c>
      <c r="N254" s="3" t="n">
        <v>148322.43</v>
      </c>
    </row>
    <row r="255" customFormat="false" ht="15" hidden="false" customHeight="true" outlineLevel="0" collapsed="false">
      <c r="A255" s="3" t="s">
        <v>85</v>
      </c>
      <c r="B255" s="4" t="n">
        <v>45689</v>
      </c>
      <c r="C255" s="3" t="s">
        <v>24</v>
      </c>
      <c r="D255" s="3" t="s">
        <v>21</v>
      </c>
      <c r="E255" s="3" t="n">
        <v>63582.11</v>
      </c>
      <c r="F255" s="3" t="n">
        <v>6856</v>
      </c>
      <c r="G255" s="3" t="n">
        <v>0.074</v>
      </c>
      <c r="H255" s="3" t="n">
        <v>17</v>
      </c>
      <c r="I255" s="3" t="n">
        <v>89.5</v>
      </c>
      <c r="J255" s="3" t="n">
        <v>5.48</v>
      </c>
      <c r="K255" s="3" t="n">
        <v>0</v>
      </c>
      <c r="L255" s="3" t="n">
        <v>3.2</v>
      </c>
      <c r="M255" s="3" t="n">
        <v>799046.94</v>
      </c>
      <c r="N255" s="3" t="n">
        <v>144553.64</v>
      </c>
    </row>
    <row r="256" customFormat="false" ht="15" hidden="false" customHeight="true" outlineLevel="0" collapsed="false">
      <c r="A256" s="3" t="s">
        <v>85</v>
      </c>
      <c r="B256" s="4" t="n">
        <v>45717</v>
      </c>
      <c r="C256" s="3" t="s">
        <v>24</v>
      </c>
      <c r="D256" s="3" t="s">
        <v>21</v>
      </c>
      <c r="E256" s="3" t="n">
        <v>75412.74</v>
      </c>
      <c r="F256" s="3" t="n">
        <v>5641</v>
      </c>
      <c r="G256" s="3" t="n">
        <v>0.059</v>
      </c>
      <c r="H256" s="3" t="n">
        <v>13</v>
      </c>
      <c r="I256" s="3" t="n">
        <v>87.9</v>
      </c>
      <c r="J256" s="3" t="n">
        <v>0.84</v>
      </c>
      <c r="K256" s="3" t="n">
        <v>0</v>
      </c>
      <c r="L256" s="3" t="n">
        <v>3.6</v>
      </c>
      <c r="M256" s="3" t="n">
        <v>720079.54</v>
      </c>
      <c r="N256" s="3" t="n">
        <v>119499.47</v>
      </c>
    </row>
    <row r="257" customFormat="false" ht="15" hidden="false" customHeight="true" outlineLevel="0" collapsed="false">
      <c r="A257" s="3" t="s">
        <v>85</v>
      </c>
      <c r="B257" s="4" t="n">
        <v>45748</v>
      </c>
      <c r="C257" s="3" t="s">
        <v>24</v>
      </c>
      <c r="D257" s="3" t="s">
        <v>21</v>
      </c>
      <c r="E257" s="3" t="n">
        <v>36290.08</v>
      </c>
      <c r="F257" s="3" t="n">
        <v>5787</v>
      </c>
      <c r="G257" s="3" t="n">
        <v>0</v>
      </c>
      <c r="H257" s="3" t="n">
        <v>17</v>
      </c>
      <c r="I257" s="3" t="n">
        <v>88.3</v>
      </c>
      <c r="J257" s="3" t="n">
        <v>4.19</v>
      </c>
      <c r="K257" s="3" t="n">
        <v>0</v>
      </c>
      <c r="L257" s="3" t="n">
        <v>4.1</v>
      </c>
      <c r="M257" s="3" t="n">
        <v>612390.14</v>
      </c>
      <c r="N257" s="3" t="n">
        <v>108985.74</v>
      </c>
    </row>
    <row r="258" customFormat="false" ht="15" hidden="false" customHeight="true" outlineLevel="0" collapsed="false">
      <c r="A258" s="3" t="s">
        <v>86</v>
      </c>
      <c r="B258" s="4" t="n">
        <v>45658</v>
      </c>
      <c r="C258" s="3" t="s">
        <v>24</v>
      </c>
      <c r="D258" s="3" t="s">
        <v>28</v>
      </c>
      <c r="E258" s="3" t="n">
        <v>65272.58</v>
      </c>
      <c r="F258" s="3" t="n">
        <v>8165</v>
      </c>
      <c r="G258" s="3" t="n">
        <v>0.051</v>
      </c>
      <c r="H258" s="3" t="n">
        <v>19</v>
      </c>
      <c r="I258" s="3" t="n">
        <v>87.8</v>
      </c>
      <c r="J258" s="3" t="n">
        <v>1.26</v>
      </c>
      <c r="K258" s="3" t="n">
        <v>1</v>
      </c>
      <c r="L258" s="3" t="n">
        <v>4.3</v>
      </c>
      <c r="M258" s="3" t="n">
        <v>840108.12</v>
      </c>
      <c r="N258" s="3" t="n">
        <v>126587.01</v>
      </c>
    </row>
    <row r="259" customFormat="false" ht="15" hidden="false" customHeight="true" outlineLevel="0" collapsed="false">
      <c r="A259" s="3" t="s">
        <v>86</v>
      </c>
      <c r="B259" s="4" t="n">
        <v>45689</v>
      </c>
      <c r="C259" s="3" t="s">
        <v>24</v>
      </c>
      <c r="D259" s="3" t="s">
        <v>28</v>
      </c>
      <c r="E259" s="3" t="n">
        <v>28670.43</v>
      </c>
      <c r="F259" s="3" t="n">
        <v>7574</v>
      </c>
      <c r="G259" s="3" t="n">
        <v>0.114</v>
      </c>
      <c r="H259" s="3" t="n">
        <v>19</v>
      </c>
      <c r="I259" s="3" t="n">
        <v>82.7</v>
      </c>
      <c r="J259" s="3" t="n">
        <v>2.74</v>
      </c>
      <c r="K259" s="3" t="n">
        <v>0</v>
      </c>
      <c r="L259" s="3" t="n">
        <v>4.6</v>
      </c>
      <c r="M259" s="3" t="n">
        <v>697888.09</v>
      </c>
      <c r="N259" s="3" t="n">
        <v>116249.87</v>
      </c>
    </row>
    <row r="260" customFormat="false" ht="15" hidden="false" customHeight="true" outlineLevel="0" collapsed="false">
      <c r="A260" s="3" t="s">
        <v>86</v>
      </c>
      <c r="B260" s="4" t="n">
        <v>45717</v>
      </c>
      <c r="C260" s="3" t="s">
        <v>24</v>
      </c>
      <c r="D260" s="3" t="s">
        <v>28</v>
      </c>
      <c r="E260" s="3" t="n">
        <v>44189.34</v>
      </c>
      <c r="F260" s="3" t="n">
        <v>8634</v>
      </c>
      <c r="G260" s="3" t="n">
        <v>0.143</v>
      </c>
      <c r="H260" s="3" t="n">
        <v>19</v>
      </c>
      <c r="I260" s="3" t="n">
        <v>87.5</v>
      </c>
      <c r="J260" s="3" t="n">
        <v>3.69</v>
      </c>
      <c r="K260" s="3" t="n">
        <v>0</v>
      </c>
      <c r="L260" s="3" t="n">
        <v>4.4</v>
      </c>
      <c r="M260" s="3" t="n">
        <v>746115.59</v>
      </c>
      <c r="N260" s="3" t="n">
        <v>94662.96</v>
      </c>
    </row>
    <row r="261" customFormat="false" ht="15" hidden="false" customHeight="true" outlineLevel="0" collapsed="false">
      <c r="A261" s="3" t="s">
        <v>86</v>
      </c>
      <c r="B261" s="4" t="n">
        <v>45748</v>
      </c>
      <c r="C261" s="3" t="s">
        <v>24</v>
      </c>
      <c r="D261" s="3" t="s">
        <v>28</v>
      </c>
      <c r="E261" s="3" t="n">
        <v>38397.82</v>
      </c>
      <c r="F261" s="3" t="n">
        <v>7836</v>
      </c>
      <c r="G261" s="3" t="n">
        <v>0.007</v>
      </c>
      <c r="H261" s="3" t="n">
        <v>21</v>
      </c>
      <c r="I261" s="3" t="n">
        <v>92.2</v>
      </c>
      <c r="J261" s="3" t="n">
        <v>1.82</v>
      </c>
      <c r="K261" s="3" t="n">
        <v>0</v>
      </c>
      <c r="L261" s="3" t="n">
        <v>3.6</v>
      </c>
      <c r="M261" s="3" t="n">
        <v>776110.32</v>
      </c>
      <c r="N261" s="3" t="n">
        <v>139676.21</v>
      </c>
    </row>
    <row r="262" customFormat="false" ht="15" hidden="false" customHeight="true" outlineLevel="0" collapsed="false">
      <c r="A262" s="3" t="s">
        <v>87</v>
      </c>
      <c r="B262" s="4" t="n">
        <v>45658</v>
      </c>
      <c r="C262" s="3" t="s">
        <v>27</v>
      </c>
      <c r="D262" s="3" t="s">
        <v>18</v>
      </c>
      <c r="E262" s="3" t="n">
        <v>14519.37</v>
      </c>
      <c r="F262" s="3" t="n">
        <v>3047</v>
      </c>
      <c r="G262" s="3" t="n">
        <v>0.135</v>
      </c>
      <c r="H262" s="3" t="n">
        <v>10</v>
      </c>
      <c r="I262" s="3" t="n">
        <v>90.3</v>
      </c>
      <c r="J262" s="3" t="n">
        <v>6.62</v>
      </c>
      <c r="K262" s="3" t="n">
        <v>0</v>
      </c>
      <c r="L262" s="3" t="n">
        <v>4.2</v>
      </c>
      <c r="M262" s="3" t="n">
        <v>528852.62</v>
      </c>
      <c r="N262" s="3" t="n">
        <v>68426.21</v>
      </c>
    </row>
    <row r="263" customFormat="false" ht="15" hidden="false" customHeight="true" outlineLevel="0" collapsed="false">
      <c r="A263" s="3" t="s">
        <v>87</v>
      </c>
      <c r="B263" s="4" t="n">
        <v>45689</v>
      </c>
      <c r="C263" s="3" t="s">
        <v>27</v>
      </c>
      <c r="D263" s="3" t="s">
        <v>18</v>
      </c>
      <c r="E263" s="3" t="n">
        <v>43288.2</v>
      </c>
      <c r="F263" s="3" t="n">
        <v>4783</v>
      </c>
      <c r="G263" s="3" t="n">
        <v>0.169</v>
      </c>
      <c r="H263" s="3" t="n">
        <v>13</v>
      </c>
      <c r="I263" s="3" t="n">
        <v>87.3</v>
      </c>
      <c r="J263" s="3"/>
      <c r="K263" s="3" t="n">
        <v>0</v>
      </c>
      <c r="L263" s="3" t="n">
        <v>4.2</v>
      </c>
      <c r="M263" s="3" t="n">
        <v>605751.33</v>
      </c>
      <c r="N263" s="3" t="n">
        <v>60685.53</v>
      </c>
    </row>
    <row r="264" customFormat="false" ht="15" hidden="false" customHeight="true" outlineLevel="0" collapsed="false">
      <c r="A264" s="3" t="s">
        <v>87</v>
      </c>
      <c r="B264" s="4" t="n">
        <v>45717</v>
      </c>
      <c r="C264" s="3" t="s">
        <v>27</v>
      </c>
      <c r="D264" s="3" t="s">
        <v>18</v>
      </c>
      <c r="E264" s="3" t="n">
        <v>51450.55</v>
      </c>
      <c r="F264" s="3" t="n">
        <v>4902</v>
      </c>
      <c r="G264" s="3" t="n">
        <v>0.086</v>
      </c>
      <c r="H264" s="3" t="n">
        <v>11</v>
      </c>
      <c r="I264" s="3" t="n">
        <v>83.7</v>
      </c>
      <c r="J264" s="3" t="n">
        <v>6.92</v>
      </c>
      <c r="K264" s="3" t="n">
        <v>1</v>
      </c>
      <c r="L264" s="3" t="n">
        <v>4.2</v>
      </c>
      <c r="M264" s="3" t="n">
        <v>677640.65</v>
      </c>
      <c r="N264" s="3" t="n">
        <v>111610.89</v>
      </c>
    </row>
    <row r="265" customFormat="false" ht="15" hidden="false" customHeight="true" outlineLevel="0" collapsed="false">
      <c r="A265" s="3" t="s">
        <v>87</v>
      </c>
      <c r="B265" s="4" t="n">
        <v>45748</v>
      </c>
      <c r="C265" s="3" t="s">
        <v>27</v>
      </c>
      <c r="D265" s="3" t="s">
        <v>18</v>
      </c>
      <c r="E265" s="3" t="n">
        <v>58688.26</v>
      </c>
      <c r="F265" s="3" t="n">
        <v>4022</v>
      </c>
      <c r="G265" s="3" t="n">
        <v>0.217</v>
      </c>
      <c r="H265" s="3" t="n">
        <v>12</v>
      </c>
      <c r="I265" s="3" t="n">
        <v>93.8</v>
      </c>
      <c r="J265" s="3" t="n">
        <v>11.78</v>
      </c>
      <c r="K265" s="3" t="n">
        <v>0</v>
      </c>
      <c r="L265" s="3" t="n">
        <v>3.7</v>
      </c>
      <c r="M265" s="3" t="n">
        <v>636613.23</v>
      </c>
      <c r="N265" s="3" t="n">
        <v>78908.35</v>
      </c>
    </row>
    <row r="266" customFormat="false" ht="15" hidden="false" customHeight="true" outlineLevel="0" collapsed="false">
      <c r="A266" s="3" t="s">
        <v>88</v>
      </c>
      <c r="B266" s="4" t="n">
        <v>45658</v>
      </c>
      <c r="C266" s="3" t="s">
        <v>15</v>
      </c>
      <c r="D266" s="3" t="s">
        <v>18</v>
      </c>
      <c r="E266" s="3" t="n">
        <v>58981.91</v>
      </c>
      <c r="F266" s="3" t="n">
        <v>7324</v>
      </c>
      <c r="G266" s="3" t="n">
        <v>0.094</v>
      </c>
      <c r="H266" s="3" t="n">
        <v>15</v>
      </c>
      <c r="I266" s="3" t="n">
        <v>95.8</v>
      </c>
      <c r="J266" s="3" t="n">
        <v>0.5</v>
      </c>
      <c r="K266" s="3" t="n">
        <v>0</v>
      </c>
      <c r="L266" s="3" t="n">
        <v>3.5</v>
      </c>
      <c r="M266" s="3" t="n">
        <v>708985.19</v>
      </c>
      <c r="N266" s="3" t="n">
        <v>125368.16</v>
      </c>
    </row>
    <row r="267" customFormat="false" ht="15" hidden="false" customHeight="true" outlineLevel="0" collapsed="false">
      <c r="A267" s="3" t="s">
        <v>88</v>
      </c>
      <c r="B267" s="4" t="n">
        <v>45689</v>
      </c>
      <c r="C267" s="3" t="s">
        <v>15</v>
      </c>
      <c r="D267" s="3" t="s">
        <v>18</v>
      </c>
      <c r="E267" s="3" t="n">
        <v>73454.54</v>
      </c>
      <c r="F267" s="3" t="n">
        <v>8129</v>
      </c>
      <c r="G267" s="3" t="n">
        <v>0.211</v>
      </c>
      <c r="H267" s="3" t="n">
        <v>20</v>
      </c>
      <c r="I267" s="3" t="n">
        <v>85.2</v>
      </c>
      <c r="J267" s="3" t="n">
        <v>0.88</v>
      </c>
      <c r="K267" s="3" t="n">
        <v>0</v>
      </c>
      <c r="L267" s="3" t="n">
        <v>3.7</v>
      </c>
      <c r="M267" s="3" t="n">
        <v>767792.94</v>
      </c>
      <c r="N267" s="3" t="n">
        <v>96235.77</v>
      </c>
    </row>
    <row r="268" customFormat="false" ht="15" hidden="false" customHeight="true" outlineLevel="0" collapsed="false">
      <c r="A268" s="3" t="s">
        <v>88</v>
      </c>
      <c r="B268" s="4" t="n">
        <v>45717</v>
      </c>
      <c r="C268" s="3" t="s">
        <v>15</v>
      </c>
      <c r="D268" s="3" t="s">
        <v>18</v>
      </c>
      <c r="E268" s="3" t="n">
        <v>56602.39</v>
      </c>
      <c r="F268" s="3" t="n">
        <v>7969</v>
      </c>
      <c r="G268" s="3" t="n">
        <v>0.17</v>
      </c>
      <c r="H268" s="3" t="n">
        <v>21</v>
      </c>
      <c r="I268" s="3" t="n">
        <v>88.3</v>
      </c>
      <c r="J268" s="3" t="n">
        <v>2.25</v>
      </c>
      <c r="K268" s="3" t="n">
        <v>0</v>
      </c>
      <c r="L268" s="3" t="n">
        <v>3.7</v>
      </c>
      <c r="M268" s="3" t="n">
        <v>745580.51</v>
      </c>
      <c r="N268" s="3" t="n">
        <v>116273.68</v>
      </c>
    </row>
    <row r="269" customFormat="false" ht="15" hidden="false" customHeight="true" outlineLevel="0" collapsed="false">
      <c r="A269" s="3" t="s">
        <v>88</v>
      </c>
      <c r="B269" s="4" t="n">
        <v>45748</v>
      </c>
      <c r="C269" s="3" t="s">
        <v>15</v>
      </c>
      <c r="D269" s="3" t="s">
        <v>18</v>
      </c>
      <c r="E269" s="3" t="n">
        <v>67722.29</v>
      </c>
      <c r="F269" s="3" t="n">
        <v>7240</v>
      </c>
      <c r="G269" s="3" t="n">
        <v>0.026</v>
      </c>
      <c r="H269" s="3" t="n">
        <v>15</v>
      </c>
      <c r="I269" s="3" t="n">
        <v>92.9</v>
      </c>
      <c r="J269" s="3" t="n">
        <v>0.29</v>
      </c>
      <c r="K269" s="3" t="n">
        <v>0</v>
      </c>
      <c r="L269" s="3" t="n">
        <v>3.5</v>
      </c>
      <c r="M269" s="3" t="n">
        <v>762328.31</v>
      </c>
      <c r="N269" s="3" t="n">
        <v>159158.19</v>
      </c>
    </row>
    <row r="270" customFormat="false" ht="15" hidden="false" customHeight="true" outlineLevel="0" collapsed="false">
      <c r="A270" s="3" t="s">
        <v>89</v>
      </c>
      <c r="B270" s="4" t="n">
        <v>45658</v>
      </c>
      <c r="C270" s="3" t="s">
        <v>15</v>
      </c>
      <c r="D270" s="3" t="s">
        <v>28</v>
      </c>
      <c r="E270" s="3" t="n">
        <v>48752.92</v>
      </c>
      <c r="F270" s="3" t="n">
        <v>8052</v>
      </c>
      <c r="G270" s="3" t="n">
        <v>0.106</v>
      </c>
      <c r="H270" s="3" t="n">
        <v>16</v>
      </c>
      <c r="I270" s="3" t="n">
        <v>94.9</v>
      </c>
      <c r="J270" s="3" t="n">
        <v>0.65</v>
      </c>
      <c r="K270" s="3" t="n">
        <v>0</v>
      </c>
      <c r="L270" s="3" t="n">
        <v>3.6</v>
      </c>
      <c r="M270" s="3" t="n">
        <v>660633.99</v>
      </c>
      <c r="N270" s="3" t="n">
        <v>118768.66</v>
      </c>
    </row>
    <row r="271" customFormat="false" ht="15" hidden="false" customHeight="true" outlineLevel="0" collapsed="false">
      <c r="A271" s="3" t="s">
        <v>89</v>
      </c>
      <c r="B271" s="4" t="n">
        <v>45689</v>
      </c>
      <c r="C271" s="3" t="s">
        <v>15</v>
      </c>
      <c r="D271" s="3" t="s">
        <v>28</v>
      </c>
      <c r="E271" s="3" t="n">
        <v>23914.97</v>
      </c>
      <c r="F271" s="3" t="n">
        <v>8018</v>
      </c>
      <c r="G271" s="3" t="n">
        <v>0.139</v>
      </c>
      <c r="H271" s="3" t="n">
        <v>20</v>
      </c>
      <c r="I271" s="3" t="n">
        <v>89</v>
      </c>
      <c r="J271" s="3" t="n">
        <v>0.2</v>
      </c>
      <c r="K271" s="3" t="n">
        <v>0</v>
      </c>
      <c r="L271" s="3" t="n">
        <v>3.5</v>
      </c>
      <c r="M271" s="3" t="n">
        <v>739374.56</v>
      </c>
      <c r="N271" s="3" t="n">
        <v>121032.29</v>
      </c>
    </row>
    <row r="272" customFormat="false" ht="15" hidden="false" customHeight="true" outlineLevel="0" collapsed="false">
      <c r="A272" s="3" t="s">
        <v>89</v>
      </c>
      <c r="B272" s="4" t="n">
        <v>45717</v>
      </c>
      <c r="C272" s="3" t="s">
        <v>15</v>
      </c>
      <c r="D272" s="3" t="s">
        <v>28</v>
      </c>
      <c r="E272" s="3" t="n">
        <v>61995.3</v>
      </c>
      <c r="F272" s="3" t="n">
        <v>10192</v>
      </c>
      <c r="G272" s="3" t="n">
        <v>0.198</v>
      </c>
      <c r="H272" s="3" t="n">
        <v>21</v>
      </c>
      <c r="I272" s="3" t="n">
        <v>87.6</v>
      </c>
      <c r="J272" s="3" t="n">
        <v>3.63</v>
      </c>
      <c r="K272" s="3" t="n">
        <v>1</v>
      </c>
      <c r="L272" s="3" t="n">
        <v>3.8</v>
      </c>
      <c r="M272" s="3" t="n">
        <v>799756.46</v>
      </c>
      <c r="N272" s="3" t="n">
        <v>105052.93</v>
      </c>
    </row>
    <row r="273" customFormat="false" ht="15" hidden="false" customHeight="true" outlineLevel="0" collapsed="false">
      <c r="A273" s="3" t="s">
        <v>89</v>
      </c>
      <c r="B273" s="4" t="n">
        <v>45748</v>
      </c>
      <c r="C273" s="3" t="s">
        <v>15</v>
      </c>
      <c r="D273" s="3" t="s">
        <v>28</v>
      </c>
      <c r="E273" s="3" t="n">
        <v>29344.93</v>
      </c>
      <c r="F273" s="3" t="n">
        <v>7446</v>
      </c>
      <c r="G273" s="3" t="n">
        <v>0.111</v>
      </c>
      <c r="H273" s="3" t="n">
        <v>15</v>
      </c>
      <c r="I273" s="3" t="n">
        <v>86.2</v>
      </c>
      <c r="J273" s="3" t="n">
        <v>0.2</v>
      </c>
      <c r="K273" s="3" t="n">
        <v>0</v>
      </c>
      <c r="L273" s="3" t="n">
        <v>3.2</v>
      </c>
      <c r="M273" s="3" t="n">
        <v>593343</v>
      </c>
      <c r="N273" s="3" t="n">
        <v>82832.24</v>
      </c>
    </row>
    <row r="274" customFormat="false" ht="15" hidden="false" customHeight="true" outlineLevel="0" collapsed="false">
      <c r="A274" s="3" t="s">
        <v>90</v>
      </c>
      <c r="B274" s="4" t="n">
        <v>45658</v>
      </c>
      <c r="C274" s="3" t="s">
        <v>27</v>
      </c>
      <c r="D274" s="3" t="s">
        <v>18</v>
      </c>
      <c r="E274" s="3" t="n">
        <v>50532.17</v>
      </c>
      <c r="F274" s="3" t="n">
        <v>5689</v>
      </c>
      <c r="G274" s="3" t="n">
        <v>0.052</v>
      </c>
      <c r="H274" s="3" t="n">
        <v>17</v>
      </c>
      <c r="I274" s="3" t="n">
        <v>85.6</v>
      </c>
      <c r="J274" s="3" t="n">
        <v>6.23</v>
      </c>
      <c r="K274" s="3" t="n">
        <v>0</v>
      </c>
      <c r="L274" s="3" t="n">
        <v>3.3</v>
      </c>
      <c r="M274" s="3" t="n">
        <v>645039.97</v>
      </c>
      <c r="N274" s="3" t="n">
        <v>83093.33</v>
      </c>
    </row>
    <row r="275" customFormat="false" ht="15" hidden="false" customHeight="true" outlineLevel="0" collapsed="false">
      <c r="A275" s="3" t="s">
        <v>90</v>
      </c>
      <c r="B275" s="4" t="n">
        <v>45689</v>
      </c>
      <c r="C275" s="3" t="s">
        <v>27</v>
      </c>
      <c r="D275" s="3" t="s">
        <v>18</v>
      </c>
      <c r="E275" s="3" t="n">
        <v>17562.57</v>
      </c>
      <c r="F275" s="3" t="n">
        <v>3326</v>
      </c>
      <c r="G275" s="3" t="n">
        <v>0.153</v>
      </c>
      <c r="H275" s="3" t="n">
        <v>14</v>
      </c>
      <c r="I275" s="3" t="n">
        <v>88.1</v>
      </c>
      <c r="J275" s="3" t="n">
        <v>1.04</v>
      </c>
      <c r="K275" s="3" t="n">
        <v>0</v>
      </c>
      <c r="L275" s="3" t="n">
        <v>3.1</v>
      </c>
      <c r="M275" s="3" t="n">
        <v>561597.33</v>
      </c>
      <c r="N275" s="3" t="n">
        <v>75072.75</v>
      </c>
    </row>
    <row r="276" customFormat="false" ht="15" hidden="false" customHeight="true" outlineLevel="0" collapsed="false">
      <c r="A276" s="3" t="s">
        <v>90</v>
      </c>
      <c r="B276" s="4" t="n">
        <v>45717</v>
      </c>
      <c r="C276" s="3" t="s">
        <v>27</v>
      </c>
      <c r="D276" s="3" t="s">
        <v>18</v>
      </c>
      <c r="E276" s="3" t="n">
        <v>47648.71</v>
      </c>
      <c r="F276" s="3" t="n">
        <v>5767</v>
      </c>
      <c r="G276" s="3" t="n">
        <v>0.141</v>
      </c>
      <c r="H276" s="3" t="n">
        <v>17</v>
      </c>
      <c r="I276" s="3" t="n">
        <v>89.8</v>
      </c>
      <c r="J276" s="3" t="n">
        <v>1.76</v>
      </c>
      <c r="K276" s="3" t="n">
        <v>0</v>
      </c>
      <c r="L276" s="3" t="n">
        <v>3.1</v>
      </c>
      <c r="M276" s="3" t="n">
        <v>635837.74</v>
      </c>
      <c r="N276" s="3" t="n">
        <v>114740.64</v>
      </c>
    </row>
    <row r="277" customFormat="false" ht="15" hidden="false" customHeight="true" outlineLevel="0" collapsed="false">
      <c r="A277" s="3" t="s">
        <v>90</v>
      </c>
      <c r="B277" s="4" t="n">
        <v>45748</v>
      </c>
      <c r="C277" s="3" t="s">
        <v>27</v>
      </c>
      <c r="D277" s="3" t="s">
        <v>18</v>
      </c>
      <c r="E277" s="3" t="n">
        <v>38297.58</v>
      </c>
      <c r="F277" s="3" t="n">
        <v>5893</v>
      </c>
      <c r="G277" s="3" t="n">
        <v>0.247</v>
      </c>
      <c r="H277" s="3" t="n">
        <v>18</v>
      </c>
      <c r="I277" s="3" t="n">
        <v>77.6</v>
      </c>
      <c r="J277" s="3" t="n">
        <v>2.86</v>
      </c>
      <c r="K277" s="3" t="n">
        <v>0</v>
      </c>
      <c r="L277" s="3" t="n">
        <v>3</v>
      </c>
      <c r="M277" s="3" t="n">
        <v>686737.87</v>
      </c>
      <c r="N277" s="3" t="n">
        <v>83839.67</v>
      </c>
    </row>
    <row r="278" customFormat="false" ht="15" hidden="false" customHeight="true" outlineLevel="0" collapsed="false">
      <c r="A278" s="3" t="s">
        <v>91</v>
      </c>
      <c r="B278" s="4" t="n">
        <v>45658</v>
      </c>
      <c r="C278" s="3" t="s">
        <v>24</v>
      </c>
      <c r="D278" s="3" t="s">
        <v>16</v>
      </c>
      <c r="E278" s="3" t="n">
        <v>61784.11</v>
      </c>
      <c r="F278" s="3" t="n">
        <v>8564</v>
      </c>
      <c r="G278" s="3" t="n">
        <v>0.13</v>
      </c>
      <c r="H278" s="3" t="n">
        <v>17</v>
      </c>
      <c r="I278" s="3" t="n">
        <v>87.4</v>
      </c>
      <c r="J278" s="3" t="n">
        <v>18.14</v>
      </c>
      <c r="K278" s="3" t="n">
        <v>1</v>
      </c>
      <c r="L278" s="3" t="n">
        <v>3.4</v>
      </c>
      <c r="M278" s="3" t="n">
        <v>673076.34</v>
      </c>
      <c r="N278" s="3" t="n">
        <v>93899.76</v>
      </c>
    </row>
    <row r="279" customFormat="false" ht="15" hidden="false" customHeight="true" outlineLevel="0" collapsed="false">
      <c r="A279" s="3" t="s">
        <v>91</v>
      </c>
      <c r="B279" s="4" t="n">
        <v>45689</v>
      </c>
      <c r="C279" s="3" t="s">
        <v>24</v>
      </c>
      <c r="D279" s="3" t="s">
        <v>16</v>
      </c>
      <c r="E279" s="3" t="n">
        <v>36832.33</v>
      </c>
      <c r="F279" s="3" t="n">
        <v>8001</v>
      </c>
      <c r="G279" s="3" t="n">
        <v>0</v>
      </c>
      <c r="H279" s="3" t="n">
        <v>19</v>
      </c>
      <c r="I279" s="3" t="n">
        <v>88.7</v>
      </c>
      <c r="J279" s="3" t="n">
        <v>3.39</v>
      </c>
      <c r="K279" s="3" t="n">
        <v>0</v>
      </c>
      <c r="L279" s="3" t="n">
        <v>4</v>
      </c>
      <c r="M279" s="3" t="n">
        <v>738548.42</v>
      </c>
      <c r="N279" s="3" t="n">
        <v>134282.77</v>
      </c>
    </row>
    <row r="280" customFormat="false" ht="15" hidden="false" customHeight="true" outlineLevel="0" collapsed="false">
      <c r="A280" s="3" t="s">
        <v>91</v>
      </c>
      <c r="B280" s="4" t="n">
        <v>45717</v>
      </c>
      <c r="C280" s="3" t="s">
        <v>24</v>
      </c>
      <c r="D280" s="3" t="s">
        <v>16</v>
      </c>
      <c r="E280" s="3" t="n">
        <v>48609.41</v>
      </c>
      <c r="F280" s="3" t="n">
        <v>9324</v>
      </c>
      <c r="G280" s="3" t="n">
        <v>0.213</v>
      </c>
      <c r="H280" s="3" t="n">
        <v>18</v>
      </c>
      <c r="I280" s="3" t="n">
        <v>86.5</v>
      </c>
      <c r="J280" s="3" t="n">
        <v>1.44</v>
      </c>
      <c r="K280" s="3" t="n">
        <v>0</v>
      </c>
      <c r="L280" s="3" t="n">
        <v>3.9</v>
      </c>
      <c r="M280" s="3" t="n">
        <v>756619.77</v>
      </c>
      <c r="N280" s="3" t="n">
        <v>112057.69</v>
      </c>
    </row>
    <row r="281" customFormat="false" ht="15" hidden="false" customHeight="true" outlineLevel="0" collapsed="false">
      <c r="A281" s="3" t="s">
        <v>91</v>
      </c>
      <c r="B281" s="4" t="n">
        <v>45748</v>
      </c>
      <c r="C281" s="3" t="s">
        <v>24</v>
      </c>
      <c r="D281" s="3" t="s">
        <v>16</v>
      </c>
      <c r="E281" s="3" t="n">
        <v>70284.06</v>
      </c>
      <c r="F281" s="3" t="n">
        <v>9109</v>
      </c>
      <c r="G281" s="3" t="n">
        <v>0.004</v>
      </c>
      <c r="H281" s="3" t="n">
        <v>23</v>
      </c>
      <c r="I281" s="3" t="n">
        <v>87</v>
      </c>
      <c r="J281" s="3" t="n">
        <v>3.65</v>
      </c>
      <c r="K281" s="3" t="n">
        <v>0</v>
      </c>
      <c r="L281" s="3" t="n">
        <v>3.7</v>
      </c>
      <c r="M281" s="3" t="n">
        <v>761122.42</v>
      </c>
      <c r="N281" s="3" t="n">
        <v>149802.04</v>
      </c>
    </row>
    <row r="282" customFormat="false" ht="15" hidden="false" customHeight="true" outlineLevel="0" collapsed="false">
      <c r="A282" s="3" t="s">
        <v>92</v>
      </c>
      <c r="B282" s="4" t="n">
        <v>45658</v>
      </c>
      <c r="C282" s="3" t="s">
        <v>24</v>
      </c>
      <c r="D282" s="3" t="s">
        <v>18</v>
      </c>
      <c r="E282" s="3" t="n">
        <v>45940.39</v>
      </c>
      <c r="F282" s="3" t="n">
        <v>4022</v>
      </c>
      <c r="G282" s="3" t="n">
        <v>0.069</v>
      </c>
      <c r="H282" s="3" t="n">
        <v>10</v>
      </c>
      <c r="I282" s="3" t="n">
        <v>83</v>
      </c>
      <c r="J282" s="3" t="n">
        <v>1.23</v>
      </c>
      <c r="K282" s="3" t="n">
        <v>1</v>
      </c>
      <c r="L282" s="3" t="n">
        <v>3.8</v>
      </c>
      <c r="M282" s="3" t="n">
        <v>524899.57</v>
      </c>
      <c r="N282" s="3" t="n">
        <v>63619.98</v>
      </c>
    </row>
    <row r="283" customFormat="false" ht="15" hidden="false" customHeight="true" outlineLevel="0" collapsed="false">
      <c r="A283" s="3" t="s">
        <v>92</v>
      </c>
      <c r="B283" s="4" t="n">
        <v>45689</v>
      </c>
      <c r="C283" s="3" t="s">
        <v>24</v>
      </c>
      <c r="D283" s="3" t="s">
        <v>18</v>
      </c>
      <c r="E283" s="3" t="n">
        <v>34771.26</v>
      </c>
      <c r="F283" s="3" t="n">
        <v>4355</v>
      </c>
      <c r="G283" s="3" t="n">
        <v>0.051</v>
      </c>
      <c r="H283" s="3" t="n">
        <v>15</v>
      </c>
      <c r="I283" s="3" t="n">
        <v>87.9</v>
      </c>
      <c r="J283" s="3" t="n">
        <v>3.09</v>
      </c>
      <c r="K283" s="3" t="n">
        <v>0</v>
      </c>
      <c r="L283" s="3" t="n">
        <v>4</v>
      </c>
      <c r="M283" s="3" t="n">
        <v>555557.77</v>
      </c>
      <c r="N283" s="3" t="n">
        <v>86475.51</v>
      </c>
    </row>
    <row r="284" customFormat="false" ht="15" hidden="false" customHeight="true" outlineLevel="0" collapsed="false">
      <c r="A284" s="3" t="s">
        <v>92</v>
      </c>
      <c r="B284" s="4" t="n">
        <v>45717</v>
      </c>
      <c r="C284" s="3" t="s">
        <v>24</v>
      </c>
      <c r="D284" s="3" t="s">
        <v>18</v>
      </c>
      <c r="E284" s="3" t="n">
        <v>66104.19</v>
      </c>
      <c r="F284" s="3" t="n">
        <v>5745</v>
      </c>
      <c r="G284" s="3" t="n">
        <v>0.07</v>
      </c>
      <c r="H284" s="3" t="n">
        <v>17</v>
      </c>
      <c r="I284" s="3" t="n">
        <v>95.8</v>
      </c>
      <c r="J284" s="3" t="n">
        <v>3.15</v>
      </c>
      <c r="K284" s="3" t="n">
        <v>0</v>
      </c>
      <c r="L284" s="3" t="n">
        <v>4</v>
      </c>
      <c r="M284" s="3" t="n">
        <v>714083.68</v>
      </c>
      <c r="N284" s="3" t="n">
        <v>127231.74</v>
      </c>
    </row>
    <row r="285" customFormat="false" ht="15" hidden="false" customHeight="true" outlineLevel="0" collapsed="false">
      <c r="A285" s="3" t="s">
        <v>92</v>
      </c>
      <c r="B285" s="4" t="n">
        <v>45748</v>
      </c>
      <c r="C285" s="3" t="s">
        <v>24</v>
      </c>
      <c r="D285" s="3" t="s">
        <v>18</v>
      </c>
      <c r="E285" s="3" t="n">
        <v>18599.21</v>
      </c>
      <c r="F285" s="3" t="n">
        <v>3027</v>
      </c>
      <c r="G285" s="3" t="n">
        <v>0.122</v>
      </c>
      <c r="H285" s="3" t="n">
        <v>11</v>
      </c>
      <c r="I285" s="3" t="n">
        <v>80.9</v>
      </c>
      <c r="J285" s="3" t="n">
        <v>6.44</v>
      </c>
      <c r="K285" s="3" t="n">
        <v>0</v>
      </c>
      <c r="L285" s="3" t="n">
        <v>4.2</v>
      </c>
      <c r="M285" s="3" t="n">
        <v>497439.82</v>
      </c>
      <c r="N285" s="3" t="n">
        <v>93372.75</v>
      </c>
    </row>
    <row r="286" customFormat="false" ht="15" hidden="false" customHeight="true" outlineLevel="0" collapsed="false">
      <c r="A286" s="3" t="s">
        <v>93</v>
      </c>
      <c r="B286" s="4" t="n">
        <v>45658</v>
      </c>
      <c r="C286" s="3" t="s">
        <v>27</v>
      </c>
      <c r="D286" s="3" t="s">
        <v>16</v>
      </c>
      <c r="E286" s="3" t="n">
        <v>60183.06</v>
      </c>
      <c r="F286" s="3" t="n">
        <v>5562</v>
      </c>
      <c r="G286" s="3" t="n">
        <v>0.009</v>
      </c>
      <c r="H286" s="3" t="n">
        <v>13</v>
      </c>
      <c r="I286" s="3" t="n">
        <v>86.3</v>
      </c>
      <c r="J286" s="3" t="n">
        <v>0.2</v>
      </c>
      <c r="K286" s="3" t="n">
        <v>1</v>
      </c>
      <c r="L286" s="3" t="n">
        <v>4.5</v>
      </c>
      <c r="M286" s="3" t="n">
        <v>636775.66</v>
      </c>
      <c r="N286" s="3" t="n">
        <v>122636.86</v>
      </c>
    </row>
    <row r="287" customFormat="false" ht="15" hidden="false" customHeight="true" outlineLevel="0" collapsed="false">
      <c r="A287" s="3" t="s">
        <v>93</v>
      </c>
      <c r="B287" s="4" t="n">
        <v>45689</v>
      </c>
      <c r="C287" s="3" t="s">
        <v>27</v>
      </c>
      <c r="D287" s="3" t="s">
        <v>16</v>
      </c>
      <c r="E287" s="3" t="n">
        <v>74539.14</v>
      </c>
      <c r="F287" s="3" t="n">
        <v>4487</v>
      </c>
      <c r="G287" s="3" t="n">
        <v>0.14</v>
      </c>
      <c r="H287" s="3" t="n">
        <v>10</v>
      </c>
      <c r="I287" s="3" t="n">
        <v>90.4</v>
      </c>
      <c r="J287" s="3" t="n">
        <v>0.59</v>
      </c>
      <c r="K287" s="3" t="n">
        <v>0</v>
      </c>
      <c r="L287" s="3" t="n">
        <v>4.5</v>
      </c>
      <c r="M287" s="3" t="n">
        <v>633009.53</v>
      </c>
      <c r="N287" s="3" t="n">
        <v>123782.67</v>
      </c>
    </row>
    <row r="288" customFormat="false" ht="15" hidden="false" customHeight="true" outlineLevel="0" collapsed="false">
      <c r="A288" s="3" t="s">
        <v>93</v>
      </c>
      <c r="B288" s="4" t="n">
        <v>45717</v>
      </c>
      <c r="C288" s="3" t="s">
        <v>27</v>
      </c>
      <c r="D288" s="3" t="s">
        <v>16</v>
      </c>
      <c r="E288" s="3" t="n">
        <v>55371.97</v>
      </c>
      <c r="F288" s="3" t="n">
        <v>4162</v>
      </c>
      <c r="G288" s="3" t="n">
        <v>0.183</v>
      </c>
      <c r="H288" s="3" t="n">
        <v>11</v>
      </c>
      <c r="I288" s="3" t="n">
        <v>92</v>
      </c>
      <c r="J288" s="3" t="n">
        <v>0.2</v>
      </c>
      <c r="K288" s="3" t="n">
        <v>1</v>
      </c>
      <c r="L288" s="3" t="n">
        <v>4.2</v>
      </c>
      <c r="M288" s="3" t="n">
        <v>609949</v>
      </c>
      <c r="N288" s="3" t="n">
        <v>126789.25</v>
      </c>
    </row>
    <row r="289" customFormat="false" ht="15" hidden="false" customHeight="true" outlineLevel="0" collapsed="false">
      <c r="A289" s="3" t="s">
        <v>93</v>
      </c>
      <c r="B289" s="4" t="n">
        <v>45748</v>
      </c>
      <c r="C289" s="3" t="s">
        <v>27</v>
      </c>
      <c r="D289" s="3" t="s">
        <v>16</v>
      </c>
      <c r="E289" s="3" t="n">
        <v>40928.69</v>
      </c>
      <c r="F289" s="3" t="n">
        <v>4094</v>
      </c>
      <c r="G289" s="3" t="n">
        <v>0.174</v>
      </c>
      <c r="H289" s="3" t="n">
        <v>13</v>
      </c>
      <c r="I289" s="3" t="n">
        <v>82.4</v>
      </c>
      <c r="J289" s="3" t="n">
        <v>1.36</v>
      </c>
      <c r="K289" s="3" t="n">
        <v>0</v>
      </c>
      <c r="L289" s="3" t="n">
        <v>4.8</v>
      </c>
      <c r="M289" s="3" t="n">
        <v>548103.7</v>
      </c>
      <c r="N289" s="3" t="n">
        <v>99905.52</v>
      </c>
    </row>
    <row r="290" customFormat="false" ht="15" hidden="false" customHeight="true" outlineLevel="0" collapsed="false">
      <c r="A290" s="3" t="s">
        <v>94</v>
      </c>
      <c r="B290" s="4" t="n">
        <v>45658</v>
      </c>
      <c r="C290" s="3" t="s">
        <v>15</v>
      </c>
      <c r="D290" s="3" t="s">
        <v>16</v>
      </c>
      <c r="E290" s="3" t="n">
        <v>70012.41</v>
      </c>
      <c r="F290" s="3" t="n">
        <v>8484</v>
      </c>
      <c r="G290" s="3" t="n">
        <v>0.273</v>
      </c>
      <c r="H290" s="3" t="n">
        <v>23</v>
      </c>
      <c r="I290" s="3" t="n">
        <v>72.9</v>
      </c>
      <c r="J290" s="3" t="n">
        <v>3.34</v>
      </c>
      <c r="K290" s="3" t="n">
        <v>0</v>
      </c>
      <c r="L290" s="3" t="n">
        <v>3.7</v>
      </c>
      <c r="M290" s="3" t="n">
        <v>729424.42</v>
      </c>
      <c r="N290" s="3" t="n">
        <v>75592.28</v>
      </c>
    </row>
    <row r="291" customFormat="false" ht="15" hidden="false" customHeight="true" outlineLevel="0" collapsed="false">
      <c r="A291" s="3" t="s">
        <v>94</v>
      </c>
      <c r="B291" s="4" t="n">
        <v>45689</v>
      </c>
      <c r="C291" s="3" t="s">
        <v>15</v>
      </c>
      <c r="D291" s="3" t="s">
        <v>16</v>
      </c>
      <c r="E291" s="3" t="n">
        <v>68909.26</v>
      </c>
      <c r="F291" s="3" t="n">
        <v>7794</v>
      </c>
      <c r="G291" s="3" t="n">
        <v>0.284</v>
      </c>
      <c r="H291" s="3" t="n">
        <v>22</v>
      </c>
      <c r="I291" s="3" t="n">
        <v>89</v>
      </c>
      <c r="J291" s="3" t="n">
        <v>0.33</v>
      </c>
      <c r="K291" s="3" t="n">
        <v>0</v>
      </c>
      <c r="L291" s="3" t="n">
        <v>4</v>
      </c>
      <c r="M291" s="3" t="n">
        <v>696261.49</v>
      </c>
      <c r="N291" s="3" t="n">
        <v>72455.35</v>
      </c>
    </row>
    <row r="292" customFormat="false" ht="15" hidden="false" customHeight="true" outlineLevel="0" collapsed="false">
      <c r="A292" s="3" t="s">
        <v>94</v>
      </c>
      <c r="B292" s="4" t="n">
        <v>45717</v>
      </c>
      <c r="C292" s="3" t="s">
        <v>15</v>
      </c>
      <c r="D292" s="3" t="s">
        <v>16</v>
      </c>
      <c r="E292" s="3" t="n">
        <v>56737.3</v>
      </c>
      <c r="F292" s="3" t="n">
        <v>8300</v>
      </c>
      <c r="G292" s="3" t="n">
        <v>0.032</v>
      </c>
      <c r="H292" s="3" t="n">
        <v>21</v>
      </c>
      <c r="I292" s="3" t="n">
        <v>83.2</v>
      </c>
      <c r="J292" s="3" t="n">
        <v>3.44</v>
      </c>
      <c r="K292" s="3" t="n">
        <v>1</v>
      </c>
      <c r="L292" s="3" t="n">
        <v>4.3</v>
      </c>
      <c r="M292" s="3" t="n">
        <v>813316.71</v>
      </c>
      <c r="N292" s="3" t="n">
        <v>110077.42</v>
      </c>
    </row>
    <row r="293" customFormat="false" ht="15" hidden="false" customHeight="true" outlineLevel="0" collapsed="false">
      <c r="A293" s="3" t="s">
        <v>94</v>
      </c>
      <c r="B293" s="4" t="n">
        <v>45748</v>
      </c>
      <c r="C293" s="3" t="s">
        <v>15</v>
      </c>
      <c r="D293" s="3" t="s">
        <v>16</v>
      </c>
      <c r="E293" s="3" t="n">
        <v>54080.91</v>
      </c>
      <c r="F293" s="3" t="n">
        <v>7083</v>
      </c>
      <c r="G293" s="3" t="n">
        <v>0</v>
      </c>
      <c r="H293" s="3" t="n">
        <v>15</v>
      </c>
      <c r="I293" s="3" t="n">
        <v>97</v>
      </c>
      <c r="J293" s="3" t="n">
        <v>5.33</v>
      </c>
      <c r="K293" s="3" t="n">
        <v>0</v>
      </c>
      <c r="L293" s="3" t="n">
        <v>4.1</v>
      </c>
      <c r="M293" s="3" t="n">
        <v>702068.92</v>
      </c>
      <c r="N293" s="3" t="n">
        <v>111266.63</v>
      </c>
    </row>
    <row r="294" customFormat="false" ht="15" hidden="false" customHeight="true" outlineLevel="0" collapsed="false">
      <c r="A294" s="3" t="s">
        <v>95</v>
      </c>
      <c r="B294" s="4" t="n">
        <v>45658</v>
      </c>
      <c r="C294" s="3" t="s">
        <v>27</v>
      </c>
      <c r="D294" s="3" t="s">
        <v>18</v>
      </c>
      <c r="E294" s="3" t="n">
        <v>51996.32</v>
      </c>
      <c r="F294" s="3" t="n">
        <v>3834</v>
      </c>
      <c r="G294" s="3" t="n">
        <v>0.096</v>
      </c>
      <c r="H294" s="3" t="n">
        <v>8</v>
      </c>
      <c r="I294" s="3" t="n">
        <v>86.7</v>
      </c>
      <c r="J294" s="3" t="n">
        <v>6.04</v>
      </c>
      <c r="K294" s="3" t="n">
        <v>0</v>
      </c>
      <c r="L294" s="3" t="n">
        <v>4.5</v>
      </c>
      <c r="M294" s="3" t="n">
        <v>546223.7</v>
      </c>
      <c r="N294" s="3" t="n">
        <v>100769.17</v>
      </c>
    </row>
    <row r="295" customFormat="false" ht="15" hidden="false" customHeight="true" outlineLevel="0" collapsed="false">
      <c r="A295" s="3" t="s">
        <v>95</v>
      </c>
      <c r="B295" s="4" t="n">
        <v>45689</v>
      </c>
      <c r="C295" s="3" t="s">
        <v>27</v>
      </c>
      <c r="D295" s="3" t="s">
        <v>18</v>
      </c>
      <c r="E295" s="3" t="n">
        <v>40102.88</v>
      </c>
      <c r="F295" s="3" t="n">
        <v>2358</v>
      </c>
      <c r="G295" s="3" t="n">
        <v>0.119</v>
      </c>
      <c r="H295" s="3" t="n">
        <v>9</v>
      </c>
      <c r="I295" s="3" t="n">
        <v>88.7</v>
      </c>
      <c r="J295" s="3" t="n">
        <v>1.6</v>
      </c>
      <c r="K295" s="3" t="n">
        <v>0</v>
      </c>
      <c r="L295" s="3" t="n">
        <v>4.2</v>
      </c>
      <c r="M295" s="3" t="n">
        <v>533121.26</v>
      </c>
      <c r="N295" s="3" t="n">
        <v>55063.39</v>
      </c>
    </row>
    <row r="296" customFormat="false" ht="15" hidden="false" customHeight="true" outlineLevel="0" collapsed="false">
      <c r="A296" s="3" t="s">
        <v>95</v>
      </c>
      <c r="B296" s="4" t="n">
        <v>45717</v>
      </c>
      <c r="C296" s="3" t="s">
        <v>27</v>
      </c>
      <c r="D296" s="3" t="s">
        <v>18</v>
      </c>
      <c r="E296" s="3" t="n">
        <v>59825.51</v>
      </c>
      <c r="F296" s="3" t="n">
        <v>1231</v>
      </c>
      <c r="G296" s="3" t="n">
        <v>0.214</v>
      </c>
      <c r="H296" s="3" t="n">
        <v>10</v>
      </c>
      <c r="I296" s="3" t="n">
        <v>84.8</v>
      </c>
      <c r="J296" s="3" t="n">
        <v>8.96</v>
      </c>
      <c r="K296" s="3" t="n">
        <v>0</v>
      </c>
      <c r="L296" s="3" t="n">
        <v>4.7</v>
      </c>
      <c r="M296" s="3" t="n">
        <v>498970.32</v>
      </c>
      <c r="N296" s="3" t="n">
        <v>69656.7</v>
      </c>
    </row>
    <row r="297" customFormat="false" ht="15" hidden="false" customHeight="true" outlineLevel="0" collapsed="false">
      <c r="A297" s="3" t="s">
        <v>95</v>
      </c>
      <c r="B297" s="4" t="n">
        <v>45748</v>
      </c>
      <c r="C297" s="3" t="s">
        <v>27</v>
      </c>
      <c r="D297" s="3" t="s">
        <v>18</v>
      </c>
      <c r="E297" s="3" t="n">
        <v>27398.28</v>
      </c>
      <c r="F297" s="3" t="n">
        <v>1723</v>
      </c>
      <c r="G297" s="3" t="n">
        <v>0.171</v>
      </c>
      <c r="H297" s="3" t="n">
        <v>9</v>
      </c>
      <c r="I297" s="3" t="n">
        <v>81</v>
      </c>
      <c r="J297" s="3" t="n">
        <v>0.74</v>
      </c>
      <c r="K297" s="3" t="n">
        <v>0</v>
      </c>
      <c r="L297" s="3" t="n">
        <v>4.6</v>
      </c>
      <c r="M297" s="3" t="n">
        <v>487738.26</v>
      </c>
      <c r="N297" s="3" t="n">
        <v>96435.6</v>
      </c>
    </row>
    <row r="298" customFormat="false" ht="15" hidden="false" customHeight="true" outlineLevel="0" collapsed="false">
      <c r="A298" s="3" t="s">
        <v>96</v>
      </c>
      <c r="B298" s="4" t="n">
        <v>45658</v>
      </c>
      <c r="C298" s="3" t="s">
        <v>27</v>
      </c>
      <c r="D298" s="3" t="s">
        <v>18</v>
      </c>
      <c r="E298" s="3" t="n">
        <v>55599.56</v>
      </c>
      <c r="F298" s="3" t="n">
        <v>5896</v>
      </c>
      <c r="G298" s="3" t="n">
        <v>0.036</v>
      </c>
      <c r="H298" s="3" t="n">
        <v>12</v>
      </c>
      <c r="I298" s="3" t="n">
        <v>93.1</v>
      </c>
      <c r="J298" s="3" t="n">
        <v>6.13</v>
      </c>
      <c r="K298" s="3" t="n">
        <v>0</v>
      </c>
      <c r="L298" s="3" t="n">
        <v>3.3</v>
      </c>
      <c r="M298" s="3" t="n">
        <v>668459.37</v>
      </c>
      <c r="N298" s="3" t="n">
        <v>126435.42</v>
      </c>
    </row>
    <row r="299" customFormat="false" ht="15" hidden="false" customHeight="true" outlineLevel="0" collapsed="false">
      <c r="A299" s="3" t="s">
        <v>96</v>
      </c>
      <c r="B299" s="4" t="n">
        <v>45689</v>
      </c>
      <c r="C299" s="3" t="s">
        <v>27</v>
      </c>
      <c r="D299" s="3" t="s">
        <v>18</v>
      </c>
      <c r="E299" s="3" t="n">
        <v>55477.61</v>
      </c>
      <c r="F299" s="3" t="n">
        <v>5903</v>
      </c>
      <c r="G299" s="3" t="n">
        <v>0.102</v>
      </c>
      <c r="H299" s="3" t="n">
        <v>14</v>
      </c>
      <c r="I299" s="3" t="n">
        <v>96.2</v>
      </c>
      <c r="J299" s="3" t="n">
        <v>1.41</v>
      </c>
      <c r="K299" s="3" t="n">
        <v>0</v>
      </c>
      <c r="L299" s="3" t="n">
        <v>3.3</v>
      </c>
      <c r="M299" s="3" t="n">
        <v>763162.45</v>
      </c>
      <c r="N299" s="3" t="n">
        <v>162524.05</v>
      </c>
    </row>
    <row r="300" customFormat="false" ht="15" hidden="false" customHeight="true" outlineLevel="0" collapsed="false">
      <c r="A300" s="3" t="s">
        <v>96</v>
      </c>
      <c r="B300" s="4" t="n">
        <v>45717</v>
      </c>
      <c r="C300" s="3" t="s">
        <v>27</v>
      </c>
      <c r="D300" s="3" t="s">
        <v>18</v>
      </c>
      <c r="E300" s="3" t="n">
        <v>46174.7</v>
      </c>
      <c r="F300" s="3" t="n">
        <v>4898</v>
      </c>
      <c r="G300" s="3" t="n">
        <v>0.114</v>
      </c>
      <c r="H300" s="3" t="n">
        <v>11</v>
      </c>
      <c r="I300" s="3" t="n">
        <v>91.7</v>
      </c>
      <c r="J300" s="3" t="n">
        <v>3.75</v>
      </c>
      <c r="K300" s="3" t="n">
        <v>0</v>
      </c>
      <c r="L300" s="3" t="n">
        <v>3.1</v>
      </c>
      <c r="M300" s="3" t="n">
        <v>599017.33</v>
      </c>
      <c r="N300" s="3" t="n">
        <v>134009.92</v>
      </c>
    </row>
    <row r="301" customFormat="false" ht="15" hidden="false" customHeight="true" outlineLevel="0" collapsed="false">
      <c r="A301" s="3" t="s">
        <v>96</v>
      </c>
      <c r="B301" s="4" t="n">
        <v>45748</v>
      </c>
      <c r="C301" s="3" t="s">
        <v>27</v>
      </c>
      <c r="D301" s="3" t="s">
        <v>18</v>
      </c>
      <c r="E301" s="3" t="n">
        <v>24362.98</v>
      </c>
      <c r="F301" s="3" t="n">
        <v>1462</v>
      </c>
      <c r="G301" s="3" t="n">
        <v>0.117</v>
      </c>
      <c r="H301" s="3" t="n">
        <v>6</v>
      </c>
      <c r="I301" s="3" t="n">
        <v>89.3</v>
      </c>
      <c r="J301" s="3" t="n">
        <v>15.06</v>
      </c>
      <c r="K301" s="3" t="n">
        <v>0</v>
      </c>
      <c r="L301" s="3" t="n">
        <v>3.2</v>
      </c>
      <c r="M301" s="3" t="n">
        <v>401582.58</v>
      </c>
      <c r="N301" s="3" t="n">
        <v>68454.93</v>
      </c>
    </row>
    <row r="302" customFormat="false" ht="15" hidden="false" customHeight="true" outlineLevel="0" collapsed="false">
      <c r="A302" s="3" t="s">
        <v>97</v>
      </c>
      <c r="B302" s="4" t="n">
        <v>45658</v>
      </c>
      <c r="C302" s="3" t="s">
        <v>20</v>
      </c>
      <c r="D302" s="3" t="s">
        <v>28</v>
      </c>
      <c r="E302" s="3" t="n">
        <v>40647.67</v>
      </c>
      <c r="F302" s="3" t="n">
        <v>8252</v>
      </c>
      <c r="G302" s="3" t="n">
        <v>0.141</v>
      </c>
      <c r="H302" s="3" t="n">
        <v>22</v>
      </c>
      <c r="I302" s="3" t="n">
        <v>88.2</v>
      </c>
      <c r="J302" s="3" t="n">
        <v>5.07</v>
      </c>
      <c r="K302" s="3" t="n">
        <v>1</v>
      </c>
      <c r="L302" s="3" t="n">
        <v>4.1</v>
      </c>
      <c r="M302" s="3" t="n">
        <v>703812.99</v>
      </c>
      <c r="N302" s="3" t="n">
        <v>133577.98</v>
      </c>
    </row>
    <row r="303" customFormat="false" ht="15" hidden="false" customHeight="true" outlineLevel="0" collapsed="false">
      <c r="A303" s="3" t="s">
        <v>97</v>
      </c>
      <c r="B303" s="4" t="n">
        <v>45689</v>
      </c>
      <c r="C303" s="3" t="s">
        <v>20</v>
      </c>
      <c r="D303" s="3" t="s">
        <v>28</v>
      </c>
      <c r="E303" s="3" t="n">
        <v>63986.98</v>
      </c>
      <c r="F303" s="3" t="n">
        <v>7989</v>
      </c>
      <c r="G303" s="3" t="n">
        <v>0.074</v>
      </c>
      <c r="H303" s="3" t="n">
        <v>20</v>
      </c>
      <c r="I303" s="3" t="n">
        <v>83.3</v>
      </c>
      <c r="J303" s="3" t="n">
        <v>3.6</v>
      </c>
      <c r="K303" s="3" t="n">
        <v>0</v>
      </c>
      <c r="L303" s="3" t="n">
        <v>3.7</v>
      </c>
      <c r="M303" s="3" t="n">
        <v>724346.73</v>
      </c>
      <c r="N303" s="3" t="n">
        <v>155013.91</v>
      </c>
    </row>
    <row r="304" customFormat="false" ht="15" hidden="false" customHeight="true" outlineLevel="0" collapsed="false">
      <c r="A304" s="3" t="s">
        <v>97</v>
      </c>
      <c r="B304" s="4" t="n">
        <v>45717</v>
      </c>
      <c r="C304" s="3" t="s">
        <v>20</v>
      </c>
      <c r="D304" s="3" t="s">
        <v>28</v>
      </c>
      <c r="E304" s="3" t="n">
        <v>52843.75</v>
      </c>
      <c r="F304" s="3" t="n">
        <v>8268</v>
      </c>
      <c r="G304" s="3" t="n">
        <v>0.138</v>
      </c>
      <c r="H304" s="3" t="n">
        <v>19</v>
      </c>
      <c r="I304" s="3" t="n">
        <v>87.3</v>
      </c>
      <c r="J304" s="3" t="n">
        <v>4.39</v>
      </c>
      <c r="K304" s="3" t="n">
        <v>1</v>
      </c>
      <c r="L304" s="3" t="n">
        <v>4.7</v>
      </c>
      <c r="M304" s="3" t="n">
        <v>730890.01</v>
      </c>
      <c r="N304" s="3" t="n">
        <v>105502.56</v>
      </c>
    </row>
    <row r="305" customFormat="false" ht="15" hidden="false" customHeight="true" outlineLevel="0" collapsed="false">
      <c r="A305" s="3" t="s">
        <v>97</v>
      </c>
      <c r="B305" s="4" t="n">
        <v>45748</v>
      </c>
      <c r="C305" s="3" t="s">
        <v>20</v>
      </c>
      <c r="D305" s="3" t="s">
        <v>28</v>
      </c>
      <c r="E305" s="3" t="n">
        <v>31997.25</v>
      </c>
      <c r="F305" s="3" t="n">
        <v>8183</v>
      </c>
      <c r="G305" s="3" t="n">
        <v>0.198</v>
      </c>
      <c r="H305" s="3" t="n">
        <v>18</v>
      </c>
      <c r="I305" s="3" t="n">
        <v>93</v>
      </c>
      <c r="J305" s="3" t="n">
        <v>2.79</v>
      </c>
      <c r="K305" s="3" t="n">
        <v>0</v>
      </c>
      <c r="L305" s="3" t="n">
        <v>4.2</v>
      </c>
      <c r="M305" s="3" t="n">
        <v>780580.95</v>
      </c>
      <c r="N305" s="3" t="n">
        <v>138144.46</v>
      </c>
    </row>
    <row r="306" customFormat="false" ht="15" hidden="false" customHeight="true" outlineLevel="0" collapsed="false">
      <c r="A306" s="3" t="s">
        <v>98</v>
      </c>
      <c r="B306" s="4" t="n">
        <v>45658</v>
      </c>
      <c r="C306" s="3" t="s">
        <v>24</v>
      </c>
      <c r="D306" s="3" t="s">
        <v>16</v>
      </c>
      <c r="E306" s="3" t="n">
        <v>54948.02</v>
      </c>
      <c r="F306" s="3" t="n">
        <v>6534</v>
      </c>
      <c r="G306" s="3" t="n">
        <v>0.183</v>
      </c>
      <c r="H306" s="3" t="n">
        <v>14</v>
      </c>
      <c r="I306" s="3" t="n">
        <v>94.5</v>
      </c>
      <c r="J306" s="3" t="n">
        <v>1.56</v>
      </c>
      <c r="K306" s="3" t="n">
        <v>0</v>
      </c>
      <c r="L306" s="3" t="n">
        <v>4</v>
      </c>
      <c r="M306" s="3" t="n">
        <v>727957.48</v>
      </c>
      <c r="N306" s="3" t="n">
        <v>74805.23</v>
      </c>
    </row>
    <row r="307" customFormat="false" ht="15" hidden="false" customHeight="true" outlineLevel="0" collapsed="false">
      <c r="A307" s="3" t="s">
        <v>98</v>
      </c>
      <c r="B307" s="4" t="n">
        <v>45689</v>
      </c>
      <c r="C307" s="3" t="s">
        <v>24</v>
      </c>
      <c r="D307" s="3" t="s">
        <v>16</v>
      </c>
      <c r="E307" s="3" t="n">
        <v>46146.24</v>
      </c>
      <c r="F307" s="3" t="n">
        <v>5804</v>
      </c>
      <c r="G307" s="3" t="n">
        <v>0.047</v>
      </c>
      <c r="H307" s="3" t="n">
        <v>16</v>
      </c>
      <c r="I307" s="3" t="n">
        <v>86.9</v>
      </c>
      <c r="J307" s="3" t="n">
        <v>15.82</v>
      </c>
      <c r="K307" s="3" t="n">
        <v>0</v>
      </c>
      <c r="L307" s="3" t="n">
        <v>3.8</v>
      </c>
      <c r="M307" s="3" t="n">
        <v>538376</v>
      </c>
      <c r="N307" s="3" t="n">
        <v>87605.62</v>
      </c>
    </row>
    <row r="308" customFormat="false" ht="15" hidden="false" customHeight="true" outlineLevel="0" collapsed="false">
      <c r="A308" s="3" t="s">
        <v>98</v>
      </c>
      <c r="B308" s="4" t="n">
        <v>45717</v>
      </c>
      <c r="C308" s="3" t="s">
        <v>24</v>
      </c>
      <c r="D308" s="3" t="s">
        <v>16</v>
      </c>
      <c r="E308" s="3" t="n">
        <v>22387.26</v>
      </c>
      <c r="F308" s="3" t="n">
        <v>6301</v>
      </c>
      <c r="G308" s="3" t="n">
        <v>0.146</v>
      </c>
      <c r="H308" s="3" t="n">
        <v>14</v>
      </c>
      <c r="I308" s="3" t="n">
        <v>85.9</v>
      </c>
      <c r="J308" s="3" t="n">
        <v>1.17</v>
      </c>
      <c r="K308" s="3" t="n">
        <v>1</v>
      </c>
      <c r="L308" s="3" t="n">
        <v>3.7</v>
      </c>
      <c r="M308" s="3" t="n">
        <v>665342.49</v>
      </c>
      <c r="N308" s="3" t="n">
        <v>93441.81</v>
      </c>
    </row>
    <row r="309" customFormat="false" ht="15" hidden="false" customHeight="true" outlineLevel="0" collapsed="false">
      <c r="A309" s="3" t="s">
        <v>98</v>
      </c>
      <c r="B309" s="4" t="n">
        <v>45748</v>
      </c>
      <c r="C309" s="3" t="s">
        <v>24</v>
      </c>
      <c r="D309" s="3" t="s">
        <v>16</v>
      </c>
      <c r="E309" s="3" t="n">
        <v>60684.05</v>
      </c>
      <c r="F309" s="3" t="n">
        <v>6399</v>
      </c>
      <c r="G309" s="3" t="n">
        <v>0.075</v>
      </c>
      <c r="H309" s="3" t="n">
        <v>16</v>
      </c>
      <c r="I309" s="3" t="n">
        <v>99</v>
      </c>
      <c r="J309" s="3" t="n">
        <v>3.82</v>
      </c>
      <c r="K309" s="3" t="n">
        <v>0</v>
      </c>
      <c r="L309" s="3" t="n">
        <v>3.5</v>
      </c>
      <c r="M309" s="3" t="n">
        <v>651164.18</v>
      </c>
      <c r="N309" s="3" t="n">
        <v>109466.5</v>
      </c>
    </row>
    <row r="310" customFormat="false" ht="15" hidden="false" customHeight="true" outlineLevel="0" collapsed="false">
      <c r="A310" s="3" t="s">
        <v>99</v>
      </c>
      <c r="B310" s="4" t="n">
        <v>45658</v>
      </c>
      <c r="C310" s="3" t="s">
        <v>24</v>
      </c>
      <c r="D310" s="3" t="s">
        <v>18</v>
      </c>
      <c r="E310" s="3" t="n">
        <v>48465.6</v>
      </c>
      <c r="F310" s="3" t="n">
        <v>5759</v>
      </c>
      <c r="G310" s="3" t="n">
        <v>0.154</v>
      </c>
      <c r="H310" s="3" t="n">
        <v>13</v>
      </c>
      <c r="I310" s="3" t="n">
        <v>87.5</v>
      </c>
      <c r="J310" s="3" t="n">
        <v>4.14</v>
      </c>
      <c r="K310" s="3" t="n">
        <v>0</v>
      </c>
      <c r="L310" s="3" t="n">
        <v>4</v>
      </c>
      <c r="M310" s="3" t="n">
        <v>628538.3</v>
      </c>
      <c r="N310" s="3" t="n">
        <v>112509.15</v>
      </c>
    </row>
    <row r="311" customFormat="false" ht="15" hidden="false" customHeight="true" outlineLevel="0" collapsed="false">
      <c r="A311" s="3" t="s">
        <v>99</v>
      </c>
      <c r="B311" s="4" t="n">
        <v>45689</v>
      </c>
      <c r="C311" s="3" t="s">
        <v>24</v>
      </c>
      <c r="D311" s="3" t="s">
        <v>18</v>
      </c>
      <c r="E311" s="3" t="n">
        <v>23702.38</v>
      </c>
      <c r="F311" s="3" t="n">
        <v>5285</v>
      </c>
      <c r="G311" s="3" t="n">
        <v>0.167</v>
      </c>
      <c r="H311" s="3" t="n">
        <v>14</v>
      </c>
      <c r="I311" s="3" t="n">
        <v>79.7</v>
      </c>
      <c r="J311" s="3" t="n">
        <v>1.1</v>
      </c>
      <c r="K311" s="3" t="n">
        <v>0</v>
      </c>
      <c r="L311" s="3" t="n">
        <v>4.3</v>
      </c>
      <c r="M311" s="3" t="n">
        <v>536524.84</v>
      </c>
      <c r="N311" s="3" t="n">
        <v>92752.94</v>
      </c>
    </row>
    <row r="312" customFormat="false" ht="15" hidden="false" customHeight="true" outlineLevel="0" collapsed="false">
      <c r="A312" s="3" t="s">
        <v>99</v>
      </c>
      <c r="B312" s="4" t="n">
        <v>45717</v>
      </c>
      <c r="C312" s="3" t="s">
        <v>24</v>
      </c>
      <c r="D312" s="3" t="s">
        <v>18</v>
      </c>
      <c r="E312" s="3" t="n">
        <v>54322.94</v>
      </c>
      <c r="F312" s="3" t="n">
        <v>5434</v>
      </c>
      <c r="G312" s="3" t="n">
        <v>0.2</v>
      </c>
      <c r="H312" s="3" t="n">
        <v>13</v>
      </c>
      <c r="I312" s="3" t="n">
        <v>85.7</v>
      </c>
      <c r="J312" s="3" t="n">
        <v>10.6</v>
      </c>
      <c r="K312" s="3" t="n">
        <v>0</v>
      </c>
      <c r="L312" s="3" t="n">
        <v>4.2</v>
      </c>
      <c r="M312" s="3" t="n">
        <v>621677.3</v>
      </c>
      <c r="N312" s="3" t="n">
        <v>105192.52</v>
      </c>
    </row>
    <row r="313" customFormat="false" ht="15" hidden="false" customHeight="true" outlineLevel="0" collapsed="false">
      <c r="A313" s="3" t="s">
        <v>99</v>
      </c>
      <c r="B313" s="4" t="n">
        <v>45748</v>
      </c>
      <c r="C313" s="3" t="s">
        <v>24</v>
      </c>
      <c r="D313" s="3" t="s">
        <v>18</v>
      </c>
      <c r="E313" s="3" t="n">
        <v>86026.58</v>
      </c>
      <c r="F313" s="3" t="n">
        <v>7479</v>
      </c>
      <c r="G313" s="3" t="n">
        <v>0.142</v>
      </c>
      <c r="H313" s="3" t="n">
        <v>20</v>
      </c>
      <c r="I313" s="3" t="n">
        <v>89</v>
      </c>
      <c r="J313" s="3" t="n">
        <v>0.9</v>
      </c>
      <c r="K313" s="3" t="n">
        <v>0</v>
      </c>
      <c r="L313" s="3"/>
      <c r="M313" s="3" t="n">
        <v>771129.07</v>
      </c>
      <c r="N313" s="3" t="n">
        <v>116851.13</v>
      </c>
    </row>
    <row r="314" customFormat="false" ht="15" hidden="false" customHeight="true" outlineLevel="0" collapsed="false">
      <c r="A314" s="3" t="s">
        <v>100</v>
      </c>
      <c r="B314" s="4" t="n">
        <v>45658</v>
      </c>
      <c r="C314" s="3" t="s">
        <v>20</v>
      </c>
      <c r="D314" s="3" t="s">
        <v>16</v>
      </c>
      <c r="E314" s="3" t="n">
        <v>78967.52</v>
      </c>
      <c r="F314" s="3" t="n">
        <v>6164</v>
      </c>
      <c r="G314" s="3" t="n">
        <v>0.021</v>
      </c>
      <c r="H314" s="3" t="n">
        <v>16</v>
      </c>
      <c r="I314" s="3" t="n">
        <v>85.5</v>
      </c>
      <c r="J314" s="3" t="n">
        <v>0.2</v>
      </c>
      <c r="K314" s="3" t="n">
        <v>0</v>
      </c>
      <c r="L314" s="3" t="n">
        <v>3.4</v>
      </c>
      <c r="M314" s="3" t="n">
        <v>702052.47</v>
      </c>
      <c r="N314" s="3" t="n">
        <v>121732.51</v>
      </c>
    </row>
    <row r="315" customFormat="false" ht="15" hidden="false" customHeight="true" outlineLevel="0" collapsed="false">
      <c r="A315" s="3" t="s">
        <v>100</v>
      </c>
      <c r="B315" s="4" t="n">
        <v>45689</v>
      </c>
      <c r="C315" s="3" t="s">
        <v>20</v>
      </c>
      <c r="D315" s="3" t="s">
        <v>16</v>
      </c>
      <c r="E315" s="3" t="n">
        <v>46767.99</v>
      </c>
      <c r="F315" s="3" t="n">
        <v>7973</v>
      </c>
      <c r="G315" s="3" t="n">
        <v>0.183</v>
      </c>
      <c r="H315" s="3" t="n">
        <v>18</v>
      </c>
      <c r="I315" s="3" t="n">
        <v>94.8</v>
      </c>
      <c r="J315" s="3" t="n">
        <v>4.67</v>
      </c>
      <c r="K315" s="3" t="n">
        <v>0</v>
      </c>
      <c r="L315" s="3"/>
      <c r="M315" s="3" t="n">
        <v>688368.46</v>
      </c>
      <c r="N315" s="3" t="n">
        <v>93588.42</v>
      </c>
    </row>
    <row r="316" customFormat="false" ht="15" hidden="false" customHeight="true" outlineLevel="0" collapsed="false">
      <c r="A316" s="3" t="s">
        <v>100</v>
      </c>
      <c r="B316" s="4" t="n">
        <v>45717</v>
      </c>
      <c r="C316" s="3" t="s">
        <v>20</v>
      </c>
      <c r="D316" s="3" t="s">
        <v>16</v>
      </c>
      <c r="E316" s="3" t="n">
        <v>62507.16</v>
      </c>
      <c r="F316" s="3" t="n">
        <v>6000</v>
      </c>
      <c r="G316" s="3" t="n">
        <v>0.091</v>
      </c>
      <c r="H316" s="3" t="n">
        <v>14</v>
      </c>
      <c r="I316" s="3" t="n">
        <v>98.2</v>
      </c>
      <c r="J316" s="3" t="n">
        <v>4.38</v>
      </c>
      <c r="K316" s="3" t="n">
        <v>1</v>
      </c>
      <c r="L316" s="3" t="n">
        <v>3.9</v>
      </c>
      <c r="M316" s="3" t="n">
        <v>712375.77</v>
      </c>
      <c r="N316" s="3" t="n">
        <v>104171.53</v>
      </c>
    </row>
    <row r="317" customFormat="false" ht="15" hidden="false" customHeight="true" outlineLevel="0" collapsed="false">
      <c r="A317" s="3" t="s">
        <v>100</v>
      </c>
      <c r="B317" s="4" t="n">
        <v>45748</v>
      </c>
      <c r="C317" s="3" t="s">
        <v>20</v>
      </c>
      <c r="D317" s="3" t="s">
        <v>16</v>
      </c>
      <c r="E317" s="3" t="n">
        <v>66456.28</v>
      </c>
      <c r="F317" s="3" t="n">
        <v>9967</v>
      </c>
      <c r="G317" s="3" t="n">
        <v>0.108</v>
      </c>
      <c r="H317" s="3" t="n">
        <v>20</v>
      </c>
      <c r="I317" s="3" t="n">
        <v>94.7</v>
      </c>
      <c r="J317" s="3" t="n">
        <v>4.48</v>
      </c>
      <c r="K317" s="3" t="n">
        <v>0</v>
      </c>
      <c r="L317" s="3" t="n">
        <v>4.2</v>
      </c>
      <c r="M317" s="3" t="n">
        <v>844710.67</v>
      </c>
      <c r="N317" s="3" t="n">
        <v>137140.18</v>
      </c>
    </row>
    <row r="318" customFormat="false" ht="15" hidden="false" customHeight="true" outlineLevel="0" collapsed="false">
      <c r="A318" s="3" t="s">
        <v>101</v>
      </c>
      <c r="B318" s="4" t="n">
        <v>45658</v>
      </c>
      <c r="C318" s="3" t="s">
        <v>15</v>
      </c>
      <c r="D318" s="3" t="s">
        <v>16</v>
      </c>
      <c r="E318" s="3" t="n">
        <v>76614.32</v>
      </c>
      <c r="F318" s="3" t="n">
        <v>5639</v>
      </c>
      <c r="G318" s="3" t="n">
        <v>0.174</v>
      </c>
      <c r="H318" s="3" t="n">
        <v>15</v>
      </c>
      <c r="I318" s="3" t="n">
        <v>92.9</v>
      </c>
      <c r="J318" s="3" t="n">
        <v>1.02</v>
      </c>
      <c r="K318" s="3" t="n">
        <v>1</v>
      </c>
      <c r="L318" s="3" t="n">
        <v>4</v>
      </c>
      <c r="M318" s="3" t="n">
        <v>620264.2</v>
      </c>
      <c r="N318" s="3" t="n">
        <v>91365.64</v>
      </c>
    </row>
    <row r="319" customFormat="false" ht="15" hidden="false" customHeight="true" outlineLevel="0" collapsed="false">
      <c r="A319" s="3" t="s">
        <v>101</v>
      </c>
      <c r="B319" s="4" t="n">
        <v>45689</v>
      </c>
      <c r="C319" s="3" t="s">
        <v>15</v>
      </c>
      <c r="D319" s="3" t="s">
        <v>16</v>
      </c>
      <c r="E319" s="3" t="n">
        <v>24088.06</v>
      </c>
      <c r="F319" s="3" t="n">
        <v>3466</v>
      </c>
      <c r="G319" s="3" t="n">
        <v>0</v>
      </c>
      <c r="H319" s="3" t="n">
        <v>11</v>
      </c>
      <c r="I319" s="3" t="n">
        <v>88</v>
      </c>
      <c r="J319" s="3" t="n">
        <v>0.2</v>
      </c>
      <c r="K319" s="3" t="n">
        <v>0</v>
      </c>
      <c r="L319" s="3" t="n">
        <v>3.8</v>
      </c>
      <c r="M319" s="3" t="n">
        <v>536845.42</v>
      </c>
      <c r="N319" s="3" t="n">
        <v>107473.75</v>
      </c>
    </row>
    <row r="320" customFormat="false" ht="15" hidden="false" customHeight="true" outlineLevel="0" collapsed="false">
      <c r="A320" s="3" t="s">
        <v>101</v>
      </c>
      <c r="B320" s="4" t="n">
        <v>45717</v>
      </c>
      <c r="C320" s="3" t="s">
        <v>15</v>
      </c>
      <c r="D320" s="3" t="s">
        <v>16</v>
      </c>
      <c r="E320" s="3" t="n">
        <v>81902.58</v>
      </c>
      <c r="F320" s="3" t="n">
        <v>7775</v>
      </c>
      <c r="G320" s="3" t="n">
        <v>0.215</v>
      </c>
      <c r="H320" s="3" t="n">
        <v>20</v>
      </c>
      <c r="I320" s="3" t="n">
        <v>85.2</v>
      </c>
      <c r="J320" s="3" t="n">
        <v>4.89</v>
      </c>
      <c r="K320" s="3" t="n">
        <v>1</v>
      </c>
      <c r="L320" s="3" t="n">
        <v>4.2</v>
      </c>
      <c r="M320" s="3" t="n">
        <v>726776.22</v>
      </c>
      <c r="N320" s="3" t="n">
        <v>90804.49</v>
      </c>
    </row>
    <row r="321" customFormat="false" ht="15" hidden="false" customHeight="true" outlineLevel="0" collapsed="false">
      <c r="A321" s="3" t="s">
        <v>101</v>
      </c>
      <c r="B321" s="4" t="n">
        <v>45748</v>
      </c>
      <c r="C321" s="3" t="s">
        <v>15</v>
      </c>
      <c r="D321" s="3" t="s">
        <v>16</v>
      </c>
      <c r="E321" s="3" t="n">
        <v>40553.11</v>
      </c>
      <c r="F321" s="3" t="n">
        <v>5317</v>
      </c>
      <c r="G321" s="3" t="n">
        <v>0.165</v>
      </c>
      <c r="H321" s="3" t="n">
        <v>17</v>
      </c>
      <c r="I321" s="3" t="n">
        <v>84.3</v>
      </c>
      <c r="J321" s="3" t="n">
        <v>11.82</v>
      </c>
      <c r="K321" s="3" t="n">
        <v>0</v>
      </c>
      <c r="L321" s="3" t="n">
        <v>4.1</v>
      </c>
      <c r="M321" s="3" t="n">
        <v>559660.84</v>
      </c>
      <c r="N321" s="3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Q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7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8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17"/>
    <col collapsed="false" customWidth="true" hidden="false" outlineLevel="0" max="13" min="13" style="1" width="15"/>
    <col collapsed="false" customWidth="true" hidden="false" outlineLevel="0" max="14" min="14" style="1" width="16"/>
    <col collapsed="false" customWidth="true" hidden="false" outlineLevel="0" max="16" min="16" style="1" width="26"/>
    <col collapsed="false" customWidth="true" hidden="false" outlineLevel="0" max="17" min="17" style="1" width="12"/>
  </cols>
  <sheetData>
    <row r="1" customFormat="false" ht="15" hidden="false" customHeight="true" outlineLevel="0" collapsed="false">
      <c r="A1" s="5" t="s">
        <v>102</v>
      </c>
    </row>
    <row r="2" customFormat="false" ht="15" hidden="false" customHeight="true" outlineLevel="0" collapsed="false">
      <c r="A2" s="6" t="s">
        <v>103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true" outlineLevel="0" collapsed="false">
      <c r="P3" s="7" t="s">
        <v>104</v>
      </c>
      <c r="Q3" s="3" t="n">
        <f aca="false">MEDIAN(Original_Dataset!J2:J321)</f>
        <v>3.365</v>
      </c>
    </row>
    <row r="4" customFormat="false" ht="15" hidden="false" customHeight="true" outlineLevel="0" collapsed="false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P4" s="7" t="s">
        <v>105</v>
      </c>
      <c r="Q4" s="3" t="n">
        <f aca="false">MEDIAN(Original_Dataset!L2:L321)</f>
        <v>3.9</v>
      </c>
    </row>
    <row r="5" customFormat="false" ht="15" hidden="false" customHeight="true" outlineLevel="0" collapsed="false">
      <c r="A5" s="3" t="str">
        <f aca="false">Original_Dataset!A2</f>
        <v>STR-1001</v>
      </c>
      <c r="B5" s="4" t="n">
        <f aca="false">Original_Dataset!B2</f>
        <v>45658</v>
      </c>
      <c r="C5" s="3" t="str">
        <f aca="false">Original_Dataset!C2</f>
        <v>East</v>
      </c>
      <c r="D5" s="3" t="str">
        <f aca="false">Original_Dataset!D2</f>
        <v>Residential</v>
      </c>
      <c r="E5" s="3" t="n">
        <f aca="false">Original_Dataset!E2</f>
        <v>70389.11</v>
      </c>
      <c r="F5" s="3" t="n">
        <f aca="false">Original_Dataset!F2</f>
        <v>8302</v>
      </c>
      <c r="G5" s="3" t="n">
        <f aca="false">Original_Dataset!G2</f>
        <v>0.042</v>
      </c>
      <c r="H5" s="3" t="n">
        <f aca="false">Original_Dataset!H2</f>
        <v>17</v>
      </c>
      <c r="I5" s="3" t="n">
        <f aca="false">Original_Dataset!I2</f>
        <v>75</v>
      </c>
      <c r="J5" s="3" t="n">
        <f aca="false">IF(ISBLANK(Original_Dataset!J2),$Q$3,Original_Dataset!J2)</f>
        <v>5.28</v>
      </c>
      <c r="K5" s="3" t="n">
        <f aca="false">Original_Dataset!K2</f>
        <v>1</v>
      </c>
      <c r="L5" s="3" t="n">
        <f aca="false">IF(ISBLANK(Original_Dataset!L2),$Q$4,Original_Dataset!L2)</f>
        <v>3.1</v>
      </c>
      <c r="M5" s="3" t="n">
        <f aca="false">Original_Dataset!M2</f>
        <v>658832.62</v>
      </c>
      <c r="N5" s="3" t="n">
        <f aca="false">Original_Dataset!N2</f>
        <v>84349.93</v>
      </c>
    </row>
    <row r="6" customFormat="false" ht="15" hidden="false" customHeight="true" outlineLevel="0" collapsed="false">
      <c r="A6" s="3" t="str">
        <f aca="false">Original_Dataset!A3</f>
        <v>STR-1001</v>
      </c>
      <c r="B6" s="4" t="n">
        <f aca="false">Original_Dataset!B3</f>
        <v>45689</v>
      </c>
      <c r="C6" s="3" t="str">
        <f aca="false">Original_Dataset!C3</f>
        <v>East</v>
      </c>
      <c r="D6" s="3" t="str">
        <f aca="false">Original_Dataset!D3</f>
        <v>Residential</v>
      </c>
      <c r="E6" s="3" t="n">
        <f aca="false">Original_Dataset!E3</f>
        <v>43827.89</v>
      </c>
      <c r="F6" s="3" t="n">
        <f aca="false">Original_Dataset!F3</f>
        <v>8487</v>
      </c>
      <c r="G6" s="3" t="n">
        <f aca="false">Original_Dataset!G3</f>
        <v>0.168</v>
      </c>
      <c r="H6" s="3" t="n">
        <f aca="false">Original_Dataset!H3</f>
        <v>23</v>
      </c>
      <c r="I6" s="3" t="n">
        <f aca="false">Original_Dataset!I3</f>
        <v>84.4</v>
      </c>
      <c r="J6" s="3" t="n">
        <f aca="false">IF(ISBLANK(Original_Dataset!J3),$Q$3,Original_Dataset!J3)</f>
        <v>4.31</v>
      </c>
      <c r="K6" s="3" t="n">
        <f aca="false">Original_Dataset!K3</f>
        <v>0</v>
      </c>
      <c r="L6" s="3" t="n">
        <f aca="false">IF(ISBLANK(Original_Dataset!L3),$Q$4,Original_Dataset!L3)</f>
        <v>2.8</v>
      </c>
      <c r="M6" s="3" t="n">
        <f aca="false">Original_Dataset!M3</f>
        <v>634436</v>
      </c>
      <c r="N6" s="3" t="n">
        <f aca="false">Original_Dataset!N3</f>
        <v>106130.54</v>
      </c>
    </row>
    <row r="7" customFormat="false" ht="15" hidden="false" customHeight="true" outlineLevel="0" collapsed="false">
      <c r="A7" s="3" t="str">
        <f aca="false">Original_Dataset!A4</f>
        <v>STR-1001</v>
      </c>
      <c r="B7" s="4" t="n">
        <f aca="false">Original_Dataset!B4</f>
        <v>45717</v>
      </c>
      <c r="C7" s="3" t="str">
        <f aca="false">Original_Dataset!C4</f>
        <v>East</v>
      </c>
      <c r="D7" s="3" t="str">
        <f aca="false">Original_Dataset!D4</f>
        <v>Residential</v>
      </c>
      <c r="E7" s="3" t="n">
        <f aca="false">Original_Dataset!E4</f>
        <v>59921.75</v>
      </c>
      <c r="F7" s="3" t="n">
        <f aca="false">Original_Dataset!F4</f>
        <v>9113</v>
      </c>
      <c r="G7" s="3" t="n">
        <f aca="false">Original_Dataset!G4</f>
        <v>0.133</v>
      </c>
      <c r="H7" s="3" t="n">
        <f aca="false">Original_Dataset!H4</f>
        <v>20</v>
      </c>
      <c r="I7" s="3" t="n">
        <f aca="false">Original_Dataset!I4</f>
        <v>88</v>
      </c>
      <c r="J7" s="3" t="n">
        <f aca="false">IF(ISBLANK(Original_Dataset!J4),$Q$3,Original_Dataset!J4)</f>
        <v>12</v>
      </c>
      <c r="K7" s="3" t="n">
        <f aca="false">Original_Dataset!K4</f>
        <v>0</v>
      </c>
      <c r="L7" s="3" t="n">
        <f aca="false">IF(ISBLANK(Original_Dataset!L4),$Q$4,Original_Dataset!L4)</f>
        <v>3.2</v>
      </c>
      <c r="M7" s="3" t="n">
        <f aca="false">Original_Dataset!M4</f>
        <v>678722.06</v>
      </c>
      <c r="N7" s="3" t="n">
        <f aca="false">Original_Dataset!N4</f>
        <v>101883.86</v>
      </c>
    </row>
    <row r="8" customFormat="false" ht="15" hidden="false" customHeight="true" outlineLevel="0" collapsed="false">
      <c r="A8" s="3" t="str">
        <f aca="false">Original_Dataset!A5</f>
        <v>STR-1001</v>
      </c>
      <c r="B8" s="4" t="n">
        <f aca="false">Original_Dataset!B5</f>
        <v>45748</v>
      </c>
      <c r="C8" s="3" t="str">
        <f aca="false">Original_Dataset!C5</f>
        <v>East</v>
      </c>
      <c r="D8" s="3" t="str">
        <f aca="false">Original_Dataset!D5</f>
        <v>Residential</v>
      </c>
      <c r="E8" s="3" t="n">
        <f aca="false">Original_Dataset!E5</f>
        <v>56856.63</v>
      </c>
      <c r="F8" s="3" t="n">
        <f aca="false">Original_Dataset!F5</f>
        <v>9431</v>
      </c>
      <c r="G8" s="3" t="n">
        <f aca="false">Original_Dataset!G5</f>
        <v>0.142</v>
      </c>
      <c r="H8" s="3" t="n">
        <f aca="false">Original_Dataset!H5</f>
        <v>23</v>
      </c>
      <c r="I8" s="3" t="n">
        <f aca="false">Original_Dataset!I5</f>
        <v>86.9</v>
      </c>
      <c r="J8" s="3" t="n">
        <f aca="false">IF(ISBLANK(Original_Dataset!J5),$Q$3,Original_Dataset!J5)</f>
        <v>4.97</v>
      </c>
      <c r="K8" s="3" t="n">
        <f aca="false">Original_Dataset!K5</f>
        <v>0</v>
      </c>
      <c r="L8" s="3" t="n">
        <f aca="false">IF(ISBLANK(Original_Dataset!L5),$Q$4,Original_Dataset!L5)</f>
        <v>3.4</v>
      </c>
      <c r="M8" s="3" t="n">
        <f aca="false">Original_Dataset!M5</f>
        <v>658920.3</v>
      </c>
      <c r="N8" s="3" t="n">
        <f aca="false">Original_Dataset!N5</f>
        <v>97910.37</v>
      </c>
    </row>
    <row r="9" customFormat="false" ht="15" hidden="false" customHeight="true" outlineLevel="0" collapsed="false">
      <c r="A9" s="3" t="str">
        <f aca="false">Original_Dataset!A6</f>
        <v>STR-1002</v>
      </c>
      <c r="B9" s="4" t="n">
        <f aca="false">Original_Dataset!B6</f>
        <v>45658</v>
      </c>
      <c r="C9" s="3" t="str">
        <f aca="false">Original_Dataset!C6</f>
        <v>East</v>
      </c>
      <c r="D9" s="3" t="str">
        <f aca="false">Original_Dataset!D6</f>
        <v>High Street</v>
      </c>
      <c r="E9" s="3" t="n">
        <f aca="false">Original_Dataset!E6</f>
        <v>48412.64</v>
      </c>
      <c r="F9" s="3" t="n">
        <f aca="false">Original_Dataset!F6</f>
        <v>9545</v>
      </c>
      <c r="G9" s="3" t="n">
        <f aca="false">Original_Dataset!G6</f>
        <v>0.231</v>
      </c>
      <c r="H9" s="3" t="n">
        <f aca="false">Original_Dataset!H6</f>
        <v>21</v>
      </c>
      <c r="I9" s="3" t="n">
        <f aca="false">Original_Dataset!I6</f>
        <v>97.6</v>
      </c>
      <c r="J9" s="3" t="n">
        <f aca="false">IF(ISBLANK(Original_Dataset!J6),$Q$3,Original_Dataset!J6)</f>
        <v>6.94</v>
      </c>
      <c r="K9" s="3" t="n">
        <f aca="false">Original_Dataset!K6</f>
        <v>1</v>
      </c>
      <c r="L9" s="3" t="n">
        <f aca="false">IF(ISBLANK(Original_Dataset!L6),$Q$4,Original_Dataset!L6)</f>
        <v>4.2</v>
      </c>
      <c r="M9" s="3" t="n">
        <f aca="false">Original_Dataset!M6</f>
        <v>741341.44</v>
      </c>
      <c r="N9" s="3" t="n">
        <f aca="false">Original_Dataset!N6</f>
        <v>119208.17</v>
      </c>
    </row>
    <row r="10" customFormat="false" ht="15" hidden="false" customHeight="true" outlineLevel="0" collapsed="false">
      <c r="A10" s="3" t="str">
        <f aca="false">Original_Dataset!A7</f>
        <v>STR-1002</v>
      </c>
      <c r="B10" s="4" t="n">
        <f aca="false">Original_Dataset!B7</f>
        <v>45689</v>
      </c>
      <c r="C10" s="3" t="str">
        <f aca="false">Original_Dataset!C7</f>
        <v>East</v>
      </c>
      <c r="D10" s="3" t="str">
        <f aca="false">Original_Dataset!D7</f>
        <v>High Street</v>
      </c>
      <c r="E10" s="3" t="n">
        <f aca="false">Original_Dataset!E7</f>
        <v>64811.21</v>
      </c>
      <c r="F10" s="3" t="n">
        <f aca="false">Original_Dataset!F7</f>
        <v>9792</v>
      </c>
      <c r="G10" s="3" t="n">
        <f aca="false">Original_Dataset!G7</f>
        <v>0.112</v>
      </c>
      <c r="H10" s="3" t="n">
        <f aca="false">Original_Dataset!H7</f>
        <v>20</v>
      </c>
      <c r="I10" s="3" t="n">
        <f aca="false">Original_Dataset!I7</f>
        <v>84.2</v>
      </c>
      <c r="J10" s="3" t="n">
        <f aca="false">IF(ISBLANK(Original_Dataset!J7),$Q$3,Original_Dataset!J7)</f>
        <v>2.88</v>
      </c>
      <c r="K10" s="3" t="n">
        <f aca="false">Original_Dataset!K7</f>
        <v>0</v>
      </c>
      <c r="L10" s="3" t="n">
        <f aca="false">IF(ISBLANK(Original_Dataset!L7),$Q$4,Original_Dataset!L7)</f>
        <v>4.2</v>
      </c>
      <c r="M10" s="3" t="n">
        <f aca="false">Original_Dataset!M7</f>
        <v>761835.34</v>
      </c>
      <c r="N10" s="3" t="n">
        <f aca="false">Original_Dataset!N7</f>
        <v>149602.23</v>
      </c>
    </row>
    <row r="11" customFormat="false" ht="15" hidden="false" customHeight="true" outlineLevel="0" collapsed="false">
      <c r="A11" s="3" t="str">
        <f aca="false">Original_Dataset!A8</f>
        <v>STR-1002</v>
      </c>
      <c r="B11" s="4" t="n">
        <f aca="false">Original_Dataset!B8</f>
        <v>45717</v>
      </c>
      <c r="C11" s="3" t="str">
        <f aca="false">Original_Dataset!C8</f>
        <v>East</v>
      </c>
      <c r="D11" s="3" t="str">
        <f aca="false">Original_Dataset!D8</f>
        <v>High Street</v>
      </c>
      <c r="E11" s="3" t="n">
        <f aca="false">Original_Dataset!E8</f>
        <v>46213.45</v>
      </c>
      <c r="F11" s="3" t="n">
        <f aca="false">Original_Dataset!F8</f>
        <v>10616</v>
      </c>
      <c r="G11" s="3" t="n">
        <f aca="false">Original_Dataset!G8</f>
        <v>0.122</v>
      </c>
      <c r="H11" s="3" t="n">
        <f aca="false">Original_Dataset!H8</f>
        <v>22</v>
      </c>
      <c r="I11" s="3" t="n">
        <f aca="false">Original_Dataset!I8</f>
        <v>85.2</v>
      </c>
      <c r="J11" s="3" t="n">
        <f aca="false">IF(ISBLANK(Original_Dataset!J8),$Q$3,Original_Dataset!J8)</f>
        <v>0.2</v>
      </c>
      <c r="K11" s="3" t="n">
        <f aca="false">Original_Dataset!K8</f>
        <v>1</v>
      </c>
      <c r="L11" s="3" t="n">
        <f aca="false">IF(ISBLANK(Original_Dataset!L8),$Q$4,Original_Dataset!L8)</f>
        <v>4.1</v>
      </c>
      <c r="M11" s="3" t="n">
        <f aca="false">Original_Dataset!M8</f>
        <v>806615.54</v>
      </c>
      <c r="N11" s="3" t="n">
        <f aca="false">Original_Dataset!N8</f>
        <v>131364.62</v>
      </c>
    </row>
    <row r="12" customFormat="false" ht="15" hidden="false" customHeight="true" outlineLevel="0" collapsed="false">
      <c r="A12" s="3" t="str">
        <f aca="false">Original_Dataset!A9</f>
        <v>STR-1002</v>
      </c>
      <c r="B12" s="4" t="n">
        <f aca="false">Original_Dataset!B9</f>
        <v>45748</v>
      </c>
      <c r="C12" s="3" t="str">
        <f aca="false">Original_Dataset!C9</f>
        <v>East</v>
      </c>
      <c r="D12" s="3" t="str">
        <f aca="false">Original_Dataset!D9</f>
        <v>High Street</v>
      </c>
      <c r="E12" s="3" t="n">
        <f aca="false">Original_Dataset!E9</f>
        <v>68148.52</v>
      </c>
      <c r="F12" s="3" t="n">
        <f aca="false">Original_Dataset!F9</f>
        <v>8567</v>
      </c>
      <c r="G12" s="3" t="n">
        <f aca="false">Original_Dataset!G9</f>
        <v>0.127</v>
      </c>
      <c r="H12" s="3" t="n">
        <f aca="false">Original_Dataset!H9</f>
        <v>23</v>
      </c>
      <c r="I12" s="3" t="n">
        <f aca="false">Original_Dataset!I9</f>
        <v>95.6</v>
      </c>
      <c r="J12" s="3" t="n">
        <f aca="false">IF(ISBLANK(Original_Dataset!J9),$Q$3,Original_Dataset!J9)</f>
        <v>0.8</v>
      </c>
      <c r="K12" s="3" t="n">
        <f aca="false">Original_Dataset!K9</f>
        <v>0</v>
      </c>
      <c r="L12" s="3" t="n">
        <f aca="false">IF(ISBLANK(Original_Dataset!L9),$Q$4,Original_Dataset!L9)</f>
        <v>3.9</v>
      </c>
      <c r="M12" s="3" t="n">
        <f aca="false">Original_Dataset!M9</f>
        <v>850164.26</v>
      </c>
      <c r="N12" s="3" t="n">
        <f aca="false">Original_Dataset!N9</f>
        <v>149262.75</v>
      </c>
    </row>
    <row r="13" customFormat="false" ht="15" hidden="false" customHeight="true" outlineLevel="0" collapsed="false">
      <c r="A13" s="3" t="str">
        <f aca="false">Original_Dataset!A10</f>
        <v>STR-1003</v>
      </c>
      <c r="B13" s="4" t="n">
        <f aca="false">Original_Dataset!B10</f>
        <v>45658</v>
      </c>
      <c r="C13" s="3" t="str">
        <f aca="false">Original_Dataset!C10</f>
        <v>North</v>
      </c>
      <c r="D13" s="3" t="str">
        <f aca="false">Original_Dataset!D10</f>
        <v>Airport</v>
      </c>
      <c r="E13" s="3" t="n">
        <f aca="false">Original_Dataset!E10</f>
        <v>71838.86</v>
      </c>
      <c r="F13" s="3" t="n">
        <f aca="false">Original_Dataset!F10</f>
        <v>10979</v>
      </c>
      <c r="G13" s="3" t="n">
        <f aca="false">Original_Dataset!G10</f>
        <v>0.215</v>
      </c>
      <c r="H13" s="3" t="n">
        <f aca="false">Original_Dataset!H10</f>
        <v>26</v>
      </c>
      <c r="I13" s="3" t="n">
        <f aca="false">Original_Dataset!I10</f>
        <v>88.6</v>
      </c>
      <c r="J13" s="3" t="n">
        <f aca="false">IF(ISBLANK(Original_Dataset!J10),$Q$3,Original_Dataset!J10)</f>
        <v>7.7</v>
      </c>
      <c r="K13" s="3" t="n">
        <f aca="false">Original_Dataset!K10</f>
        <v>1</v>
      </c>
      <c r="L13" s="3" t="n">
        <f aca="false">IF(ISBLANK(Original_Dataset!L10),$Q$4,Original_Dataset!L10)</f>
        <v>3.8</v>
      </c>
      <c r="M13" s="3" t="n">
        <f aca="false">Original_Dataset!M10</f>
        <v>930581.7</v>
      </c>
      <c r="N13" s="3" t="n">
        <f aca="false">Original_Dataset!N10</f>
        <v>136207.98</v>
      </c>
    </row>
    <row r="14" customFormat="false" ht="15" hidden="false" customHeight="true" outlineLevel="0" collapsed="false">
      <c r="A14" s="3" t="str">
        <f aca="false">Original_Dataset!A11</f>
        <v>STR-1003</v>
      </c>
      <c r="B14" s="4" t="n">
        <f aca="false">Original_Dataset!B11</f>
        <v>45689</v>
      </c>
      <c r="C14" s="3" t="str">
        <f aca="false">Original_Dataset!C11</f>
        <v>North</v>
      </c>
      <c r="D14" s="3" t="str">
        <f aca="false">Original_Dataset!D11</f>
        <v>Airport</v>
      </c>
      <c r="E14" s="3" t="n">
        <f aca="false">Original_Dataset!E11</f>
        <v>68133.44</v>
      </c>
      <c r="F14" s="3" t="n">
        <f aca="false">Original_Dataset!F11</f>
        <v>9459</v>
      </c>
      <c r="G14" s="3" t="n">
        <f aca="false">Original_Dataset!G11</f>
        <v>0.22</v>
      </c>
      <c r="H14" s="3" t="n">
        <f aca="false">Original_Dataset!H11</f>
        <v>21</v>
      </c>
      <c r="I14" s="3" t="n">
        <f aca="false">Original_Dataset!I11</f>
        <v>85</v>
      </c>
      <c r="J14" s="3" t="n">
        <f aca="false">IF(ISBLANK(Original_Dataset!J11),$Q$3,Original_Dataset!J11)</f>
        <v>1.91</v>
      </c>
      <c r="K14" s="3" t="n">
        <f aca="false">Original_Dataset!K11</f>
        <v>0</v>
      </c>
      <c r="L14" s="3" t="n">
        <f aca="false">IF(ISBLANK(Original_Dataset!L11),$Q$4,Original_Dataset!L11)</f>
        <v>4.2</v>
      </c>
      <c r="M14" s="3" t="n">
        <f aca="false">Original_Dataset!M11</f>
        <v>779010.94</v>
      </c>
      <c r="N14" s="3" t="n">
        <f aca="false">Original_Dataset!N11</f>
        <v>106328.09</v>
      </c>
    </row>
    <row r="15" customFormat="false" ht="15" hidden="false" customHeight="true" outlineLevel="0" collapsed="false">
      <c r="A15" s="3" t="str">
        <f aca="false">Original_Dataset!A12</f>
        <v>STR-1003</v>
      </c>
      <c r="B15" s="4" t="n">
        <f aca="false">Original_Dataset!B12</f>
        <v>45717</v>
      </c>
      <c r="C15" s="3" t="str">
        <f aca="false">Original_Dataset!C12</f>
        <v>North</v>
      </c>
      <c r="D15" s="3" t="str">
        <f aca="false">Original_Dataset!D12</f>
        <v>Airport</v>
      </c>
      <c r="E15" s="3" t="n">
        <f aca="false">Original_Dataset!E12</f>
        <v>34285.21</v>
      </c>
      <c r="F15" s="3" t="n">
        <f aca="false">Original_Dataset!F12</f>
        <v>9172</v>
      </c>
      <c r="G15" s="3" t="n">
        <f aca="false">Original_Dataset!G12</f>
        <v>0.213</v>
      </c>
      <c r="H15" s="3" t="n">
        <f aca="false">Original_Dataset!H12</f>
        <v>22</v>
      </c>
      <c r="I15" s="3" t="n">
        <f aca="false">Original_Dataset!I12</f>
        <v>88.3</v>
      </c>
      <c r="J15" s="3" t="n">
        <f aca="false">IF(ISBLANK(Original_Dataset!J12),$Q$3,Original_Dataset!J12)</f>
        <v>10.46</v>
      </c>
      <c r="K15" s="3" t="n">
        <f aca="false">Original_Dataset!K12</f>
        <v>1</v>
      </c>
      <c r="L15" s="3" t="n">
        <f aca="false">IF(ISBLANK(Original_Dataset!L12),$Q$4,Original_Dataset!L12)</f>
        <v>3.8</v>
      </c>
      <c r="M15" s="3" t="n">
        <f aca="false">Original_Dataset!M12</f>
        <v>723060.76</v>
      </c>
      <c r="N15" s="3" t="n">
        <f aca="false">Original_Dataset!N12</f>
        <v>123131.24</v>
      </c>
    </row>
    <row r="16" customFormat="false" ht="15" hidden="false" customHeight="true" outlineLevel="0" collapsed="false">
      <c r="A16" s="3" t="str">
        <f aca="false">Original_Dataset!A13</f>
        <v>STR-1003</v>
      </c>
      <c r="B16" s="4" t="n">
        <f aca="false">Original_Dataset!B13</f>
        <v>45748</v>
      </c>
      <c r="C16" s="3" t="str">
        <f aca="false">Original_Dataset!C13</f>
        <v>North</v>
      </c>
      <c r="D16" s="3" t="str">
        <f aca="false">Original_Dataset!D13</f>
        <v>Airport</v>
      </c>
      <c r="E16" s="3" t="n">
        <f aca="false">Original_Dataset!E13</f>
        <v>67979.88</v>
      </c>
      <c r="F16" s="3" t="n">
        <f aca="false">Original_Dataset!F13</f>
        <v>11230</v>
      </c>
      <c r="G16" s="3" t="n">
        <f aca="false">Original_Dataset!G13</f>
        <v>0.002</v>
      </c>
      <c r="H16" s="3" t="n">
        <f aca="false">Original_Dataset!H13</f>
        <v>28</v>
      </c>
      <c r="I16" s="3" t="n">
        <f aca="false">Original_Dataset!I13</f>
        <v>85.3</v>
      </c>
      <c r="J16" s="3" t="n">
        <f aca="false">IF(ISBLANK(Original_Dataset!J13),$Q$3,Original_Dataset!J13)</f>
        <v>7.16</v>
      </c>
      <c r="K16" s="3" t="n">
        <f aca="false">Original_Dataset!K13</f>
        <v>0</v>
      </c>
      <c r="L16" s="3" t="n">
        <f aca="false">IF(ISBLANK(Original_Dataset!L13),$Q$4,Original_Dataset!L13)</f>
        <v>3.8</v>
      </c>
      <c r="M16" s="3" t="n">
        <f aca="false">Original_Dataset!M13</f>
        <v>910791.94</v>
      </c>
      <c r="N16" s="3" t="n">
        <f aca="false">Original_Dataset!N13</f>
        <v>158891.28</v>
      </c>
    </row>
    <row r="17" customFormat="false" ht="15" hidden="false" customHeight="true" outlineLevel="0" collapsed="false">
      <c r="A17" s="3" t="str">
        <f aca="false">Original_Dataset!A14</f>
        <v>STR-1004</v>
      </c>
      <c r="B17" s="4" t="n">
        <f aca="false">Original_Dataset!B14</f>
        <v>45658</v>
      </c>
      <c r="C17" s="3" t="str">
        <f aca="false">Original_Dataset!C14</f>
        <v>East</v>
      </c>
      <c r="D17" s="3" t="str">
        <f aca="false">Original_Dataset!D14</f>
        <v>Residential</v>
      </c>
      <c r="E17" s="3" t="n">
        <f aca="false">Original_Dataset!E14</f>
        <v>71828.26</v>
      </c>
      <c r="F17" s="3" t="n">
        <f aca="false">Original_Dataset!F14</f>
        <v>12775</v>
      </c>
      <c r="G17" s="3" t="n">
        <f aca="false">Original_Dataset!G14</f>
        <v>0.116</v>
      </c>
      <c r="H17" s="3" t="n">
        <f aca="false">Original_Dataset!H14</f>
        <v>30</v>
      </c>
      <c r="I17" s="3" t="n">
        <f aca="false">Original_Dataset!I14</f>
        <v>81.7</v>
      </c>
      <c r="J17" s="3" t="n">
        <f aca="false">IF(ISBLANK(Original_Dataset!J14),$Q$3,Original_Dataset!J14)</f>
        <v>4.24</v>
      </c>
      <c r="K17" s="3" t="n">
        <f aca="false">Original_Dataset!K14</f>
        <v>1</v>
      </c>
      <c r="L17" s="3" t="n">
        <f aca="false">IF(ISBLANK(Original_Dataset!L14),$Q$4,Original_Dataset!L14)</f>
        <v>4.2</v>
      </c>
      <c r="M17" s="3" t="n">
        <f aca="false">Original_Dataset!M14</f>
        <v>922168.6</v>
      </c>
      <c r="N17" s="3" t="n">
        <f aca="false">Original_Dataset!N14</f>
        <v>107494.53</v>
      </c>
    </row>
    <row r="18" customFormat="false" ht="15" hidden="false" customHeight="true" outlineLevel="0" collapsed="false">
      <c r="A18" s="3" t="str">
        <f aca="false">Original_Dataset!A15</f>
        <v>STR-1004</v>
      </c>
      <c r="B18" s="4" t="n">
        <f aca="false">Original_Dataset!B15</f>
        <v>45689</v>
      </c>
      <c r="C18" s="3" t="str">
        <f aca="false">Original_Dataset!C15</f>
        <v>East</v>
      </c>
      <c r="D18" s="3" t="str">
        <f aca="false">Original_Dataset!D15</f>
        <v>Residential</v>
      </c>
      <c r="E18" s="3" t="n">
        <f aca="false">Original_Dataset!E15</f>
        <v>55716.82</v>
      </c>
      <c r="F18" s="3" t="n">
        <f aca="false">Original_Dataset!F15</f>
        <v>10054</v>
      </c>
      <c r="G18" s="3" t="n">
        <f aca="false">Original_Dataset!G15</f>
        <v>0.146</v>
      </c>
      <c r="H18" s="3" t="n">
        <f aca="false">Original_Dataset!H15</f>
        <v>24</v>
      </c>
      <c r="I18" s="3" t="n">
        <f aca="false">Original_Dataset!I15</f>
        <v>84.9</v>
      </c>
      <c r="J18" s="3" t="n">
        <f aca="false">IF(ISBLANK(Original_Dataset!J15),$Q$3,Original_Dataset!J15)</f>
        <v>1.06</v>
      </c>
      <c r="K18" s="3" t="n">
        <f aca="false">Original_Dataset!K15</f>
        <v>0</v>
      </c>
      <c r="L18" s="3" t="n">
        <f aca="false">IF(ISBLANK(Original_Dataset!L15),$Q$4,Original_Dataset!L15)</f>
        <v>4.3</v>
      </c>
      <c r="M18" s="3" t="n">
        <f aca="false">Original_Dataset!M15</f>
        <v>726606.28</v>
      </c>
      <c r="N18" s="3" t="n">
        <f aca="false">Original_Dataset!N15</f>
        <v>122729.29</v>
      </c>
    </row>
    <row r="19" customFormat="false" ht="15" hidden="false" customHeight="true" outlineLevel="0" collapsed="false">
      <c r="A19" s="3" t="str">
        <f aca="false">Original_Dataset!A16</f>
        <v>STR-1004</v>
      </c>
      <c r="B19" s="4" t="n">
        <f aca="false">Original_Dataset!B16</f>
        <v>45717</v>
      </c>
      <c r="C19" s="3" t="str">
        <f aca="false">Original_Dataset!C16</f>
        <v>East</v>
      </c>
      <c r="D19" s="3" t="str">
        <f aca="false">Original_Dataset!D16</f>
        <v>Residential</v>
      </c>
      <c r="E19" s="3" t="n">
        <f aca="false">Original_Dataset!E16</f>
        <v>59909.51</v>
      </c>
      <c r="F19" s="3" t="n">
        <f aca="false">Original_Dataset!F16</f>
        <v>8895</v>
      </c>
      <c r="G19" s="3" t="n">
        <f aca="false">Original_Dataset!G16</f>
        <v>0.228</v>
      </c>
      <c r="H19" s="3" t="n">
        <f aca="false">Original_Dataset!H16</f>
        <v>23</v>
      </c>
      <c r="I19" s="3" t="n">
        <f aca="false">Original_Dataset!I16</f>
        <v>88.8</v>
      </c>
      <c r="J19" s="3" t="n">
        <f aca="false">IF(ISBLANK(Original_Dataset!J16),$Q$3,Original_Dataset!J16)</f>
        <v>0.27</v>
      </c>
      <c r="K19" s="3" t="n">
        <f aca="false">Original_Dataset!K16</f>
        <v>0</v>
      </c>
      <c r="L19" s="3" t="n">
        <f aca="false">IF(ISBLANK(Original_Dataset!L16),$Q$4,Original_Dataset!L16)</f>
        <v>4.3</v>
      </c>
      <c r="M19" s="3" t="n">
        <f aca="false">Original_Dataset!M16</f>
        <v>746501.09</v>
      </c>
      <c r="N19" s="3" t="n">
        <f aca="false">Original_Dataset!N16</f>
        <v>136816.72</v>
      </c>
    </row>
    <row r="20" customFormat="false" ht="15" hidden="false" customHeight="true" outlineLevel="0" collapsed="false">
      <c r="A20" s="3" t="str">
        <f aca="false">Original_Dataset!A17</f>
        <v>STR-1004</v>
      </c>
      <c r="B20" s="4" t="n">
        <f aca="false">Original_Dataset!B17</f>
        <v>45748</v>
      </c>
      <c r="C20" s="3" t="str">
        <f aca="false">Original_Dataset!C17</f>
        <v>East</v>
      </c>
      <c r="D20" s="3" t="str">
        <f aca="false">Original_Dataset!D17</f>
        <v>Residential</v>
      </c>
      <c r="E20" s="3" t="n">
        <f aca="false">Original_Dataset!E17</f>
        <v>75305.71</v>
      </c>
      <c r="F20" s="3" t="n">
        <f aca="false">Original_Dataset!F17</f>
        <v>10940</v>
      </c>
      <c r="G20" s="3" t="n">
        <f aca="false">Original_Dataset!G17</f>
        <v>0.006</v>
      </c>
      <c r="H20" s="3" t="n">
        <f aca="false">Original_Dataset!H17</f>
        <v>26</v>
      </c>
      <c r="I20" s="3" t="n">
        <f aca="false">Original_Dataset!I17</f>
        <v>76.5</v>
      </c>
      <c r="J20" s="3" t="n">
        <f aca="false">IF(ISBLANK(Original_Dataset!J17),$Q$3,Original_Dataset!J17)</f>
        <v>1.32</v>
      </c>
      <c r="K20" s="3" t="n">
        <f aca="false">Original_Dataset!K17</f>
        <v>0</v>
      </c>
      <c r="L20" s="3" t="n">
        <f aca="false">IF(ISBLANK(Original_Dataset!L17),$Q$4,Original_Dataset!L17)</f>
        <v>4.5</v>
      </c>
      <c r="M20" s="3" t="n">
        <f aca="false">Original_Dataset!M17</f>
        <v>834017.02</v>
      </c>
      <c r="N20" s="3" t="n">
        <f aca="false">Original_Dataset!N17</f>
        <v>114745.03</v>
      </c>
    </row>
    <row r="21" customFormat="false" ht="15" hidden="false" customHeight="true" outlineLevel="0" collapsed="false">
      <c r="A21" s="3" t="str">
        <f aca="false">Original_Dataset!A18</f>
        <v>STR-1005</v>
      </c>
      <c r="B21" s="4" t="n">
        <f aca="false">Original_Dataset!B18</f>
        <v>45658</v>
      </c>
      <c r="C21" s="3" t="str">
        <f aca="false">Original_Dataset!C18</f>
        <v>South</v>
      </c>
      <c r="D21" s="3" t="str">
        <f aca="false">Original_Dataset!D18</f>
        <v>Residential</v>
      </c>
      <c r="E21" s="3" t="n">
        <f aca="false">Original_Dataset!E18</f>
        <v>48804.22</v>
      </c>
      <c r="F21" s="3" t="n">
        <f aca="false">Original_Dataset!F18</f>
        <v>7057</v>
      </c>
      <c r="G21" s="3" t="n">
        <f aca="false">Original_Dataset!G18</f>
        <v>0.005</v>
      </c>
      <c r="H21" s="3" t="n">
        <f aca="false">Original_Dataset!H18</f>
        <v>15</v>
      </c>
      <c r="I21" s="3" t="n">
        <f aca="false">Original_Dataset!I18</f>
        <v>87.7</v>
      </c>
      <c r="J21" s="3" t="n">
        <f aca="false">IF(ISBLANK(Original_Dataset!J18),$Q$3,Original_Dataset!J18)</f>
        <v>1.22</v>
      </c>
      <c r="K21" s="3" t="n">
        <f aca="false">Original_Dataset!K18</f>
        <v>0</v>
      </c>
      <c r="L21" s="3" t="n">
        <f aca="false">IF(ISBLANK(Original_Dataset!L18),$Q$4,Original_Dataset!L18)</f>
        <v>3.7</v>
      </c>
      <c r="M21" s="3" t="n">
        <f aca="false">Original_Dataset!M18</f>
        <v>666152.52</v>
      </c>
      <c r="N21" s="3" t="n">
        <f aca="false">Original_Dataset!N18</f>
        <v>107490.58</v>
      </c>
    </row>
    <row r="22" customFormat="false" ht="15" hidden="false" customHeight="true" outlineLevel="0" collapsed="false">
      <c r="A22" s="3" t="str">
        <f aca="false">Original_Dataset!A19</f>
        <v>STR-1005</v>
      </c>
      <c r="B22" s="4" t="n">
        <f aca="false">Original_Dataset!B19</f>
        <v>45689</v>
      </c>
      <c r="C22" s="3" t="str">
        <f aca="false">Original_Dataset!C19</f>
        <v>South</v>
      </c>
      <c r="D22" s="3" t="str">
        <f aca="false">Original_Dataset!D19</f>
        <v>Residential</v>
      </c>
      <c r="E22" s="3" t="n">
        <f aca="false">Original_Dataset!E19</f>
        <v>59117.9</v>
      </c>
      <c r="F22" s="3" t="n">
        <f aca="false">Original_Dataset!F19</f>
        <v>4263</v>
      </c>
      <c r="G22" s="3" t="n">
        <f aca="false">Original_Dataset!G19</f>
        <v>0.119</v>
      </c>
      <c r="H22" s="3" t="n">
        <f aca="false">Original_Dataset!H19</f>
        <v>9</v>
      </c>
      <c r="I22" s="3" t="n">
        <f aca="false">Original_Dataset!I19</f>
        <v>87.6</v>
      </c>
      <c r="J22" s="3" t="n">
        <f aca="false">IF(ISBLANK(Original_Dataset!J19),$Q$3,Original_Dataset!J19)</f>
        <v>4.01</v>
      </c>
      <c r="K22" s="3" t="n">
        <f aca="false">Original_Dataset!K19</f>
        <v>0</v>
      </c>
      <c r="L22" s="3" t="n">
        <f aca="false">IF(ISBLANK(Original_Dataset!L19),$Q$4,Original_Dataset!L19)</f>
        <v>3.6</v>
      </c>
      <c r="M22" s="3" t="n">
        <f aca="false">Original_Dataset!M19</f>
        <v>573155.19</v>
      </c>
      <c r="N22" s="3" t="n">
        <f aca="false">Original_Dataset!N19</f>
        <v>83680.75</v>
      </c>
    </row>
    <row r="23" customFormat="false" ht="15" hidden="false" customHeight="true" outlineLevel="0" collapsed="false">
      <c r="A23" s="3" t="str">
        <f aca="false">Original_Dataset!A20</f>
        <v>STR-1005</v>
      </c>
      <c r="B23" s="4" t="n">
        <f aca="false">Original_Dataset!B20</f>
        <v>45717</v>
      </c>
      <c r="C23" s="3" t="str">
        <f aca="false">Original_Dataset!C20</f>
        <v>South</v>
      </c>
      <c r="D23" s="3" t="str">
        <f aca="false">Original_Dataset!D20</f>
        <v>Residential</v>
      </c>
      <c r="E23" s="3" t="n">
        <f aca="false">Original_Dataset!E20</f>
        <v>78831.12</v>
      </c>
      <c r="F23" s="3" t="n">
        <f aca="false">Original_Dataset!F20</f>
        <v>5538</v>
      </c>
      <c r="G23" s="3" t="n">
        <f aca="false">Original_Dataset!G20</f>
        <v>0</v>
      </c>
      <c r="H23" s="3" t="n">
        <f aca="false">Original_Dataset!H20</f>
        <v>15</v>
      </c>
      <c r="I23" s="3" t="n">
        <f aca="false">Original_Dataset!I20</f>
        <v>94.1</v>
      </c>
      <c r="J23" s="3" t="n">
        <f aca="false">IF(ISBLANK(Original_Dataset!J20),$Q$3,Original_Dataset!J20)</f>
        <v>0.2</v>
      </c>
      <c r="K23" s="3" t="n">
        <f aca="false">Original_Dataset!K20</f>
        <v>0</v>
      </c>
      <c r="L23" s="3" t="n">
        <f aca="false">IF(ISBLANK(Original_Dataset!L20),$Q$4,Original_Dataset!L20)</f>
        <v>3.9</v>
      </c>
      <c r="M23" s="3" t="n">
        <f aca="false">Original_Dataset!M20</f>
        <v>666573.2</v>
      </c>
      <c r="N23" s="3" t="n">
        <f aca="false">Original_Dataset!N20</f>
        <v>140641.02</v>
      </c>
    </row>
    <row r="24" customFormat="false" ht="15" hidden="false" customHeight="true" outlineLevel="0" collapsed="false">
      <c r="A24" s="3" t="str">
        <f aca="false">Original_Dataset!A21</f>
        <v>STR-1005</v>
      </c>
      <c r="B24" s="4" t="n">
        <f aca="false">Original_Dataset!B21</f>
        <v>45748</v>
      </c>
      <c r="C24" s="3" t="str">
        <f aca="false">Original_Dataset!C21</f>
        <v>South</v>
      </c>
      <c r="D24" s="3" t="str">
        <f aca="false">Original_Dataset!D21</f>
        <v>Residential</v>
      </c>
      <c r="E24" s="3" t="n">
        <f aca="false">Original_Dataset!E21</f>
        <v>41441.93</v>
      </c>
      <c r="F24" s="3" t="n">
        <f aca="false">Original_Dataset!F21</f>
        <v>4865</v>
      </c>
      <c r="G24" s="3" t="n">
        <f aca="false">Original_Dataset!G21</f>
        <v>0.158</v>
      </c>
      <c r="H24" s="3" t="n">
        <f aca="false">Original_Dataset!H21</f>
        <v>16</v>
      </c>
      <c r="I24" s="3" t="n">
        <f aca="false">Original_Dataset!I21</f>
        <v>88.3</v>
      </c>
      <c r="J24" s="3" t="n">
        <f aca="false">IF(ISBLANK(Original_Dataset!J21),$Q$3,Original_Dataset!J21)</f>
        <v>0.5</v>
      </c>
      <c r="K24" s="3" t="n">
        <f aca="false">Original_Dataset!K21</f>
        <v>0</v>
      </c>
      <c r="L24" s="3" t="n">
        <f aca="false">IF(ISBLANK(Original_Dataset!L21),$Q$4,Original_Dataset!L21)</f>
        <v>4</v>
      </c>
      <c r="M24" s="3" t="n">
        <f aca="false">Original_Dataset!M21</f>
        <v>591619.95</v>
      </c>
      <c r="N24" s="3" t="n">
        <f aca="false">Original_Dataset!N21</f>
        <v>99521.35</v>
      </c>
    </row>
    <row r="25" customFormat="false" ht="15" hidden="false" customHeight="true" outlineLevel="0" collapsed="false">
      <c r="A25" s="3" t="str">
        <f aca="false">Original_Dataset!A22</f>
        <v>STR-1006</v>
      </c>
      <c r="B25" s="4" t="n">
        <f aca="false">Original_Dataset!B22</f>
        <v>45658</v>
      </c>
      <c r="C25" s="3" t="str">
        <f aca="false">Original_Dataset!C22</f>
        <v>North</v>
      </c>
      <c r="D25" s="3" t="str">
        <f aca="false">Original_Dataset!D22</f>
        <v>Residential</v>
      </c>
      <c r="E25" s="3" t="n">
        <f aca="false">Original_Dataset!E22</f>
        <v>30356.28</v>
      </c>
      <c r="F25" s="3" t="n">
        <f aca="false">Original_Dataset!F22</f>
        <v>2822</v>
      </c>
      <c r="G25" s="3" t="n">
        <f aca="false">Original_Dataset!G22</f>
        <v>0.231</v>
      </c>
      <c r="H25" s="3" t="n">
        <f aca="false">Original_Dataset!H22</f>
        <v>9</v>
      </c>
      <c r="I25" s="3" t="n">
        <f aca="false">Original_Dataset!I22</f>
        <v>84.8</v>
      </c>
      <c r="J25" s="3" t="n">
        <f aca="false">IF(ISBLANK(Original_Dataset!J22),$Q$3,Original_Dataset!J22)</f>
        <v>6.95</v>
      </c>
      <c r="K25" s="3" t="n">
        <f aca="false">Original_Dataset!K22</f>
        <v>0</v>
      </c>
      <c r="L25" s="3" t="n">
        <f aca="false">IF(ISBLANK(Original_Dataset!L22),$Q$4,Original_Dataset!L22)</f>
        <v>5</v>
      </c>
      <c r="M25" s="3" t="n">
        <f aca="false">Original_Dataset!M22</f>
        <v>415721.82</v>
      </c>
      <c r="N25" s="3" t="n">
        <f aca="false">Original_Dataset!N22</f>
        <v>61179.15</v>
      </c>
    </row>
    <row r="26" customFormat="false" ht="15" hidden="false" customHeight="true" outlineLevel="0" collapsed="false">
      <c r="A26" s="3" t="str">
        <f aca="false">Original_Dataset!A23</f>
        <v>STR-1006</v>
      </c>
      <c r="B26" s="4" t="n">
        <f aca="false">Original_Dataset!B23</f>
        <v>45689</v>
      </c>
      <c r="C26" s="3" t="str">
        <f aca="false">Original_Dataset!C23</f>
        <v>North</v>
      </c>
      <c r="D26" s="3" t="str">
        <f aca="false">Original_Dataset!D23</f>
        <v>Residential</v>
      </c>
      <c r="E26" s="3" t="n">
        <f aca="false">Original_Dataset!E23</f>
        <v>33518.88</v>
      </c>
      <c r="F26" s="3" t="n">
        <f aca="false">Original_Dataset!F23</f>
        <v>2121</v>
      </c>
      <c r="G26" s="3" t="n">
        <f aca="false">Original_Dataset!G23</f>
        <v>0.176</v>
      </c>
      <c r="H26" s="3" t="n">
        <f aca="false">Original_Dataset!H23</f>
        <v>8</v>
      </c>
      <c r="I26" s="3" t="n">
        <f aca="false">Original_Dataset!I23</f>
        <v>88.5</v>
      </c>
      <c r="J26" s="3" t="n">
        <f aca="false">IF(ISBLANK(Original_Dataset!J23),$Q$3,Original_Dataset!J23)</f>
        <v>0.2</v>
      </c>
      <c r="K26" s="3" t="n">
        <f aca="false">Original_Dataset!K23</f>
        <v>0</v>
      </c>
      <c r="L26" s="3" t="n">
        <f aca="false">IF(ISBLANK(Original_Dataset!L23),$Q$4,Original_Dataset!L23)</f>
        <v>5</v>
      </c>
      <c r="M26" s="3" t="n">
        <f aca="false">Original_Dataset!M23</f>
        <v>491905.13</v>
      </c>
      <c r="N26" s="3" t="n">
        <f aca="false">Original_Dataset!N23</f>
        <v>79212.26</v>
      </c>
    </row>
    <row r="27" customFormat="false" ht="15" hidden="false" customHeight="true" outlineLevel="0" collapsed="false">
      <c r="A27" s="3" t="str">
        <f aca="false">Original_Dataset!A24</f>
        <v>STR-1006</v>
      </c>
      <c r="B27" s="4" t="n">
        <f aca="false">Original_Dataset!B24</f>
        <v>45717</v>
      </c>
      <c r="C27" s="3" t="str">
        <f aca="false">Original_Dataset!C24</f>
        <v>North</v>
      </c>
      <c r="D27" s="3" t="str">
        <f aca="false">Original_Dataset!D24</f>
        <v>Residential</v>
      </c>
      <c r="E27" s="3" t="n">
        <f aca="false">Original_Dataset!E24</f>
        <v>42267.37</v>
      </c>
      <c r="F27" s="3" t="n">
        <f aca="false">Original_Dataset!F24</f>
        <v>3364</v>
      </c>
      <c r="G27" s="3" t="n">
        <f aca="false">Original_Dataset!G24</f>
        <v>0.16</v>
      </c>
      <c r="H27" s="3" t="n">
        <f aca="false">Original_Dataset!H24</f>
        <v>13</v>
      </c>
      <c r="I27" s="3" t="n">
        <f aca="false">Original_Dataset!I24</f>
        <v>82</v>
      </c>
      <c r="J27" s="3" t="n">
        <f aca="false">IF(ISBLANK(Original_Dataset!J24),$Q$3,Original_Dataset!J24)</f>
        <v>1.61</v>
      </c>
      <c r="K27" s="3" t="n">
        <f aca="false">Original_Dataset!K24</f>
        <v>1</v>
      </c>
      <c r="L27" s="3" t="n">
        <f aca="false">IF(ISBLANK(Original_Dataset!L24),$Q$4,Original_Dataset!L24)</f>
        <v>4.6</v>
      </c>
      <c r="M27" s="3" t="n">
        <f aca="false">Original_Dataset!M24</f>
        <v>555929.4</v>
      </c>
      <c r="N27" s="3" t="n">
        <f aca="false">Original_Dataset!N24</f>
        <v>115201.76</v>
      </c>
    </row>
    <row r="28" customFormat="false" ht="15" hidden="false" customHeight="true" outlineLevel="0" collapsed="false">
      <c r="A28" s="3" t="str">
        <f aca="false">Original_Dataset!A25</f>
        <v>STR-1006</v>
      </c>
      <c r="B28" s="4" t="n">
        <f aca="false">Original_Dataset!B25</f>
        <v>45748</v>
      </c>
      <c r="C28" s="3" t="str">
        <f aca="false">Original_Dataset!C25</f>
        <v>North</v>
      </c>
      <c r="D28" s="3" t="str">
        <f aca="false">Original_Dataset!D25</f>
        <v>Residential</v>
      </c>
      <c r="E28" s="3" t="n">
        <f aca="false">Original_Dataset!E25</f>
        <v>62060.43</v>
      </c>
      <c r="F28" s="3" t="n">
        <f aca="false">Original_Dataset!F25</f>
        <v>2613</v>
      </c>
      <c r="G28" s="3" t="n">
        <f aca="false">Original_Dataset!G25</f>
        <v>0.216</v>
      </c>
      <c r="H28" s="3" t="n">
        <f aca="false">Original_Dataset!H25</f>
        <v>12</v>
      </c>
      <c r="I28" s="3" t="n">
        <f aca="false">Original_Dataset!I25</f>
        <v>92.1</v>
      </c>
      <c r="J28" s="3" t="n">
        <f aca="false">IF(ISBLANK(Original_Dataset!J25),$Q$3,Original_Dataset!J25)</f>
        <v>1.55</v>
      </c>
      <c r="K28" s="3" t="n">
        <f aca="false">Original_Dataset!K25</f>
        <v>0</v>
      </c>
      <c r="L28" s="3" t="n">
        <f aca="false">IF(ISBLANK(Original_Dataset!L25),$Q$4,Original_Dataset!L25)</f>
        <v>4.7</v>
      </c>
      <c r="M28" s="3" t="n">
        <f aca="false">Original_Dataset!M25</f>
        <v>565810.99</v>
      </c>
      <c r="N28" s="3" t="n">
        <f aca="false">Original_Dataset!N25</f>
        <v>77825.46</v>
      </c>
    </row>
    <row r="29" customFormat="false" ht="15" hidden="false" customHeight="true" outlineLevel="0" collapsed="false">
      <c r="A29" s="3" t="str">
        <f aca="false">Original_Dataset!A26</f>
        <v>STR-1007</v>
      </c>
      <c r="B29" s="4" t="n">
        <f aca="false">Original_Dataset!B26</f>
        <v>45658</v>
      </c>
      <c r="C29" s="3" t="str">
        <f aca="false">Original_Dataset!C26</f>
        <v>West</v>
      </c>
      <c r="D29" s="3" t="str">
        <f aca="false">Original_Dataset!D26</f>
        <v>Mall</v>
      </c>
      <c r="E29" s="3" t="n">
        <f aca="false">Original_Dataset!E26</f>
        <v>57696.69</v>
      </c>
      <c r="F29" s="3" t="n">
        <f aca="false">Original_Dataset!F26</f>
        <v>10218</v>
      </c>
      <c r="G29" s="3" t="n">
        <f aca="false">Original_Dataset!G26</f>
        <v>0.121</v>
      </c>
      <c r="H29" s="3" t="n">
        <f aca="false">Original_Dataset!H26</f>
        <v>25</v>
      </c>
      <c r="I29" s="3" t="n">
        <f aca="false">Original_Dataset!I26</f>
        <v>94.8</v>
      </c>
      <c r="J29" s="3" t="n">
        <f aca="false">IF(ISBLANK(Original_Dataset!J26),$Q$3,Original_Dataset!J26)</f>
        <v>2.99</v>
      </c>
      <c r="K29" s="3" t="n">
        <f aca="false">Original_Dataset!K26</f>
        <v>0</v>
      </c>
      <c r="L29" s="3" t="n">
        <f aca="false">IF(ISBLANK(Original_Dataset!L26),$Q$4,Original_Dataset!L26)</f>
        <v>3.5</v>
      </c>
      <c r="M29" s="3" t="n">
        <f aca="false">Original_Dataset!M26</f>
        <v>811771.14</v>
      </c>
      <c r="N29" s="3" t="n">
        <f aca="false">Original_Dataset!N26</f>
        <v>148756.24</v>
      </c>
    </row>
    <row r="30" customFormat="false" ht="15" hidden="false" customHeight="true" outlineLevel="0" collapsed="false">
      <c r="A30" s="3" t="str">
        <f aca="false">Original_Dataset!A27</f>
        <v>STR-1007</v>
      </c>
      <c r="B30" s="4" t="n">
        <f aca="false">Original_Dataset!B27</f>
        <v>45689</v>
      </c>
      <c r="C30" s="3" t="str">
        <f aca="false">Original_Dataset!C27</f>
        <v>West</v>
      </c>
      <c r="D30" s="3" t="str">
        <f aca="false">Original_Dataset!D27</f>
        <v>Mall</v>
      </c>
      <c r="E30" s="3" t="n">
        <f aca="false">Original_Dataset!E27</f>
        <v>172415.52</v>
      </c>
      <c r="F30" s="3" t="n">
        <f aca="false">Original_Dataset!F27</f>
        <v>8927</v>
      </c>
      <c r="G30" s="3" t="n">
        <f aca="false">Original_Dataset!G27</f>
        <v>0.14</v>
      </c>
      <c r="H30" s="3" t="n">
        <f aca="false">Original_Dataset!H27</f>
        <v>22</v>
      </c>
      <c r="I30" s="3" t="n">
        <f aca="false">Original_Dataset!I27</f>
        <v>86.2</v>
      </c>
      <c r="J30" s="3" t="n">
        <f aca="false">IF(ISBLANK(Original_Dataset!J27),$Q$3,Original_Dataset!J27)</f>
        <v>7.04</v>
      </c>
      <c r="K30" s="3" t="n">
        <f aca="false">Original_Dataset!K27</f>
        <v>0</v>
      </c>
      <c r="L30" s="3" t="n">
        <f aca="false">IF(ISBLANK(Original_Dataset!L27),$Q$4,Original_Dataset!L27)</f>
        <v>3.9</v>
      </c>
      <c r="M30" s="3" t="n">
        <f aca="false">Original_Dataset!M27</f>
        <v>800451.94</v>
      </c>
      <c r="N30" s="3" t="n">
        <f aca="false">Original_Dataset!N27</f>
        <v>111572.29</v>
      </c>
    </row>
    <row r="31" customFormat="false" ht="15" hidden="false" customHeight="true" outlineLevel="0" collapsed="false">
      <c r="A31" s="3" t="str">
        <f aca="false">Original_Dataset!A28</f>
        <v>STR-1007</v>
      </c>
      <c r="B31" s="4" t="n">
        <f aca="false">Original_Dataset!B28</f>
        <v>45717</v>
      </c>
      <c r="C31" s="3" t="str">
        <f aca="false">Original_Dataset!C28</f>
        <v>West</v>
      </c>
      <c r="D31" s="3" t="str">
        <f aca="false">Original_Dataset!D28</f>
        <v>Mall</v>
      </c>
      <c r="E31" s="3" t="n">
        <f aca="false">Original_Dataset!E28</f>
        <v>55270.52</v>
      </c>
      <c r="F31" s="3" t="n">
        <f aca="false">Original_Dataset!F28</f>
        <v>9315</v>
      </c>
      <c r="G31" s="3" t="n">
        <f aca="false">Original_Dataset!G28</f>
        <v>0.169</v>
      </c>
      <c r="H31" s="3" t="n">
        <f aca="false">Original_Dataset!H28</f>
        <v>23</v>
      </c>
      <c r="I31" s="3" t="n">
        <f aca="false">Original_Dataset!I28</f>
        <v>91.9</v>
      </c>
      <c r="J31" s="3" t="n">
        <f aca="false">IF(ISBLANK(Original_Dataset!J28),$Q$3,Original_Dataset!J28)</f>
        <v>4.94</v>
      </c>
      <c r="K31" s="3" t="n">
        <f aca="false">Original_Dataset!K28</f>
        <v>0</v>
      </c>
      <c r="L31" s="3" t="n">
        <f aca="false">IF(ISBLANK(Original_Dataset!L28),$Q$4,Original_Dataset!L28)</f>
        <v>4</v>
      </c>
      <c r="M31" s="3" t="n">
        <f aca="false">Original_Dataset!M28</f>
        <v>783672.82</v>
      </c>
      <c r="N31" s="3" t="n">
        <f aca="false">Original_Dataset!N28</f>
        <v>112577.14</v>
      </c>
    </row>
    <row r="32" customFormat="false" ht="15" hidden="false" customHeight="true" outlineLevel="0" collapsed="false">
      <c r="A32" s="3" t="str">
        <f aca="false">Original_Dataset!A29</f>
        <v>STR-1007</v>
      </c>
      <c r="B32" s="4" t="n">
        <f aca="false">Original_Dataset!B29</f>
        <v>45748</v>
      </c>
      <c r="C32" s="3" t="str">
        <f aca="false">Original_Dataset!C29</f>
        <v>West</v>
      </c>
      <c r="D32" s="3" t="str">
        <f aca="false">Original_Dataset!D29</f>
        <v>Mall</v>
      </c>
      <c r="E32" s="3" t="n">
        <f aca="false">Original_Dataset!E29</f>
        <v>52715.1</v>
      </c>
      <c r="F32" s="3" t="n">
        <f aca="false">Original_Dataset!F29</f>
        <v>7223</v>
      </c>
      <c r="G32" s="3" t="n">
        <f aca="false">Original_Dataset!G29</f>
        <v>0.122</v>
      </c>
      <c r="H32" s="3" t="n">
        <f aca="false">Original_Dataset!H29</f>
        <v>16</v>
      </c>
      <c r="I32" s="3" t="n">
        <f aca="false">Original_Dataset!I29</f>
        <v>84.2</v>
      </c>
      <c r="J32" s="3" t="n">
        <f aca="false">IF(ISBLANK(Original_Dataset!J29),$Q$3,Original_Dataset!J29)</f>
        <v>16.15</v>
      </c>
      <c r="K32" s="3" t="n">
        <f aca="false">Original_Dataset!K29</f>
        <v>0</v>
      </c>
      <c r="L32" s="3" t="n">
        <f aca="false">IF(ISBLANK(Original_Dataset!L29),$Q$4,Original_Dataset!L29)</f>
        <v>3.7</v>
      </c>
      <c r="M32" s="3" t="n">
        <f aca="false">Original_Dataset!M29</f>
        <v>701641.97</v>
      </c>
      <c r="N32" s="3" t="n">
        <f aca="false">Original_Dataset!N29</f>
        <v>106111.86</v>
      </c>
    </row>
    <row r="33" customFormat="false" ht="15" hidden="false" customHeight="true" outlineLevel="0" collapsed="false">
      <c r="A33" s="3" t="str">
        <f aca="false">Original_Dataset!A30</f>
        <v>STR-1008</v>
      </c>
      <c r="B33" s="4" t="n">
        <f aca="false">Original_Dataset!B30</f>
        <v>45658</v>
      </c>
      <c r="C33" s="3" t="str">
        <f aca="false">Original_Dataset!C30</f>
        <v>East</v>
      </c>
      <c r="D33" s="3" t="str">
        <f aca="false">Original_Dataset!D30</f>
        <v>Residential</v>
      </c>
      <c r="E33" s="3" t="n">
        <f aca="false">Original_Dataset!E30</f>
        <v>68600.62</v>
      </c>
      <c r="F33" s="3" t="n">
        <f aca="false">Original_Dataset!F30</f>
        <v>3988</v>
      </c>
      <c r="G33" s="3" t="n">
        <f aca="false">Original_Dataset!G30</f>
        <v>0.124</v>
      </c>
      <c r="H33" s="3" t="n">
        <f aca="false">Original_Dataset!H30</f>
        <v>11</v>
      </c>
      <c r="I33" s="3" t="n">
        <f aca="false">Original_Dataset!I30</f>
        <v>85</v>
      </c>
      <c r="J33" s="3" t="n">
        <f aca="false">IF(ISBLANK(Original_Dataset!J30),$Q$3,Original_Dataset!J30)</f>
        <v>0.48</v>
      </c>
      <c r="K33" s="3" t="n">
        <f aca="false">Original_Dataset!K30</f>
        <v>0</v>
      </c>
      <c r="L33" s="3" t="n">
        <f aca="false">IF(ISBLANK(Original_Dataset!L30),$Q$4,Original_Dataset!L30)</f>
        <v>3.6</v>
      </c>
      <c r="M33" s="3" t="n">
        <f aca="false">Original_Dataset!M30</f>
        <v>511844.41</v>
      </c>
      <c r="N33" s="3" t="n">
        <f aca="false">Original_Dataset!N30</f>
        <v>72774.44</v>
      </c>
    </row>
    <row r="34" customFormat="false" ht="15" hidden="false" customHeight="true" outlineLevel="0" collapsed="false">
      <c r="A34" s="3" t="str">
        <f aca="false">Original_Dataset!A31</f>
        <v>STR-1008</v>
      </c>
      <c r="B34" s="4" t="n">
        <f aca="false">Original_Dataset!B31</f>
        <v>45689</v>
      </c>
      <c r="C34" s="3" t="str">
        <f aca="false">Original_Dataset!C31</f>
        <v>East</v>
      </c>
      <c r="D34" s="3" t="str">
        <f aca="false">Original_Dataset!D31</f>
        <v>Residential</v>
      </c>
      <c r="E34" s="3" t="n">
        <f aca="false">Original_Dataset!E31</f>
        <v>63176.73</v>
      </c>
      <c r="F34" s="3" t="n">
        <f aca="false">Original_Dataset!F31</f>
        <v>2390</v>
      </c>
      <c r="G34" s="3" t="n">
        <f aca="false">Original_Dataset!G31</f>
        <v>0.216</v>
      </c>
      <c r="H34" s="3" t="n">
        <f aca="false">Original_Dataset!H31</f>
        <v>9</v>
      </c>
      <c r="I34" s="3" t="n">
        <f aca="false">Original_Dataset!I31</f>
        <v>87.5</v>
      </c>
      <c r="J34" s="3" t="n">
        <f aca="false">IF(ISBLANK(Original_Dataset!J31),$Q$3,Original_Dataset!J31)</f>
        <v>0.31</v>
      </c>
      <c r="K34" s="3" t="n">
        <f aca="false">Original_Dataset!K31</f>
        <v>0</v>
      </c>
      <c r="L34" s="3" t="n">
        <f aca="false">IF(ISBLANK(Original_Dataset!L31),$Q$4,Original_Dataset!L31)</f>
        <v>3.1</v>
      </c>
      <c r="M34" s="3" t="n">
        <f aca="false">Original_Dataset!M31</f>
        <v>537383.79</v>
      </c>
      <c r="N34" s="3" t="n">
        <f aca="false">Original_Dataset!N31</f>
        <v>63773.27</v>
      </c>
    </row>
    <row r="35" customFormat="false" ht="15" hidden="false" customHeight="true" outlineLevel="0" collapsed="false">
      <c r="A35" s="3" t="str">
        <f aca="false">Original_Dataset!A32</f>
        <v>STR-1008</v>
      </c>
      <c r="B35" s="4" t="n">
        <f aca="false">Original_Dataset!B32</f>
        <v>45717</v>
      </c>
      <c r="C35" s="3" t="str">
        <f aca="false">Original_Dataset!C32</f>
        <v>East</v>
      </c>
      <c r="D35" s="3" t="str">
        <f aca="false">Original_Dataset!D32</f>
        <v>Residential</v>
      </c>
      <c r="E35" s="3" t="n">
        <f aca="false">Original_Dataset!E32</f>
        <v>44970.08</v>
      </c>
      <c r="F35" s="3" t="n">
        <f aca="false">Original_Dataset!F32</f>
        <v>2471</v>
      </c>
      <c r="G35" s="3" t="n">
        <f aca="false">Original_Dataset!G32</f>
        <v>0.136</v>
      </c>
      <c r="H35" s="3" t="n">
        <f aca="false">Original_Dataset!H32</f>
        <v>11</v>
      </c>
      <c r="I35" s="3" t="n">
        <f aca="false">Original_Dataset!I32</f>
        <v>87.6</v>
      </c>
      <c r="J35" s="3" t="n">
        <f aca="false">IF(ISBLANK(Original_Dataset!J32),$Q$3,Original_Dataset!J32)</f>
        <v>3.01</v>
      </c>
      <c r="K35" s="3" t="n">
        <f aca="false">Original_Dataset!K32</f>
        <v>1</v>
      </c>
      <c r="L35" s="3" t="n">
        <f aca="false">IF(ISBLANK(Original_Dataset!L32),$Q$4,Original_Dataset!L32)</f>
        <v>3.7</v>
      </c>
      <c r="M35" s="3" t="n">
        <f aca="false">Original_Dataset!M32</f>
        <v>500173.02</v>
      </c>
      <c r="N35" s="3" t="n">
        <f aca="false">Original_Dataset!N32</f>
        <v>70982.05</v>
      </c>
    </row>
    <row r="36" customFormat="false" ht="15" hidden="false" customHeight="true" outlineLevel="0" collapsed="false">
      <c r="A36" s="3" t="str">
        <f aca="false">Original_Dataset!A33</f>
        <v>STR-1008</v>
      </c>
      <c r="B36" s="4" t="n">
        <f aca="false">Original_Dataset!B33</f>
        <v>45748</v>
      </c>
      <c r="C36" s="3" t="str">
        <f aca="false">Original_Dataset!C33</f>
        <v>East</v>
      </c>
      <c r="D36" s="3" t="str">
        <f aca="false">Original_Dataset!D33</f>
        <v>Residential</v>
      </c>
      <c r="E36" s="3" t="n">
        <f aca="false">Original_Dataset!E33</f>
        <v>69816.35</v>
      </c>
      <c r="F36" s="3" t="n">
        <f aca="false">Original_Dataset!F33</f>
        <v>971</v>
      </c>
      <c r="G36" s="3" t="n">
        <f aca="false">Original_Dataset!G33</f>
        <v>0.168</v>
      </c>
      <c r="H36" s="3" t="n">
        <f aca="false">Original_Dataset!H33</f>
        <v>5</v>
      </c>
      <c r="I36" s="3" t="n">
        <f aca="false">Original_Dataset!I33</f>
        <v>89.9</v>
      </c>
      <c r="J36" s="3" t="n">
        <f aca="false">IF(ISBLANK(Original_Dataset!J33),$Q$3,Original_Dataset!J33)</f>
        <v>12.15</v>
      </c>
      <c r="K36" s="3" t="n">
        <f aca="false">Original_Dataset!K33</f>
        <v>0</v>
      </c>
      <c r="L36" s="3" t="n">
        <f aca="false">IF(ISBLANK(Original_Dataset!L33),$Q$4,Original_Dataset!L33)</f>
        <v>3.6</v>
      </c>
      <c r="M36" s="3" t="n">
        <f aca="false">Original_Dataset!M33</f>
        <v>427917.38</v>
      </c>
      <c r="N36" s="3" t="n">
        <f aca="false">Original_Dataset!N33</f>
        <v>81824.31</v>
      </c>
    </row>
    <row r="37" customFormat="false" ht="15" hidden="false" customHeight="true" outlineLevel="0" collapsed="false">
      <c r="A37" s="3" t="str">
        <f aca="false">Original_Dataset!A34</f>
        <v>STR-1009</v>
      </c>
      <c r="B37" s="4" t="n">
        <f aca="false">Original_Dataset!B34</f>
        <v>45658</v>
      </c>
      <c r="C37" s="3" t="str">
        <f aca="false">Original_Dataset!C34</f>
        <v>North</v>
      </c>
      <c r="D37" s="3" t="str">
        <f aca="false">Original_Dataset!D34</f>
        <v>Residential</v>
      </c>
      <c r="E37" s="3" t="n">
        <f aca="false">Original_Dataset!E34</f>
        <v>54597.83</v>
      </c>
      <c r="F37" s="3" t="n">
        <f aca="false">Original_Dataset!F34</f>
        <v>9429</v>
      </c>
      <c r="G37" s="3" t="n">
        <f aca="false">Original_Dataset!G34</f>
        <v>0.188</v>
      </c>
      <c r="H37" s="3" t="n">
        <f aca="false">Original_Dataset!H34</f>
        <v>21</v>
      </c>
      <c r="I37" s="3" t="n">
        <f aca="false">Original_Dataset!I34</f>
        <v>83.3</v>
      </c>
      <c r="J37" s="3" t="n">
        <f aca="false">IF(ISBLANK(Original_Dataset!J34),$Q$3,Original_Dataset!J34)</f>
        <v>11.71</v>
      </c>
      <c r="K37" s="3" t="n">
        <f aca="false">Original_Dataset!K34</f>
        <v>0</v>
      </c>
      <c r="L37" s="3" t="n">
        <f aca="false">IF(ISBLANK(Original_Dataset!L34),$Q$4,Original_Dataset!L34)</f>
        <v>4.2</v>
      </c>
      <c r="M37" s="3" t="n">
        <f aca="false">Original_Dataset!M34</f>
        <v>641865.03</v>
      </c>
      <c r="N37" s="3" t="n">
        <f aca="false">Original_Dataset!N34</f>
        <v>81342.58</v>
      </c>
    </row>
    <row r="38" customFormat="false" ht="15" hidden="false" customHeight="true" outlineLevel="0" collapsed="false">
      <c r="A38" s="3" t="str">
        <f aca="false">Original_Dataset!A35</f>
        <v>STR-1009</v>
      </c>
      <c r="B38" s="4" t="n">
        <f aca="false">Original_Dataset!B35</f>
        <v>45689</v>
      </c>
      <c r="C38" s="3" t="str">
        <f aca="false">Original_Dataset!C35</f>
        <v>North</v>
      </c>
      <c r="D38" s="3" t="str">
        <f aca="false">Original_Dataset!D35</f>
        <v>Residential</v>
      </c>
      <c r="E38" s="3" t="n">
        <f aca="false">Original_Dataset!E35</f>
        <v>73771.91</v>
      </c>
      <c r="F38" s="3" t="n">
        <f aca="false">Original_Dataset!F35</f>
        <v>11695</v>
      </c>
      <c r="G38" s="3" t="n">
        <f aca="false">Original_Dataset!G35</f>
        <v>0.07</v>
      </c>
      <c r="H38" s="3" t="n">
        <f aca="false">Original_Dataset!H35</f>
        <v>25</v>
      </c>
      <c r="I38" s="3" t="n">
        <f aca="false">Original_Dataset!I35</f>
        <v>84.7</v>
      </c>
      <c r="J38" s="3" t="n">
        <f aca="false">IF(ISBLANK(Original_Dataset!J35),$Q$3,Original_Dataset!J35)</f>
        <v>0.62</v>
      </c>
      <c r="K38" s="3" t="n">
        <f aca="false">Original_Dataset!K35</f>
        <v>0</v>
      </c>
      <c r="L38" s="3" t="n">
        <f aca="false">IF(ISBLANK(Original_Dataset!L35),$Q$4,Original_Dataset!L35)</f>
        <v>3.9</v>
      </c>
      <c r="M38" s="3" t="n">
        <f aca="false">Original_Dataset!M35</f>
        <v>799477.76</v>
      </c>
      <c r="N38" s="3" t="n">
        <f aca="false">Original_Dataset!N35</f>
        <v>164974.41</v>
      </c>
    </row>
    <row r="39" customFormat="false" ht="15" hidden="false" customHeight="true" outlineLevel="0" collapsed="false">
      <c r="A39" s="3" t="str">
        <f aca="false">Original_Dataset!A36</f>
        <v>STR-1009</v>
      </c>
      <c r="B39" s="4" t="n">
        <f aca="false">Original_Dataset!B36</f>
        <v>45717</v>
      </c>
      <c r="C39" s="3" t="str">
        <f aca="false">Original_Dataset!C36</f>
        <v>North</v>
      </c>
      <c r="D39" s="3" t="str">
        <f aca="false">Original_Dataset!D36</f>
        <v>Residential</v>
      </c>
      <c r="E39" s="3" t="n">
        <f aca="false">Original_Dataset!E36</f>
        <v>74413.88</v>
      </c>
      <c r="F39" s="3" t="n">
        <f aca="false">Original_Dataset!F36</f>
        <v>9449</v>
      </c>
      <c r="G39" s="3" t="n">
        <f aca="false">Original_Dataset!G36</f>
        <v>0.039</v>
      </c>
      <c r="H39" s="3" t="n">
        <f aca="false">Original_Dataset!H36</f>
        <v>23</v>
      </c>
      <c r="I39" s="3" t="n">
        <f aca="false">Original_Dataset!I36</f>
        <v>92.1</v>
      </c>
      <c r="J39" s="3" t="n">
        <f aca="false">IF(ISBLANK(Original_Dataset!J36),$Q$3,Original_Dataset!J36)</f>
        <v>2.12</v>
      </c>
      <c r="K39" s="3" t="n">
        <f aca="false">Original_Dataset!K36</f>
        <v>0</v>
      </c>
      <c r="L39" s="3" t="n">
        <f aca="false">IF(ISBLANK(Original_Dataset!L36),$Q$4,Original_Dataset!L36)</f>
        <v>3.5</v>
      </c>
      <c r="M39" s="3" t="n">
        <f aca="false">Original_Dataset!M36</f>
        <v>798952.17</v>
      </c>
      <c r="N39" s="3" t="n">
        <f aca="false">Original_Dataset!N36</f>
        <v>161499.04</v>
      </c>
    </row>
    <row r="40" customFormat="false" ht="15" hidden="false" customHeight="true" outlineLevel="0" collapsed="false">
      <c r="A40" s="3" t="str">
        <f aca="false">Original_Dataset!A37</f>
        <v>STR-1009</v>
      </c>
      <c r="B40" s="4" t="n">
        <f aca="false">Original_Dataset!B37</f>
        <v>45748</v>
      </c>
      <c r="C40" s="3" t="str">
        <f aca="false">Original_Dataset!C37</f>
        <v>North</v>
      </c>
      <c r="D40" s="3" t="str">
        <f aca="false">Original_Dataset!D37</f>
        <v>Residential</v>
      </c>
      <c r="E40" s="3" t="n">
        <f aca="false">Original_Dataset!E37</f>
        <v>52483.77</v>
      </c>
      <c r="F40" s="3" t="n">
        <f aca="false">Original_Dataset!F37</f>
        <v>10453</v>
      </c>
      <c r="G40" s="3" t="n">
        <f aca="false">Original_Dataset!G37</f>
        <v>0.247</v>
      </c>
      <c r="H40" s="3" t="n">
        <f aca="false">Original_Dataset!H37</f>
        <v>25</v>
      </c>
      <c r="I40" s="3" t="n">
        <f aca="false">Original_Dataset!I37</f>
        <v>99</v>
      </c>
      <c r="J40" s="3" t="n">
        <f aca="false">IF(ISBLANK(Original_Dataset!J37),$Q$3,Original_Dataset!J37)</f>
        <v>6.31</v>
      </c>
      <c r="K40" s="3" t="n">
        <f aca="false">Original_Dataset!K37</f>
        <v>0</v>
      </c>
      <c r="L40" s="3" t="n">
        <f aca="false">IF(ISBLANK(Original_Dataset!L37),$Q$4,Original_Dataset!L37)</f>
        <v>3.6</v>
      </c>
      <c r="M40" s="3" t="n">
        <f aca="false">Original_Dataset!M37</f>
        <v>800979.78</v>
      </c>
      <c r="N40" s="3" t="n">
        <f aca="false">Original_Dataset!N37</f>
        <v>149242.27</v>
      </c>
    </row>
    <row r="41" customFormat="false" ht="15" hidden="false" customHeight="true" outlineLevel="0" collapsed="false">
      <c r="A41" s="3" t="str">
        <f aca="false">Original_Dataset!A38</f>
        <v>STR-1010</v>
      </c>
      <c r="B41" s="4" t="n">
        <f aca="false">Original_Dataset!B38</f>
        <v>45658</v>
      </c>
      <c r="C41" s="3" t="str">
        <f aca="false">Original_Dataset!C38</f>
        <v>North</v>
      </c>
      <c r="D41" s="3" t="str">
        <f aca="false">Original_Dataset!D38</f>
        <v>Mall</v>
      </c>
      <c r="E41" s="3" t="n">
        <f aca="false">Original_Dataset!E38</f>
        <v>75269.87</v>
      </c>
      <c r="F41" s="3" t="n">
        <f aca="false">Original_Dataset!F38</f>
        <v>8838</v>
      </c>
      <c r="G41" s="3" t="n">
        <f aca="false">Original_Dataset!G38</f>
        <v>0.092</v>
      </c>
      <c r="H41" s="3" t="n">
        <f aca="false">Original_Dataset!H38</f>
        <v>21</v>
      </c>
      <c r="I41" s="3" t="n">
        <f aca="false">Original_Dataset!I38</f>
        <v>83.1</v>
      </c>
      <c r="J41" s="3" t="n">
        <f aca="false">IF(ISBLANK(Original_Dataset!J38),$Q$3,Original_Dataset!J38)</f>
        <v>9.56</v>
      </c>
      <c r="K41" s="3" t="n">
        <f aca="false">Original_Dataset!K38</f>
        <v>1</v>
      </c>
      <c r="L41" s="3" t="n">
        <f aca="false">IF(ISBLANK(Original_Dataset!L38),$Q$4,Original_Dataset!L38)</f>
        <v>4.2</v>
      </c>
      <c r="M41" s="3" t="n">
        <f aca="false">Original_Dataset!M38</f>
        <v>820593.93</v>
      </c>
      <c r="N41" s="3" t="n">
        <f aca="false">Original_Dataset!N38</f>
        <v>115860.06</v>
      </c>
    </row>
    <row r="42" customFormat="false" ht="15" hidden="false" customHeight="true" outlineLevel="0" collapsed="false">
      <c r="A42" s="3" t="str">
        <f aca="false">Original_Dataset!A39</f>
        <v>STR-1010</v>
      </c>
      <c r="B42" s="4" t="n">
        <f aca="false">Original_Dataset!B39</f>
        <v>45689</v>
      </c>
      <c r="C42" s="3" t="str">
        <f aca="false">Original_Dataset!C39</f>
        <v>North</v>
      </c>
      <c r="D42" s="3" t="str">
        <f aca="false">Original_Dataset!D39</f>
        <v>Mall</v>
      </c>
      <c r="E42" s="3" t="n">
        <f aca="false">Original_Dataset!E39</f>
        <v>61245.41</v>
      </c>
      <c r="F42" s="3" t="n">
        <f aca="false">Original_Dataset!F39</f>
        <v>8156</v>
      </c>
      <c r="G42" s="3" t="n">
        <f aca="false">Original_Dataset!G39</f>
        <v>0.156</v>
      </c>
      <c r="H42" s="3" t="n">
        <f aca="false">Original_Dataset!H39</f>
        <v>19</v>
      </c>
      <c r="I42" s="3" t="n">
        <f aca="false">Original_Dataset!I39</f>
        <v>92.9</v>
      </c>
      <c r="J42" s="3" t="n">
        <f aca="false">IF(ISBLANK(Original_Dataset!J39),$Q$3,Original_Dataset!J39)</f>
        <v>9.05</v>
      </c>
      <c r="K42" s="3" t="n">
        <f aca="false">Original_Dataset!K39</f>
        <v>0</v>
      </c>
      <c r="L42" s="3" t="n">
        <f aca="false">IF(ISBLANK(Original_Dataset!L39),$Q$4,Original_Dataset!L39)</f>
        <v>3.8</v>
      </c>
      <c r="M42" s="3" t="n">
        <f aca="false">Original_Dataset!M39</f>
        <v>718330.53</v>
      </c>
      <c r="N42" s="3" t="n">
        <f aca="false">Original_Dataset!N39</f>
        <v>93247.9</v>
      </c>
    </row>
    <row r="43" customFormat="false" ht="15" hidden="false" customHeight="true" outlineLevel="0" collapsed="false">
      <c r="A43" s="3" t="str">
        <f aca="false">Original_Dataset!A40</f>
        <v>STR-1010</v>
      </c>
      <c r="B43" s="4" t="n">
        <f aca="false">Original_Dataset!B40</f>
        <v>45717</v>
      </c>
      <c r="C43" s="3" t="str">
        <f aca="false">Original_Dataset!C40</f>
        <v>North</v>
      </c>
      <c r="D43" s="3" t="str">
        <f aca="false">Original_Dataset!D40</f>
        <v>Mall</v>
      </c>
      <c r="E43" s="3" t="n">
        <f aca="false">Original_Dataset!E40</f>
        <v>93381.26</v>
      </c>
      <c r="F43" s="3" t="n">
        <f aca="false">Original_Dataset!F40</f>
        <v>7562</v>
      </c>
      <c r="G43" s="3" t="n">
        <f aca="false">Original_Dataset!G40</f>
        <v>0.198</v>
      </c>
      <c r="H43" s="3" t="n">
        <f aca="false">Original_Dataset!H40</f>
        <v>19</v>
      </c>
      <c r="I43" s="3" t="n">
        <f aca="false">Original_Dataset!I40</f>
        <v>82.9</v>
      </c>
      <c r="J43" s="3" t="n">
        <f aca="false">IF(ISBLANK(Original_Dataset!J40),$Q$3,Original_Dataset!J40)</f>
        <v>5.05</v>
      </c>
      <c r="K43" s="3" t="n">
        <f aca="false">Original_Dataset!K40</f>
        <v>0</v>
      </c>
      <c r="L43" s="3" t="n">
        <f aca="false">IF(ISBLANK(Original_Dataset!L40),$Q$4,Original_Dataset!L40)</f>
        <v>4</v>
      </c>
      <c r="M43" s="3" t="n">
        <f aca="false">Original_Dataset!M40</f>
        <v>736633.4</v>
      </c>
      <c r="N43" s="3" t="n">
        <f aca="false">Original_Dataset!N40</f>
        <v>115654.66</v>
      </c>
    </row>
    <row r="44" customFormat="false" ht="15" hidden="false" customHeight="true" outlineLevel="0" collapsed="false">
      <c r="A44" s="3" t="str">
        <f aca="false">Original_Dataset!A41</f>
        <v>STR-1010</v>
      </c>
      <c r="B44" s="4" t="n">
        <f aca="false">Original_Dataset!B41</f>
        <v>45748</v>
      </c>
      <c r="C44" s="3" t="str">
        <f aca="false">Original_Dataset!C41</f>
        <v>North</v>
      </c>
      <c r="D44" s="3" t="str">
        <f aca="false">Original_Dataset!D41</f>
        <v>Mall</v>
      </c>
      <c r="E44" s="3" t="n">
        <f aca="false">Original_Dataset!E41</f>
        <v>65012.19</v>
      </c>
      <c r="F44" s="3" t="n">
        <f aca="false">Original_Dataset!F41</f>
        <v>9598</v>
      </c>
      <c r="G44" s="3" t="n">
        <f aca="false">Original_Dataset!G41</f>
        <v>0.085</v>
      </c>
      <c r="H44" s="3" t="n">
        <f aca="false">Original_Dataset!H41</f>
        <v>24</v>
      </c>
      <c r="I44" s="3" t="n">
        <f aca="false">Original_Dataset!I41</f>
        <v>98.3</v>
      </c>
      <c r="J44" s="3" t="n">
        <f aca="false">IF(ISBLANK(Original_Dataset!J41),$Q$3,Original_Dataset!J41)</f>
        <v>0.89</v>
      </c>
      <c r="K44" s="3" t="n">
        <f aca="false">Original_Dataset!K41</f>
        <v>0</v>
      </c>
      <c r="L44" s="3" t="n">
        <f aca="false">IF(ISBLANK(Original_Dataset!L41),$Q$4,Original_Dataset!L41)</f>
        <v>3.8</v>
      </c>
      <c r="M44" s="3" t="n">
        <f aca="false">Original_Dataset!M41</f>
        <v>828623.85</v>
      </c>
      <c r="N44" s="3" t="n">
        <f aca="false">Original_Dataset!N41</f>
        <v>167320.52</v>
      </c>
    </row>
    <row r="45" customFormat="false" ht="15" hidden="false" customHeight="true" outlineLevel="0" collapsed="false">
      <c r="A45" s="3" t="str">
        <f aca="false">Original_Dataset!A42</f>
        <v>STR-1011</v>
      </c>
      <c r="B45" s="4" t="n">
        <f aca="false">Original_Dataset!B42</f>
        <v>45658</v>
      </c>
      <c r="C45" s="3" t="str">
        <f aca="false">Original_Dataset!C42</f>
        <v>East</v>
      </c>
      <c r="D45" s="3" t="str">
        <f aca="false">Original_Dataset!D42</f>
        <v>Mall</v>
      </c>
      <c r="E45" s="3" t="n">
        <f aca="false">Original_Dataset!E42</f>
        <v>40462.94</v>
      </c>
      <c r="F45" s="3" t="n">
        <f aca="false">Original_Dataset!F42</f>
        <v>3660</v>
      </c>
      <c r="G45" s="3" t="n">
        <f aca="false">Original_Dataset!G42</f>
        <v>0.218</v>
      </c>
      <c r="H45" s="3" t="n">
        <f aca="false">Original_Dataset!H42</f>
        <v>11</v>
      </c>
      <c r="I45" s="3" t="n">
        <f aca="false">Original_Dataset!I42</f>
        <v>95.2</v>
      </c>
      <c r="J45" s="3" t="n">
        <f aca="false">IF(ISBLANK(Original_Dataset!J42),$Q$3,Original_Dataset!J42)</f>
        <v>5.57</v>
      </c>
      <c r="K45" s="3" t="n">
        <f aca="false">Original_Dataset!K42</f>
        <v>0</v>
      </c>
      <c r="L45" s="3" t="n">
        <f aca="false">IF(ISBLANK(Original_Dataset!L42),$Q$4,Original_Dataset!L42)</f>
        <v>4.4</v>
      </c>
      <c r="M45" s="3" t="n">
        <f aca="false">Original_Dataset!M42</f>
        <v>592195.85</v>
      </c>
      <c r="N45" s="3" t="n">
        <f aca="false">Original_Dataset!N42</f>
        <v>92291.56</v>
      </c>
    </row>
    <row r="46" customFormat="false" ht="15" hidden="false" customHeight="true" outlineLevel="0" collapsed="false">
      <c r="A46" s="3" t="str">
        <f aca="false">Original_Dataset!A43</f>
        <v>STR-1011</v>
      </c>
      <c r="B46" s="4" t="n">
        <f aca="false">Original_Dataset!B43</f>
        <v>45689</v>
      </c>
      <c r="C46" s="3" t="str">
        <f aca="false">Original_Dataset!C43</f>
        <v>East</v>
      </c>
      <c r="D46" s="3" t="str">
        <f aca="false">Original_Dataset!D43</f>
        <v>Mall</v>
      </c>
      <c r="E46" s="3" t="n">
        <f aca="false">Original_Dataset!E43</f>
        <v>46123.88</v>
      </c>
      <c r="F46" s="3" t="n">
        <f aca="false">Original_Dataset!F43</f>
        <v>3227</v>
      </c>
      <c r="G46" s="3" t="n">
        <f aca="false">Original_Dataset!G43</f>
        <v>0.143</v>
      </c>
      <c r="H46" s="3" t="n">
        <f aca="false">Original_Dataset!H43</f>
        <v>10</v>
      </c>
      <c r="I46" s="3" t="n">
        <f aca="false">Original_Dataset!I43</f>
        <v>75.4</v>
      </c>
      <c r="J46" s="3" t="n">
        <f aca="false">IF(ISBLANK(Original_Dataset!J43),$Q$3,Original_Dataset!J43)</f>
        <v>1.06</v>
      </c>
      <c r="K46" s="3" t="n">
        <f aca="false">Original_Dataset!K43</f>
        <v>0</v>
      </c>
      <c r="L46" s="3" t="n">
        <f aca="false">IF(ISBLANK(Original_Dataset!L43),$Q$4,Original_Dataset!L43)</f>
        <v>4.4</v>
      </c>
      <c r="M46" s="3" t="n">
        <f aca="false">Original_Dataset!M43</f>
        <v>532644.46</v>
      </c>
      <c r="N46" s="3" t="n">
        <f aca="false">Original_Dataset!N43</f>
        <v>60681.32</v>
      </c>
    </row>
    <row r="47" customFormat="false" ht="15" hidden="false" customHeight="true" outlineLevel="0" collapsed="false">
      <c r="A47" s="3" t="str">
        <f aca="false">Original_Dataset!A44</f>
        <v>STR-1011</v>
      </c>
      <c r="B47" s="4" t="n">
        <f aca="false">Original_Dataset!B44</f>
        <v>45717</v>
      </c>
      <c r="C47" s="3" t="str">
        <f aca="false">Original_Dataset!C44</f>
        <v>East</v>
      </c>
      <c r="D47" s="3" t="str">
        <f aca="false">Original_Dataset!D44</f>
        <v>Mall</v>
      </c>
      <c r="E47" s="3" t="n">
        <f aca="false">Original_Dataset!E44</f>
        <v>68077.54</v>
      </c>
      <c r="F47" s="3" t="n">
        <f aca="false">Original_Dataset!F44</f>
        <v>3360</v>
      </c>
      <c r="G47" s="3" t="n">
        <f aca="false">Original_Dataset!G44</f>
        <v>0.128</v>
      </c>
      <c r="H47" s="3" t="n">
        <f aca="false">Original_Dataset!H44</f>
        <v>14</v>
      </c>
      <c r="I47" s="3" t="n">
        <f aca="false">Original_Dataset!I44</f>
        <v>88.2</v>
      </c>
      <c r="J47" s="3" t="n">
        <f aca="false">IF(ISBLANK(Original_Dataset!J44),$Q$3,Original_Dataset!J44)</f>
        <v>1.24</v>
      </c>
      <c r="K47" s="3" t="n">
        <f aca="false">Original_Dataset!K44</f>
        <v>1</v>
      </c>
      <c r="L47" s="3" t="n">
        <f aca="false">IF(ISBLANK(Original_Dataset!L44),$Q$4,Original_Dataset!L44)</f>
        <v>4</v>
      </c>
      <c r="M47" s="3" t="n">
        <f aca="false">Original_Dataset!M44</f>
        <v>657429.18</v>
      </c>
      <c r="N47" s="3" t="n">
        <f aca="false">Original_Dataset!N44</f>
        <v>88919.74</v>
      </c>
    </row>
    <row r="48" customFormat="false" ht="15" hidden="false" customHeight="true" outlineLevel="0" collapsed="false">
      <c r="A48" s="3" t="str">
        <f aca="false">Original_Dataset!A45</f>
        <v>STR-1011</v>
      </c>
      <c r="B48" s="4" t="n">
        <f aca="false">Original_Dataset!B45</f>
        <v>45748</v>
      </c>
      <c r="C48" s="3" t="str">
        <f aca="false">Original_Dataset!C45</f>
        <v>East</v>
      </c>
      <c r="D48" s="3" t="str">
        <f aca="false">Original_Dataset!D45</f>
        <v>Mall</v>
      </c>
      <c r="E48" s="3" t="n">
        <f aca="false">Original_Dataset!E45</f>
        <v>64882.14</v>
      </c>
      <c r="F48" s="3" t="n">
        <f aca="false">Original_Dataset!F45</f>
        <v>3642</v>
      </c>
      <c r="G48" s="3" t="n">
        <f aca="false">Original_Dataset!G45</f>
        <v>0.019</v>
      </c>
      <c r="H48" s="3" t="n">
        <f aca="false">Original_Dataset!H45</f>
        <v>13</v>
      </c>
      <c r="I48" s="3" t="n">
        <f aca="false">Original_Dataset!I45</f>
        <v>87.8</v>
      </c>
      <c r="J48" s="3" t="n">
        <f aca="false">IF(ISBLANK(Original_Dataset!J45),$Q$3,Original_Dataset!J45)</f>
        <v>4.52</v>
      </c>
      <c r="K48" s="3" t="n">
        <f aca="false">Original_Dataset!K45</f>
        <v>0</v>
      </c>
      <c r="L48" s="3" t="n">
        <f aca="false">IF(ISBLANK(Original_Dataset!L45),$Q$4,Original_Dataset!L45)</f>
        <v>4.2</v>
      </c>
      <c r="M48" s="3" t="n">
        <f aca="false">Original_Dataset!M45</f>
        <v>605178</v>
      </c>
      <c r="N48" s="3" t="n">
        <f aca="false">Original_Dataset!N45</f>
        <v>106958.74</v>
      </c>
    </row>
    <row r="49" customFormat="false" ht="15" hidden="false" customHeight="true" outlineLevel="0" collapsed="false">
      <c r="A49" s="3" t="str">
        <f aca="false">Original_Dataset!A46</f>
        <v>STR-1012</v>
      </c>
      <c r="B49" s="4" t="n">
        <f aca="false">Original_Dataset!B46</f>
        <v>45658</v>
      </c>
      <c r="C49" s="3" t="str">
        <f aca="false">Original_Dataset!C46</f>
        <v>West</v>
      </c>
      <c r="D49" s="3" t="str">
        <f aca="false">Original_Dataset!D46</f>
        <v>Residential</v>
      </c>
      <c r="E49" s="3" t="n">
        <f aca="false">Original_Dataset!E46</f>
        <v>138855.51</v>
      </c>
      <c r="F49" s="3" t="n">
        <f aca="false">Original_Dataset!F46</f>
        <v>5145</v>
      </c>
      <c r="G49" s="3" t="n">
        <f aca="false">Original_Dataset!G46</f>
        <v>0.06</v>
      </c>
      <c r="H49" s="3" t="n">
        <f aca="false">Original_Dataset!H46</f>
        <v>17</v>
      </c>
      <c r="I49" s="3" t="n">
        <f aca="false">Original_Dataset!I46</f>
        <v>88.2</v>
      </c>
      <c r="J49" s="3" t="n">
        <f aca="false">IF(ISBLANK(Original_Dataset!J46),$Q$3,Original_Dataset!J46)</f>
        <v>9.58</v>
      </c>
      <c r="K49" s="3" t="n">
        <f aca="false">Original_Dataset!K46</f>
        <v>0</v>
      </c>
      <c r="L49" s="3" t="n">
        <f aca="false">IF(ISBLANK(Original_Dataset!L46),$Q$4,Original_Dataset!L46)</f>
        <v>3.2</v>
      </c>
      <c r="M49" s="3" t="n">
        <f aca="false">Original_Dataset!M46</f>
        <v>595467.6</v>
      </c>
      <c r="N49" s="3" t="n">
        <f aca="false">Original_Dataset!N46</f>
        <v>104276.46</v>
      </c>
    </row>
    <row r="50" customFormat="false" ht="15" hidden="false" customHeight="true" outlineLevel="0" collapsed="false">
      <c r="A50" s="3" t="str">
        <f aca="false">Original_Dataset!A47</f>
        <v>STR-1012</v>
      </c>
      <c r="B50" s="4" t="n">
        <f aca="false">Original_Dataset!B47</f>
        <v>45689</v>
      </c>
      <c r="C50" s="3" t="str">
        <f aca="false">Original_Dataset!C47</f>
        <v>West</v>
      </c>
      <c r="D50" s="3" t="str">
        <f aca="false">Original_Dataset!D47</f>
        <v>Residential</v>
      </c>
      <c r="E50" s="3" t="n">
        <f aca="false">Original_Dataset!E47</f>
        <v>63630.21</v>
      </c>
      <c r="F50" s="3" t="n">
        <f aca="false">Original_Dataset!F47</f>
        <v>4460</v>
      </c>
      <c r="G50" s="3" t="n">
        <f aca="false">Original_Dataset!G47</f>
        <v>0.235</v>
      </c>
      <c r="H50" s="3" t="n">
        <f aca="false">Original_Dataset!H47</f>
        <v>14</v>
      </c>
      <c r="I50" s="3" t="n">
        <f aca="false">Original_Dataset!I47</f>
        <v>98.6</v>
      </c>
      <c r="J50" s="3" t="n">
        <f aca="false">IF(ISBLANK(Original_Dataset!J47),$Q$3,Original_Dataset!J47)</f>
        <v>5.52</v>
      </c>
      <c r="K50" s="3" t="n">
        <f aca="false">Original_Dataset!K47</f>
        <v>0</v>
      </c>
      <c r="L50" s="3" t="n">
        <f aca="false">IF(ISBLANK(Original_Dataset!L47),$Q$4,Original_Dataset!L47)</f>
        <v>3.5</v>
      </c>
      <c r="M50" s="3" t="n">
        <f aca="false">Original_Dataset!M47</f>
        <v>599603.4</v>
      </c>
      <c r="N50" s="3" t="n">
        <f aca="false">Original_Dataset!N47</f>
        <v>112685.12</v>
      </c>
    </row>
    <row r="51" customFormat="false" ht="15" hidden="false" customHeight="true" outlineLevel="0" collapsed="false">
      <c r="A51" s="3" t="str">
        <f aca="false">Original_Dataset!A48</f>
        <v>STR-1012</v>
      </c>
      <c r="B51" s="4" t="n">
        <f aca="false">Original_Dataset!B48</f>
        <v>45717</v>
      </c>
      <c r="C51" s="3" t="str">
        <f aca="false">Original_Dataset!C48</f>
        <v>West</v>
      </c>
      <c r="D51" s="3" t="str">
        <f aca="false">Original_Dataset!D48</f>
        <v>Residential</v>
      </c>
      <c r="E51" s="3" t="n">
        <f aca="false">Original_Dataset!E48</f>
        <v>50043.65</v>
      </c>
      <c r="F51" s="3" t="n">
        <f aca="false">Original_Dataset!F48</f>
        <v>3804</v>
      </c>
      <c r="G51" s="3" t="n">
        <f aca="false">Original_Dataset!G48</f>
        <v>0.113</v>
      </c>
      <c r="H51" s="3" t="n">
        <f aca="false">Original_Dataset!H48</f>
        <v>11</v>
      </c>
      <c r="I51" s="3" t="n">
        <f aca="false">Original_Dataset!I48</f>
        <v>90.9</v>
      </c>
      <c r="J51" s="3" t="n">
        <f aca="false">IF(ISBLANK(Original_Dataset!J48),$Q$3,Original_Dataset!J48)</f>
        <v>2.7</v>
      </c>
      <c r="K51" s="3" t="n">
        <f aca="false">Original_Dataset!K48</f>
        <v>1</v>
      </c>
      <c r="L51" s="3" t="n">
        <f aca="false">IF(ISBLANK(Original_Dataset!L48),$Q$4,Original_Dataset!L48)</f>
        <v>3.2</v>
      </c>
      <c r="M51" s="3" t="n">
        <f aca="false">Original_Dataset!M48</f>
        <v>614800.09</v>
      </c>
      <c r="N51" s="3" t="n">
        <f aca="false">Original_Dataset!N48</f>
        <v>100044.2</v>
      </c>
    </row>
    <row r="52" customFormat="false" ht="15" hidden="false" customHeight="true" outlineLevel="0" collapsed="false">
      <c r="A52" s="3" t="str">
        <f aca="false">Original_Dataset!A49</f>
        <v>STR-1012</v>
      </c>
      <c r="B52" s="4" t="n">
        <f aca="false">Original_Dataset!B49</f>
        <v>45748</v>
      </c>
      <c r="C52" s="3" t="str">
        <f aca="false">Original_Dataset!C49</f>
        <v>West</v>
      </c>
      <c r="D52" s="3" t="str">
        <f aca="false">Original_Dataset!D49</f>
        <v>Residential</v>
      </c>
      <c r="E52" s="3" t="n">
        <f aca="false">Original_Dataset!E49</f>
        <v>42093.84</v>
      </c>
      <c r="F52" s="3" t="n">
        <f aca="false">Original_Dataset!F49</f>
        <v>4074</v>
      </c>
      <c r="G52" s="3" t="n">
        <f aca="false">Original_Dataset!G49</f>
        <v>0.155</v>
      </c>
      <c r="H52" s="3" t="n">
        <f aca="false">Original_Dataset!H49</f>
        <v>15</v>
      </c>
      <c r="I52" s="3" t="n">
        <f aca="false">Original_Dataset!I49</f>
        <v>88</v>
      </c>
      <c r="J52" s="3" t="n">
        <f aca="false">IF(ISBLANK(Original_Dataset!J49),$Q$3,Original_Dataset!J49)</f>
        <v>9.64</v>
      </c>
      <c r="K52" s="3" t="n">
        <f aca="false">Original_Dataset!K49</f>
        <v>0</v>
      </c>
      <c r="L52" s="3" t="n">
        <f aca="false">IF(ISBLANK(Original_Dataset!L49),$Q$4,Original_Dataset!L49)</f>
        <v>3.3</v>
      </c>
      <c r="M52" s="3" t="n">
        <f aca="false">Original_Dataset!M49</f>
        <v>585365.73</v>
      </c>
      <c r="N52" s="3" t="n">
        <f aca="false">Original_Dataset!N49</f>
        <v>81011.52</v>
      </c>
    </row>
    <row r="53" customFormat="false" ht="15" hidden="false" customHeight="true" outlineLevel="0" collapsed="false">
      <c r="A53" s="3" t="str">
        <f aca="false">Original_Dataset!A50</f>
        <v>STR-1013</v>
      </c>
      <c r="B53" s="4" t="n">
        <f aca="false">Original_Dataset!B50</f>
        <v>45658</v>
      </c>
      <c r="C53" s="3" t="str">
        <f aca="false">Original_Dataset!C50</f>
        <v>North</v>
      </c>
      <c r="D53" s="3" t="str">
        <f aca="false">Original_Dataset!D50</f>
        <v>Mall</v>
      </c>
      <c r="E53" s="3" t="n">
        <f aca="false">Original_Dataset!E50</f>
        <v>46624.05</v>
      </c>
      <c r="F53" s="3" t="n">
        <f aca="false">Original_Dataset!F50</f>
        <v>5104</v>
      </c>
      <c r="G53" s="3" t="n">
        <f aca="false">Original_Dataset!G50</f>
        <v>0.109</v>
      </c>
      <c r="H53" s="3" t="n">
        <f aca="false">Original_Dataset!H50</f>
        <v>11</v>
      </c>
      <c r="I53" s="3" t="n">
        <f aca="false">Original_Dataset!I50</f>
        <v>97.3</v>
      </c>
      <c r="J53" s="3" t="n">
        <f aca="false">IF(ISBLANK(Original_Dataset!J50),$Q$3,Original_Dataset!J50)</f>
        <v>3.49</v>
      </c>
      <c r="K53" s="3" t="n">
        <f aca="false">Original_Dataset!K50</f>
        <v>1</v>
      </c>
      <c r="L53" s="3" t="n">
        <f aca="false">IF(ISBLANK(Original_Dataset!L50),$Q$4,Original_Dataset!L50)</f>
        <v>4.7</v>
      </c>
      <c r="M53" s="3" t="n">
        <f aca="false">Original_Dataset!M50</f>
        <v>622811.74</v>
      </c>
      <c r="N53" s="3" t="n">
        <f aca="false">Original_Dataset!N50</f>
        <v>109978.35</v>
      </c>
    </row>
    <row r="54" customFormat="false" ht="15" hidden="false" customHeight="true" outlineLevel="0" collapsed="false">
      <c r="A54" s="3" t="str">
        <f aca="false">Original_Dataset!A51</f>
        <v>STR-1013</v>
      </c>
      <c r="B54" s="4" t="n">
        <f aca="false">Original_Dataset!B51</f>
        <v>45689</v>
      </c>
      <c r="C54" s="3" t="str">
        <f aca="false">Original_Dataset!C51</f>
        <v>North</v>
      </c>
      <c r="D54" s="3" t="str">
        <f aca="false">Original_Dataset!D51</f>
        <v>Mall</v>
      </c>
      <c r="E54" s="3" t="n">
        <f aca="false">Original_Dataset!E51</f>
        <v>49710.29</v>
      </c>
      <c r="F54" s="3" t="n">
        <f aca="false">Original_Dataset!F51</f>
        <v>5559</v>
      </c>
      <c r="G54" s="3" t="n">
        <f aca="false">Original_Dataset!G51</f>
        <v>0.218</v>
      </c>
      <c r="H54" s="3" t="n">
        <f aca="false">Original_Dataset!H51</f>
        <v>14</v>
      </c>
      <c r="I54" s="3" t="n">
        <f aca="false">Original_Dataset!I51</f>
        <v>71</v>
      </c>
      <c r="J54" s="3" t="n">
        <f aca="false">IF(ISBLANK(Original_Dataset!J51),$Q$3,Original_Dataset!J51)</f>
        <v>9.11</v>
      </c>
      <c r="K54" s="3" t="n">
        <f aca="false">Original_Dataset!K51</f>
        <v>0</v>
      </c>
      <c r="L54" s="3" t="n">
        <f aca="false">IF(ISBLANK(Original_Dataset!L51),$Q$4,Original_Dataset!L51)</f>
        <v>4.6</v>
      </c>
      <c r="M54" s="3" t="n">
        <f aca="false">Original_Dataset!M51</f>
        <v>603297.57</v>
      </c>
      <c r="N54" s="3" t="n">
        <f aca="false">Original_Dataset!N51</f>
        <v>60592.26</v>
      </c>
    </row>
    <row r="55" customFormat="false" ht="15" hidden="false" customHeight="true" outlineLevel="0" collapsed="false">
      <c r="A55" s="3" t="str">
        <f aca="false">Original_Dataset!A52</f>
        <v>STR-1013</v>
      </c>
      <c r="B55" s="4" t="n">
        <f aca="false">Original_Dataset!B52</f>
        <v>45717</v>
      </c>
      <c r="C55" s="3" t="str">
        <f aca="false">Original_Dataset!C52</f>
        <v>North</v>
      </c>
      <c r="D55" s="3" t="str">
        <f aca="false">Original_Dataset!D52</f>
        <v>Mall</v>
      </c>
      <c r="E55" s="3" t="n">
        <f aca="false">Original_Dataset!E52</f>
        <v>48287.85</v>
      </c>
      <c r="F55" s="3" t="n">
        <f aca="false">Original_Dataset!F52</f>
        <v>5150</v>
      </c>
      <c r="G55" s="3" t="n">
        <f aca="false">Original_Dataset!G52</f>
        <v>0.008</v>
      </c>
      <c r="H55" s="3" t="n">
        <f aca="false">Original_Dataset!H52</f>
        <v>12</v>
      </c>
      <c r="I55" s="3" t="n">
        <f aca="false">Original_Dataset!I52</f>
        <v>80.4</v>
      </c>
      <c r="J55" s="3" t="n">
        <f aca="false">IF(ISBLANK(Original_Dataset!J52),$Q$3,Original_Dataset!J52)</f>
        <v>7.4</v>
      </c>
      <c r="K55" s="3" t="n">
        <f aca="false">Original_Dataset!K52</f>
        <v>0</v>
      </c>
      <c r="L55" s="3" t="n">
        <f aca="false">IF(ISBLANK(Original_Dataset!L52),$Q$4,Original_Dataset!L52)</f>
        <v>4.5</v>
      </c>
      <c r="M55" s="3" t="n">
        <f aca="false">Original_Dataset!M52</f>
        <v>625672.86</v>
      </c>
      <c r="N55" s="3" t="n">
        <f aca="false">Original_Dataset!N52</f>
        <v>118020.12</v>
      </c>
    </row>
    <row r="56" customFormat="false" ht="15" hidden="false" customHeight="true" outlineLevel="0" collapsed="false">
      <c r="A56" s="3" t="str">
        <f aca="false">Original_Dataset!A53</f>
        <v>STR-1013</v>
      </c>
      <c r="B56" s="4" t="n">
        <f aca="false">Original_Dataset!B53</f>
        <v>45748</v>
      </c>
      <c r="C56" s="3" t="str">
        <f aca="false">Original_Dataset!C53</f>
        <v>North</v>
      </c>
      <c r="D56" s="3" t="str">
        <f aca="false">Original_Dataset!D53</f>
        <v>Mall</v>
      </c>
      <c r="E56" s="3" t="n">
        <f aca="false">Original_Dataset!E53</f>
        <v>65312.49</v>
      </c>
      <c r="F56" s="3" t="n">
        <f aca="false">Original_Dataset!F53</f>
        <v>7189</v>
      </c>
      <c r="G56" s="3" t="n">
        <f aca="false">Original_Dataset!G53</f>
        <v>0.05</v>
      </c>
      <c r="H56" s="3" t="n">
        <f aca="false">Original_Dataset!H53</f>
        <v>19</v>
      </c>
      <c r="I56" s="3" t="n">
        <f aca="false">Original_Dataset!I53</f>
        <v>93.7</v>
      </c>
      <c r="J56" s="3" t="n">
        <f aca="false">IF(ISBLANK(Original_Dataset!J53),$Q$3,Original_Dataset!J53)</f>
        <v>7.16</v>
      </c>
      <c r="K56" s="3" t="n">
        <f aca="false">Original_Dataset!K53</f>
        <v>0</v>
      </c>
      <c r="L56" s="3" t="n">
        <f aca="false">IF(ISBLANK(Original_Dataset!L53),$Q$4,Original_Dataset!L53)</f>
        <v>4.6</v>
      </c>
      <c r="M56" s="3" t="n">
        <f aca="false">Original_Dataset!M53</f>
        <v>773815.14</v>
      </c>
      <c r="N56" s="3" t="n">
        <f aca="false">Original_Dataset!N53</f>
        <v>133948.39</v>
      </c>
    </row>
    <row r="57" customFormat="false" ht="15" hidden="false" customHeight="true" outlineLevel="0" collapsed="false">
      <c r="A57" s="3" t="str">
        <f aca="false">Original_Dataset!A54</f>
        <v>STR-1014</v>
      </c>
      <c r="B57" s="4" t="n">
        <f aca="false">Original_Dataset!B54</f>
        <v>45658</v>
      </c>
      <c r="C57" s="3" t="str">
        <f aca="false">Original_Dataset!C54</f>
        <v>West</v>
      </c>
      <c r="D57" s="3" t="str">
        <f aca="false">Original_Dataset!D54</f>
        <v>High Street</v>
      </c>
      <c r="E57" s="3" t="n">
        <f aca="false">Original_Dataset!E54</f>
        <v>53015.46</v>
      </c>
      <c r="F57" s="3" t="n">
        <f aca="false">Original_Dataset!F54</f>
        <v>3279</v>
      </c>
      <c r="G57" s="3" t="n">
        <f aca="false">Original_Dataset!G54</f>
        <v>0.087</v>
      </c>
      <c r="H57" s="3" t="n">
        <f aca="false">Original_Dataset!H54</f>
        <v>9</v>
      </c>
      <c r="I57" s="3" t="n">
        <f aca="false">Original_Dataset!I54</f>
        <v>84.3</v>
      </c>
      <c r="J57" s="3" t="n">
        <f aca="false">IF(ISBLANK(Original_Dataset!J54),$Q$3,Original_Dataset!J54)</f>
        <v>22.02</v>
      </c>
      <c r="K57" s="3" t="n">
        <f aca="false">Original_Dataset!K54</f>
        <v>0</v>
      </c>
      <c r="L57" s="3" t="n">
        <f aca="false">IF(ISBLANK(Original_Dataset!L54),$Q$4,Original_Dataset!L54)</f>
        <v>3.9</v>
      </c>
      <c r="M57" s="3" t="n">
        <f aca="false">Original_Dataset!M54</f>
        <v>463534.25</v>
      </c>
      <c r="N57" s="3" t="n">
        <f aca="false">Original_Dataset!N54</f>
        <v>81834.54</v>
      </c>
    </row>
    <row r="58" customFormat="false" ht="15" hidden="false" customHeight="true" outlineLevel="0" collapsed="false">
      <c r="A58" s="3" t="str">
        <f aca="false">Original_Dataset!A55</f>
        <v>STR-1014</v>
      </c>
      <c r="B58" s="4" t="n">
        <f aca="false">Original_Dataset!B55</f>
        <v>45689</v>
      </c>
      <c r="C58" s="3" t="str">
        <f aca="false">Original_Dataset!C55</f>
        <v>West</v>
      </c>
      <c r="D58" s="3" t="str">
        <f aca="false">Original_Dataset!D55</f>
        <v>High Street</v>
      </c>
      <c r="E58" s="3" t="n">
        <f aca="false">Original_Dataset!E55</f>
        <v>99874.01</v>
      </c>
      <c r="F58" s="3" t="n">
        <f aca="false">Original_Dataset!F55</f>
        <v>5887</v>
      </c>
      <c r="G58" s="3" t="n">
        <f aca="false">Original_Dataset!G55</f>
        <v>0.262</v>
      </c>
      <c r="H58" s="3" t="n">
        <f aca="false">Original_Dataset!H55</f>
        <v>14</v>
      </c>
      <c r="I58" s="3" t="n">
        <f aca="false">Original_Dataset!I55</f>
        <v>88.7</v>
      </c>
      <c r="J58" s="3" t="n">
        <f aca="false">IF(ISBLANK(Original_Dataset!J55),$Q$3,Original_Dataset!J55)</f>
        <v>6.18</v>
      </c>
      <c r="K58" s="3" t="n">
        <f aca="false">Original_Dataset!K55</f>
        <v>0</v>
      </c>
      <c r="L58" s="3" t="n">
        <f aca="false">IF(ISBLANK(Original_Dataset!L55),$Q$4,Original_Dataset!L55)</f>
        <v>4.7</v>
      </c>
      <c r="M58" s="3" t="n">
        <f aca="false">Original_Dataset!M55</f>
        <v>746677.75</v>
      </c>
      <c r="N58" s="3" t="n">
        <f aca="false">Original_Dataset!N55</f>
        <v>122437.84</v>
      </c>
    </row>
    <row r="59" customFormat="false" ht="15" hidden="false" customHeight="true" outlineLevel="0" collapsed="false">
      <c r="A59" s="3" t="str">
        <f aca="false">Original_Dataset!A56</f>
        <v>STR-1014</v>
      </c>
      <c r="B59" s="4" t="n">
        <f aca="false">Original_Dataset!B56</f>
        <v>45717</v>
      </c>
      <c r="C59" s="3" t="str">
        <f aca="false">Original_Dataset!C56</f>
        <v>West</v>
      </c>
      <c r="D59" s="3" t="str">
        <f aca="false">Original_Dataset!D56</f>
        <v>High Street</v>
      </c>
      <c r="E59" s="3" t="n">
        <f aca="false">Original_Dataset!E56</f>
        <v>81195.5</v>
      </c>
      <c r="F59" s="3" t="n">
        <f aca="false">Original_Dataset!F56</f>
        <v>5516</v>
      </c>
      <c r="G59" s="3" t="n">
        <f aca="false">Original_Dataset!G56</f>
        <v>0.106</v>
      </c>
      <c r="H59" s="3" t="n">
        <f aca="false">Original_Dataset!H56</f>
        <v>14</v>
      </c>
      <c r="I59" s="3" t="n">
        <f aca="false">Original_Dataset!I56</f>
        <v>88</v>
      </c>
      <c r="J59" s="3" t="n">
        <f aca="false">IF(ISBLANK(Original_Dataset!J56),$Q$3,Original_Dataset!J56)</f>
        <v>1.76</v>
      </c>
      <c r="K59" s="3" t="n">
        <f aca="false">Original_Dataset!K56</f>
        <v>0</v>
      </c>
      <c r="L59" s="3" t="n">
        <f aca="false">IF(ISBLANK(Original_Dataset!L56),$Q$4,Original_Dataset!L56)</f>
        <v>4.3</v>
      </c>
      <c r="M59" s="3" t="n">
        <f aca="false">Original_Dataset!M56</f>
        <v>720852.5</v>
      </c>
      <c r="N59" s="3" t="n">
        <f aca="false">Original_Dataset!N56</f>
        <v>98565.62</v>
      </c>
    </row>
    <row r="60" customFormat="false" ht="15" hidden="false" customHeight="true" outlineLevel="0" collapsed="false">
      <c r="A60" s="3" t="str">
        <f aca="false">Original_Dataset!A57</f>
        <v>STR-1014</v>
      </c>
      <c r="B60" s="4" t="n">
        <f aca="false">Original_Dataset!B57</f>
        <v>45748</v>
      </c>
      <c r="C60" s="3" t="str">
        <f aca="false">Original_Dataset!C57</f>
        <v>West</v>
      </c>
      <c r="D60" s="3" t="str">
        <f aca="false">Original_Dataset!D57</f>
        <v>High Street</v>
      </c>
      <c r="E60" s="3" t="n">
        <f aca="false">Original_Dataset!E57</f>
        <v>27808.6</v>
      </c>
      <c r="F60" s="3" t="n">
        <f aca="false">Original_Dataset!F57</f>
        <v>2863</v>
      </c>
      <c r="G60" s="3" t="n">
        <f aca="false">Original_Dataset!G57</f>
        <v>0.08</v>
      </c>
      <c r="H60" s="3" t="n">
        <f aca="false">Original_Dataset!H57</f>
        <v>13</v>
      </c>
      <c r="I60" s="3" t="n">
        <f aca="false">Original_Dataset!I57</f>
        <v>89.3</v>
      </c>
      <c r="J60" s="3" t="n">
        <f aca="false">IF(ISBLANK(Original_Dataset!J57),$Q$3,Original_Dataset!J57)</f>
        <v>0.47</v>
      </c>
      <c r="K60" s="3" t="n">
        <f aca="false">Original_Dataset!K57</f>
        <v>0</v>
      </c>
      <c r="L60" s="3" t="n">
        <f aca="false">IF(ISBLANK(Original_Dataset!L57),$Q$4,Original_Dataset!L57)</f>
        <v>4.1</v>
      </c>
      <c r="M60" s="3" t="n">
        <f aca="false">Original_Dataset!M57</f>
        <v>487464.91</v>
      </c>
      <c r="N60" s="3" t="n">
        <f aca="false">Original_Dataset!N57</f>
        <v>64562.26</v>
      </c>
    </row>
    <row r="61" customFormat="false" ht="15" hidden="false" customHeight="true" outlineLevel="0" collapsed="false">
      <c r="A61" s="3" t="str">
        <f aca="false">Original_Dataset!A58</f>
        <v>STR-1015</v>
      </c>
      <c r="B61" s="4" t="n">
        <f aca="false">Original_Dataset!B58</f>
        <v>45658</v>
      </c>
      <c r="C61" s="3" t="str">
        <f aca="false">Original_Dataset!C58</f>
        <v>East</v>
      </c>
      <c r="D61" s="3" t="str">
        <f aca="false">Original_Dataset!D58</f>
        <v>Airport</v>
      </c>
      <c r="E61" s="3" t="n">
        <f aca="false">Original_Dataset!E58</f>
        <v>19365.06</v>
      </c>
      <c r="F61" s="3" t="n">
        <f aca="false">Original_Dataset!F58</f>
        <v>2378</v>
      </c>
      <c r="G61" s="3" t="n">
        <f aca="false">Original_Dataset!G58</f>
        <v>0</v>
      </c>
      <c r="H61" s="3" t="n">
        <f aca="false">Original_Dataset!H58</f>
        <v>12</v>
      </c>
      <c r="I61" s="3" t="n">
        <f aca="false">Original_Dataset!I58</f>
        <v>94.8</v>
      </c>
      <c r="J61" s="3" t="n">
        <f aca="false">IF(ISBLANK(Original_Dataset!J58),$Q$3,Original_Dataset!J58)</f>
        <v>0.2</v>
      </c>
      <c r="K61" s="3" t="n">
        <f aca="false">Original_Dataset!K58</f>
        <v>0</v>
      </c>
      <c r="L61" s="3" t="n">
        <f aca="false">IF(ISBLANK(Original_Dataset!L58),$Q$4,Original_Dataset!L58)</f>
        <v>3.5</v>
      </c>
      <c r="M61" s="3" t="n">
        <f aca="false">Original_Dataset!M58</f>
        <v>518049.26</v>
      </c>
      <c r="N61" s="3" t="n">
        <f aca="false">Original_Dataset!N58</f>
        <v>108592.49</v>
      </c>
    </row>
    <row r="62" customFormat="false" ht="15" hidden="false" customHeight="true" outlineLevel="0" collapsed="false">
      <c r="A62" s="3" t="str">
        <f aca="false">Original_Dataset!A59</f>
        <v>STR-1015</v>
      </c>
      <c r="B62" s="4" t="n">
        <f aca="false">Original_Dataset!B59</f>
        <v>45689</v>
      </c>
      <c r="C62" s="3" t="str">
        <f aca="false">Original_Dataset!C59</f>
        <v>East</v>
      </c>
      <c r="D62" s="3" t="str">
        <f aca="false">Original_Dataset!D59</f>
        <v>Airport</v>
      </c>
      <c r="E62" s="3" t="n">
        <f aca="false">Original_Dataset!E59</f>
        <v>59405.68</v>
      </c>
      <c r="F62" s="3" t="n">
        <f aca="false">Original_Dataset!F59</f>
        <v>2515</v>
      </c>
      <c r="G62" s="3" t="n">
        <f aca="false">Original_Dataset!G59</f>
        <v>0.039</v>
      </c>
      <c r="H62" s="3" t="n">
        <f aca="false">Original_Dataset!H59</f>
        <v>12</v>
      </c>
      <c r="I62" s="3" t="n">
        <f aca="false">Original_Dataset!I59</f>
        <v>76</v>
      </c>
      <c r="J62" s="3" t="n">
        <f aca="false">IF(ISBLANK(Original_Dataset!J59),$Q$3,Original_Dataset!J59)</f>
        <v>5.11</v>
      </c>
      <c r="K62" s="3" t="n">
        <f aca="false">Original_Dataset!K59</f>
        <v>0</v>
      </c>
      <c r="L62" s="3" t="n">
        <f aca="false">IF(ISBLANK(Original_Dataset!L59),$Q$4,Original_Dataset!L59)</f>
        <v>3.7</v>
      </c>
      <c r="M62" s="3" t="n">
        <f aca="false">Original_Dataset!M59</f>
        <v>500298.48</v>
      </c>
      <c r="N62" s="3" t="n">
        <f aca="false">Original_Dataset!N59</f>
        <v>73461.32</v>
      </c>
    </row>
    <row r="63" customFormat="false" ht="15" hidden="false" customHeight="true" outlineLevel="0" collapsed="false">
      <c r="A63" s="3" t="str">
        <f aca="false">Original_Dataset!A60</f>
        <v>STR-1015</v>
      </c>
      <c r="B63" s="4" t="n">
        <f aca="false">Original_Dataset!B60</f>
        <v>45717</v>
      </c>
      <c r="C63" s="3" t="str">
        <f aca="false">Original_Dataset!C60</f>
        <v>East</v>
      </c>
      <c r="D63" s="3" t="str">
        <f aca="false">Original_Dataset!D60</f>
        <v>Airport</v>
      </c>
      <c r="E63" s="3" t="n">
        <f aca="false">Original_Dataset!E60</f>
        <v>118910.48</v>
      </c>
      <c r="F63" s="3" t="n">
        <f aca="false">Original_Dataset!F60</f>
        <v>4022</v>
      </c>
      <c r="G63" s="3" t="n">
        <f aca="false">Original_Dataset!G60</f>
        <v>0.137</v>
      </c>
      <c r="H63" s="3" t="n">
        <f aca="false">Original_Dataset!H60</f>
        <v>11</v>
      </c>
      <c r="I63" s="3" t="n">
        <f aca="false">Original_Dataset!I60</f>
        <v>87.1</v>
      </c>
      <c r="J63" s="3" t="n">
        <f aca="false">IF(ISBLANK(Original_Dataset!J60),$Q$3,Original_Dataset!J60)</f>
        <v>0.2</v>
      </c>
      <c r="K63" s="3" t="n">
        <f aca="false">Original_Dataset!K60</f>
        <v>0</v>
      </c>
      <c r="L63" s="3" t="n">
        <f aca="false">IF(ISBLANK(Original_Dataset!L60),$Q$4,Original_Dataset!L60)</f>
        <v>3.1</v>
      </c>
      <c r="M63" s="3" t="n">
        <f aca="false">Original_Dataset!M60</f>
        <v>617291.15</v>
      </c>
      <c r="N63" s="3" t="n">
        <f aca="false">Original_Dataset!N60</f>
        <v>117782</v>
      </c>
    </row>
    <row r="64" customFormat="false" ht="15" hidden="false" customHeight="true" outlineLevel="0" collapsed="false">
      <c r="A64" s="3" t="str">
        <f aca="false">Original_Dataset!A61</f>
        <v>STR-1015</v>
      </c>
      <c r="B64" s="4" t="n">
        <f aca="false">Original_Dataset!B61</f>
        <v>45748</v>
      </c>
      <c r="C64" s="3" t="str">
        <f aca="false">Original_Dataset!C61</f>
        <v>East</v>
      </c>
      <c r="D64" s="3" t="str">
        <f aca="false">Original_Dataset!D61</f>
        <v>Airport</v>
      </c>
      <c r="E64" s="3" t="n">
        <f aca="false">Original_Dataset!E61</f>
        <v>52952.12</v>
      </c>
      <c r="F64" s="3" t="n">
        <f aca="false">Original_Dataset!F61</f>
        <v>4377</v>
      </c>
      <c r="G64" s="3" t="n">
        <f aca="false">Original_Dataset!G61</f>
        <v>0.092</v>
      </c>
      <c r="H64" s="3" t="n">
        <f aca="false">Original_Dataset!H61</f>
        <v>14</v>
      </c>
      <c r="I64" s="3" t="n">
        <f aca="false">Original_Dataset!I61</f>
        <v>88.6</v>
      </c>
      <c r="J64" s="3" t="n">
        <f aca="false">IF(ISBLANK(Original_Dataset!J61),$Q$3,Original_Dataset!J61)</f>
        <v>13.59</v>
      </c>
      <c r="K64" s="3" t="n">
        <f aca="false">Original_Dataset!K61</f>
        <v>0</v>
      </c>
      <c r="L64" s="3" t="n">
        <f aca="false">IF(ISBLANK(Original_Dataset!L61),$Q$4,Original_Dataset!L61)</f>
        <v>3.1</v>
      </c>
      <c r="M64" s="3" t="n">
        <f aca="false">Original_Dataset!M61</f>
        <v>553756.43</v>
      </c>
      <c r="N64" s="3" t="n">
        <f aca="false">Original_Dataset!N61</f>
        <v>86166.77</v>
      </c>
    </row>
    <row r="65" customFormat="false" ht="15" hidden="false" customHeight="true" outlineLevel="0" collapsed="false">
      <c r="A65" s="3" t="str">
        <f aca="false">Original_Dataset!A62</f>
        <v>STR-1016</v>
      </c>
      <c r="B65" s="4" t="n">
        <f aca="false">Original_Dataset!B62</f>
        <v>45658</v>
      </c>
      <c r="C65" s="3" t="str">
        <f aca="false">Original_Dataset!C62</f>
        <v>South</v>
      </c>
      <c r="D65" s="3" t="str">
        <f aca="false">Original_Dataset!D62</f>
        <v>High Street</v>
      </c>
      <c r="E65" s="3" t="n">
        <f aca="false">Original_Dataset!E62</f>
        <v>74907.98</v>
      </c>
      <c r="F65" s="3" t="n">
        <f aca="false">Original_Dataset!F62</f>
        <v>5306</v>
      </c>
      <c r="G65" s="3" t="n">
        <f aca="false">Original_Dataset!G62</f>
        <v>0.062</v>
      </c>
      <c r="H65" s="3" t="n">
        <f aca="false">Original_Dataset!H62</f>
        <v>16</v>
      </c>
      <c r="I65" s="3" t="n">
        <f aca="false">Original_Dataset!I62</f>
        <v>95.6</v>
      </c>
      <c r="J65" s="3" t="n">
        <f aca="false">IF(ISBLANK(Original_Dataset!J62),$Q$3,Original_Dataset!J62)</f>
        <v>1.02</v>
      </c>
      <c r="K65" s="3" t="n">
        <f aca="false">Original_Dataset!K62</f>
        <v>0</v>
      </c>
      <c r="L65" s="3" t="n">
        <f aca="false">IF(ISBLANK(Original_Dataset!L62),$Q$4,Original_Dataset!L62)</f>
        <v>3.7</v>
      </c>
      <c r="M65" s="3" t="n">
        <f aca="false">Original_Dataset!M62</f>
        <v>749559.71</v>
      </c>
      <c r="N65" s="3" t="n">
        <f aca="false">Original_Dataset!N62</f>
        <v>144522.53</v>
      </c>
    </row>
    <row r="66" customFormat="false" ht="15" hidden="false" customHeight="true" outlineLevel="0" collapsed="false">
      <c r="A66" s="3" t="str">
        <f aca="false">Original_Dataset!A63</f>
        <v>STR-1016</v>
      </c>
      <c r="B66" s="4" t="n">
        <f aca="false">Original_Dataset!B63</f>
        <v>45689</v>
      </c>
      <c r="C66" s="3" t="str">
        <f aca="false">Original_Dataset!C63</f>
        <v>South</v>
      </c>
      <c r="D66" s="3" t="str">
        <f aca="false">Original_Dataset!D63</f>
        <v>High Street</v>
      </c>
      <c r="E66" s="3" t="n">
        <f aca="false">Original_Dataset!E63</f>
        <v>37284.66</v>
      </c>
      <c r="F66" s="3" t="n">
        <f aca="false">Original_Dataset!F63</f>
        <v>3928</v>
      </c>
      <c r="G66" s="3" t="n">
        <f aca="false">Original_Dataset!G63</f>
        <v>0.074</v>
      </c>
      <c r="H66" s="3" t="n">
        <f aca="false">Original_Dataset!H63</f>
        <v>12</v>
      </c>
      <c r="I66" s="3" t="n">
        <f aca="false">Original_Dataset!I63</f>
        <v>86.5</v>
      </c>
      <c r="J66" s="3" t="n">
        <f aca="false">IF(ISBLANK(Original_Dataset!J63),$Q$3,Original_Dataset!J63)</f>
        <v>1.64</v>
      </c>
      <c r="K66" s="3" t="n">
        <f aca="false">Original_Dataset!K63</f>
        <v>0</v>
      </c>
      <c r="L66" s="3" t="n">
        <f aca="false">IF(ISBLANK(Original_Dataset!L63),$Q$4,Original_Dataset!L63)</f>
        <v>3.8</v>
      </c>
      <c r="M66" s="3" t="n">
        <f aca="false">Original_Dataset!M63</f>
        <v>615966.48</v>
      </c>
      <c r="N66" s="3" t="n">
        <f aca="false">Original_Dataset!N63</f>
        <v>91509.38</v>
      </c>
    </row>
    <row r="67" customFormat="false" ht="15" hidden="false" customHeight="true" outlineLevel="0" collapsed="false">
      <c r="A67" s="3" t="str">
        <f aca="false">Original_Dataset!A64</f>
        <v>STR-1016</v>
      </c>
      <c r="B67" s="4" t="n">
        <f aca="false">Original_Dataset!B64</f>
        <v>45717</v>
      </c>
      <c r="C67" s="3" t="str">
        <f aca="false">Original_Dataset!C64</f>
        <v>South</v>
      </c>
      <c r="D67" s="3" t="str">
        <f aca="false">Original_Dataset!D64</f>
        <v>High Street</v>
      </c>
      <c r="E67" s="3" t="n">
        <f aca="false">Original_Dataset!E64</f>
        <v>50343.19</v>
      </c>
      <c r="F67" s="3" t="n">
        <f aca="false">Original_Dataset!F64</f>
        <v>3845</v>
      </c>
      <c r="G67" s="3" t="n">
        <f aca="false">Original_Dataset!G64</f>
        <v>0.113</v>
      </c>
      <c r="H67" s="3" t="n">
        <f aca="false">Original_Dataset!H64</f>
        <v>9</v>
      </c>
      <c r="I67" s="3" t="n">
        <f aca="false">Original_Dataset!I64</f>
        <v>88.7</v>
      </c>
      <c r="J67" s="3" t="n">
        <f aca="false">IF(ISBLANK(Original_Dataset!J64),$Q$3,Original_Dataset!J64)</f>
        <v>5.15</v>
      </c>
      <c r="K67" s="3" t="n">
        <f aca="false">Original_Dataset!K64</f>
        <v>0</v>
      </c>
      <c r="L67" s="3" t="n">
        <f aca="false">IF(ISBLANK(Original_Dataset!L64),$Q$4,Original_Dataset!L64)</f>
        <v>3.3</v>
      </c>
      <c r="M67" s="3" t="n">
        <f aca="false">Original_Dataset!M64</f>
        <v>572011.2</v>
      </c>
      <c r="N67" s="3" t="n">
        <f aca="false">Original_Dataset!N64</f>
        <v>101409.68</v>
      </c>
    </row>
    <row r="68" customFormat="false" ht="15" hidden="false" customHeight="true" outlineLevel="0" collapsed="false">
      <c r="A68" s="3" t="str">
        <f aca="false">Original_Dataset!A65</f>
        <v>STR-1016</v>
      </c>
      <c r="B68" s="4" t="n">
        <f aca="false">Original_Dataset!B65</f>
        <v>45748</v>
      </c>
      <c r="C68" s="3" t="str">
        <f aca="false">Original_Dataset!C65</f>
        <v>South</v>
      </c>
      <c r="D68" s="3" t="str">
        <f aca="false">Original_Dataset!D65</f>
        <v>High Street</v>
      </c>
      <c r="E68" s="3" t="n">
        <f aca="false">Original_Dataset!E65</f>
        <v>74954.47</v>
      </c>
      <c r="F68" s="3" t="n">
        <f aca="false">Original_Dataset!F65</f>
        <v>6620</v>
      </c>
      <c r="G68" s="3" t="n">
        <f aca="false">Original_Dataset!G65</f>
        <v>0.054</v>
      </c>
      <c r="H68" s="3" t="n">
        <f aca="false">Original_Dataset!H65</f>
        <v>17</v>
      </c>
      <c r="I68" s="3" t="n">
        <f aca="false">Original_Dataset!I65</f>
        <v>91.1</v>
      </c>
      <c r="J68" s="3" t="n">
        <f aca="false">IF(ISBLANK(Original_Dataset!J65),$Q$3,Original_Dataset!J65)</f>
        <v>1.11</v>
      </c>
      <c r="K68" s="3" t="n">
        <f aca="false">Original_Dataset!K65</f>
        <v>0</v>
      </c>
      <c r="L68" s="3" t="n">
        <f aca="false">IF(ISBLANK(Original_Dataset!L65),$Q$4,Original_Dataset!L65)</f>
        <v>3.5</v>
      </c>
      <c r="M68" s="3" t="n">
        <f aca="false">Original_Dataset!M65</f>
        <v>761860.19</v>
      </c>
      <c r="N68" s="3" t="n">
        <f aca="false">Original_Dataset!N65</f>
        <v>133279.38</v>
      </c>
    </row>
    <row r="69" customFormat="false" ht="15" hidden="false" customHeight="true" outlineLevel="0" collapsed="false">
      <c r="A69" s="3" t="str">
        <f aca="false">Original_Dataset!A66</f>
        <v>STR-1017</v>
      </c>
      <c r="B69" s="4" t="n">
        <f aca="false">Original_Dataset!B66</f>
        <v>45658</v>
      </c>
      <c r="C69" s="3" t="str">
        <f aca="false">Original_Dataset!C66</f>
        <v>West</v>
      </c>
      <c r="D69" s="3" t="str">
        <f aca="false">Original_Dataset!D66</f>
        <v>High Street</v>
      </c>
      <c r="E69" s="3" t="n">
        <f aca="false">Original_Dataset!E66</f>
        <v>70040.31</v>
      </c>
      <c r="F69" s="3" t="n">
        <f aca="false">Original_Dataset!F66</f>
        <v>9175</v>
      </c>
      <c r="G69" s="3" t="n">
        <f aca="false">Original_Dataset!G66</f>
        <v>0.107</v>
      </c>
      <c r="H69" s="3" t="n">
        <f aca="false">Original_Dataset!H66</f>
        <v>23</v>
      </c>
      <c r="I69" s="3" t="n">
        <f aca="false">Original_Dataset!I66</f>
        <v>95.1</v>
      </c>
      <c r="J69" s="3" t="n">
        <f aca="false">IF(ISBLANK(Original_Dataset!J66),$Q$3,Original_Dataset!J66)</f>
        <v>6.08</v>
      </c>
      <c r="K69" s="3" t="n">
        <f aca="false">Original_Dataset!K66</f>
        <v>1</v>
      </c>
      <c r="L69" s="3" t="n">
        <f aca="false">IF(ISBLANK(Original_Dataset!L66),$Q$4,Original_Dataset!L66)</f>
        <v>3.4</v>
      </c>
      <c r="M69" s="3" t="n">
        <f aca="false">Original_Dataset!M66</f>
        <v>784502.68</v>
      </c>
      <c r="N69" s="3" t="n">
        <f aca="false">Original_Dataset!N66</f>
        <v>129519.72</v>
      </c>
    </row>
    <row r="70" customFormat="false" ht="15" hidden="false" customHeight="true" outlineLevel="0" collapsed="false">
      <c r="A70" s="3" t="str">
        <f aca="false">Original_Dataset!A67</f>
        <v>STR-1017</v>
      </c>
      <c r="B70" s="4" t="n">
        <f aca="false">Original_Dataset!B67</f>
        <v>45689</v>
      </c>
      <c r="C70" s="3" t="str">
        <f aca="false">Original_Dataset!C67</f>
        <v>West</v>
      </c>
      <c r="D70" s="3" t="str">
        <f aca="false">Original_Dataset!D67</f>
        <v>High Street</v>
      </c>
      <c r="E70" s="3" t="n">
        <f aca="false">Original_Dataset!E67</f>
        <v>51148.69</v>
      </c>
      <c r="F70" s="3" t="n">
        <f aca="false">Original_Dataset!F67</f>
        <v>7940</v>
      </c>
      <c r="G70" s="3" t="n">
        <f aca="false">Original_Dataset!G67</f>
        <v>0.156</v>
      </c>
      <c r="H70" s="3" t="n">
        <f aca="false">Original_Dataset!H67</f>
        <v>18</v>
      </c>
      <c r="I70" s="3" t="n">
        <f aca="false">Original_Dataset!I67</f>
        <v>93.3</v>
      </c>
      <c r="J70" s="3" t="n">
        <f aca="false">IF(ISBLANK(Original_Dataset!J67),$Q$3,Original_Dataset!J67)</f>
        <v>10.91</v>
      </c>
      <c r="K70" s="3" t="n">
        <f aca="false">Original_Dataset!K67</f>
        <v>0</v>
      </c>
      <c r="L70" s="3" t="n">
        <f aca="false">IF(ISBLANK(Original_Dataset!L67),$Q$4,Original_Dataset!L67)</f>
        <v>3.6</v>
      </c>
      <c r="M70" s="3" t="n">
        <f aca="false">Original_Dataset!M67</f>
        <v>717141.55</v>
      </c>
      <c r="N70" s="3" t="n">
        <f aca="false">Original_Dataset!N67</f>
        <v>134013.61</v>
      </c>
    </row>
    <row r="71" customFormat="false" ht="15" hidden="false" customHeight="true" outlineLevel="0" collapsed="false">
      <c r="A71" s="3" t="str">
        <f aca="false">Original_Dataset!A68</f>
        <v>STR-1017</v>
      </c>
      <c r="B71" s="4" t="n">
        <f aca="false">Original_Dataset!B68</f>
        <v>45717</v>
      </c>
      <c r="C71" s="3" t="str">
        <f aca="false">Original_Dataset!C68</f>
        <v>West</v>
      </c>
      <c r="D71" s="3" t="str">
        <f aca="false">Original_Dataset!D68</f>
        <v>High Street</v>
      </c>
      <c r="E71" s="3" t="n">
        <f aca="false">Original_Dataset!E68</f>
        <v>79346.1</v>
      </c>
      <c r="F71" s="3" t="n">
        <f aca="false">Original_Dataset!F68</f>
        <v>9628</v>
      </c>
      <c r="G71" s="3" t="n">
        <f aca="false">Original_Dataset!G68</f>
        <v>0.102</v>
      </c>
      <c r="H71" s="3" t="n">
        <f aca="false">Original_Dataset!H68</f>
        <v>20</v>
      </c>
      <c r="I71" s="3" t="n">
        <f aca="false">Original_Dataset!I68</f>
        <v>99</v>
      </c>
      <c r="J71" s="3" t="n">
        <f aca="false">IF(ISBLANK(Original_Dataset!J68),$Q$3,Original_Dataset!J68)</f>
        <v>19.01</v>
      </c>
      <c r="K71" s="3" t="n">
        <f aca="false">Original_Dataset!K68</f>
        <v>1</v>
      </c>
      <c r="L71" s="3" t="n">
        <f aca="false">IF(ISBLANK(Original_Dataset!L68),$Q$4,Original_Dataset!L68)</f>
        <v>3.2</v>
      </c>
      <c r="M71" s="3" t="n">
        <f aca="false">Original_Dataset!M68</f>
        <v>685379.08</v>
      </c>
      <c r="N71" s="3" t="n">
        <f aca="false">Original_Dataset!N68</f>
        <v>106898.82</v>
      </c>
    </row>
    <row r="72" customFormat="false" ht="15" hidden="false" customHeight="true" outlineLevel="0" collapsed="false">
      <c r="A72" s="3" t="str">
        <f aca="false">Original_Dataset!A69</f>
        <v>STR-1017</v>
      </c>
      <c r="B72" s="4" t="n">
        <f aca="false">Original_Dataset!B69</f>
        <v>45748</v>
      </c>
      <c r="C72" s="3" t="str">
        <f aca="false">Original_Dataset!C69</f>
        <v>West</v>
      </c>
      <c r="D72" s="3" t="str">
        <f aca="false">Original_Dataset!D69</f>
        <v>High Street</v>
      </c>
      <c r="E72" s="3" t="n">
        <f aca="false">Original_Dataset!E69</f>
        <v>42018.4</v>
      </c>
      <c r="F72" s="3" t="n">
        <f aca="false">Original_Dataset!F69</f>
        <v>8296</v>
      </c>
      <c r="G72" s="3" t="n">
        <f aca="false">Original_Dataset!G69</f>
        <v>0.115</v>
      </c>
      <c r="H72" s="3" t="n">
        <f aca="false">Original_Dataset!H69</f>
        <v>17</v>
      </c>
      <c r="I72" s="3" t="n">
        <f aca="false">Original_Dataset!I69</f>
        <v>91.8</v>
      </c>
      <c r="J72" s="3" t="n">
        <f aca="false">IF(ISBLANK(Original_Dataset!J69),$Q$3,Original_Dataset!J69)</f>
        <v>0.77</v>
      </c>
      <c r="K72" s="3" t="n">
        <f aca="false">Original_Dataset!K69</f>
        <v>0</v>
      </c>
      <c r="L72" s="3" t="n">
        <f aca="false">IF(ISBLANK(Original_Dataset!L69),$Q$4,Original_Dataset!L69)</f>
        <v>3.4</v>
      </c>
      <c r="M72" s="3" t="n">
        <f aca="false">Original_Dataset!M69</f>
        <v>740496.65</v>
      </c>
      <c r="N72" s="3" t="n">
        <f aca="false">Original_Dataset!N69</f>
        <v>128020.9</v>
      </c>
    </row>
    <row r="73" customFormat="false" ht="15" hidden="false" customHeight="true" outlineLevel="0" collapsed="false">
      <c r="A73" s="3" t="str">
        <f aca="false">Original_Dataset!A70</f>
        <v>STR-1018</v>
      </c>
      <c r="B73" s="4" t="n">
        <f aca="false">Original_Dataset!B70</f>
        <v>45658</v>
      </c>
      <c r="C73" s="3" t="str">
        <f aca="false">Original_Dataset!C70</f>
        <v>East</v>
      </c>
      <c r="D73" s="3" t="str">
        <f aca="false">Original_Dataset!D70</f>
        <v>High Street</v>
      </c>
      <c r="E73" s="3" t="n">
        <f aca="false">Original_Dataset!E70</f>
        <v>70937.24</v>
      </c>
      <c r="F73" s="3" t="n">
        <f aca="false">Original_Dataset!F70</f>
        <v>3595</v>
      </c>
      <c r="G73" s="3" t="n">
        <f aca="false">Original_Dataset!G70</f>
        <v>0.141</v>
      </c>
      <c r="H73" s="3" t="n">
        <f aca="false">Original_Dataset!H70</f>
        <v>11</v>
      </c>
      <c r="I73" s="3" t="n">
        <f aca="false">Original_Dataset!I70</f>
        <v>88.9</v>
      </c>
      <c r="J73" s="3" t="n">
        <f aca="false">IF(ISBLANK(Original_Dataset!J70),$Q$3,Original_Dataset!J70)</f>
        <v>2.83</v>
      </c>
      <c r="K73" s="3" t="n">
        <f aca="false">Original_Dataset!K70</f>
        <v>1</v>
      </c>
      <c r="L73" s="3" t="n">
        <f aca="false">IF(ISBLANK(Original_Dataset!L70),$Q$4,Original_Dataset!L70)</f>
        <v>3.3</v>
      </c>
      <c r="M73" s="3" t="n">
        <f aca="false">Original_Dataset!M70</f>
        <v>661927.14</v>
      </c>
      <c r="N73" s="3" t="n">
        <f aca="false">Original_Dataset!N70</f>
        <v>79218.57</v>
      </c>
    </row>
    <row r="74" customFormat="false" ht="15" hidden="false" customHeight="true" outlineLevel="0" collapsed="false">
      <c r="A74" s="3" t="str">
        <f aca="false">Original_Dataset!A71</f>
        <v>STR-1018</v>
      </c>
      <c r="B74" s="4" t="n">
        <f aca="false">Original_Dataset!B71</f>
        <v>45689</v>
      </c>
      <c r="C74" s="3" t="str">
        <f aca="false">Original_Dataset!C71</f>
        <v>East</v>
      </c>
      <c r="D74" s="3" t="str">
        <f aca="false">Original_Dataset!D71</f>
        <v>High Street</v>
      </c>
      <c r="E74" s="3" t="n">
        <f aca="false">Original_Dataset!E71</f>
        <v>36813.45</v>
      </c>
      <c r="F74" s="3" t="n">
        <f aca="false">Original_Dataset!F71</f>
        <v>2834</v>
      </c>
      <c r="G74" s="3" t="n">
        <f aca="false">Original_Dataset!G71</f>
        <v>0.191</v>
      </c>
      <c r="H74" s="3" t="n">
        <f aca="false">Original_Dataset!H71</f>
        <v>11</v>
      </c>
      <c r="I74" s="3" t="n">
        <f aca="false">Original_Dataset!I71</f>
        <v>81.8</v>
      </c>
      <c r="J74" s="3" t="n">
        <f aca="false">IF(ISBLANK(Original_Dataset!J71),$Q$3,Original_Dataset!J71)</f>
        <v>2.33</v>
      </c>
      <c r="K74" s="3" t="n">
        <f aca="false">Original_Dataset!K71</f>
        <v>0</v>
      </c>
      <c r="L74" s="3" t="n">
        <f aca="false">IF(ISBLANK(Original_Dataset!L71),$Q$4,Original_Dataset!L71)</f>
        <v>3.3</v>
      </c>
      <c r="M74" s="3" t="n">
        <f aca="false">Original_Dataset!M71</f>
        <v>479050.5</v>
      </c>
      <c r="N74" s="3" t="n">
        <f aca="false">Original_Dataset!N71</f>
        <v>53651.11</v>
      </c>
    </row>
    <row r="75" customFormat="false" ht="15" hidden="false" customHeight="true" outlineLevel="0" collapsed="false">
      <c r="A75" s="3" t="str">
        <f aca="false">Original_Dataset!A72</f>
        <v>STR-1018</v>
      </c>
      <c r="B75" s="4" t="n">
        <f aca="false">Original_Dataset!B72</f>
        <v>45717</v>
      </c>
      <c r="C75" s="3" t="str">
        <f aca="false">Original_Dataset!C72</f>
        <v>East</v>
      </c>
      <c r="D75" s="3" t="str">
        <f aca="false">Original_Dataset!D72</f>
        <v>High Street</v>
      </c>
      <c r="E75" s="3" t="n">
        <f aca="false">Original_Dataset!E72</f>
        <v>60571.82</v>
      </c>
      <c r="F75" s="3" t="n">
        <f aca="false">Original_Dataset!F72</f>
        <v>3193</v>
      </c>
      <c r="G75" s="3" t="n">
        <f aca="false">Original_Dataset!G72</f>
        <v>0.197</v>
      </c>
      <c r="H75" s="3" t="n">
        <f aca="false">Original_Dataset!H72</f>
        <v>7</v>
      </c>
      <c r="I75" s="3" t="n">
        <f aca="false">Original_Dataset!I72</f>
        <v>99</v>
      </c>
      <c r="J75" s="3" t="n">
        <f aca="false">IF(ISBLANK(Original_Dataset!J72),$Q$3,Original_Dataset!J72)</f>
        <v>1.43</v>
      </c>
      <c r="K75" s="3" t="n">
        <f aca="false">Original_Dataset!K72</f>
        <v>0</v>
      </c>
      <c r="L75" s="3" t="n">
        <f aca="false">IF(ISBLANK(Original_Dataset!L72),$Q$4,Original_Dataset!L72)</f>
        <v>3.2</v>
      </c>
      <c r="M75" s="3" t="n">
        <f aca="false">Original_Dataset!M72</f>
        <v>605023.87</v>
      </c>
      <c r="N75" s="3" t="n">
        <f aca="false">Original_Dataset!N72</f>
        <v>98545.81</v>
      </c>
    </row>
    <row r="76" customFormat="false" ht="15" hidden="false" customHeight="true" outlineLevel="0" collapsed="false">
      <c r="A76" s="3" t="str">
        <f aca="false">Original_Dataset!A73</f>
        <v>STR-1018</v>
      </c>
      <c r="B76" s="4" t="n">
        <f aca="false">Original_Dataset!B73</f>
        <v>45748</v>
      </c>
      <c r="C76" s="3" t="str">
        <f aca="false">Original_Dataset!C73</f>
        <v>East</v>
      </c>
      <c r="D76" s="3" t="str">
        <f aca="false">Original_Dataset!D73</f>
        <v>High Street</v>
      </c>
      <c r="E76" s="3" t="n">
        <f aca="false">Original_Dataset!E73</f>
        <v>55081.16</v>
      </c>
      <c r="F76" s="3" t="n">
        <f aca="false">Original_Dataset!F73</f>
        <v>5485</v>
      </c>
      <c r="G76" s="3" t="n">
        <f aca="false">Original_Dataset!G73</f>
        <v>0.036</v>
      </c>
      <c r="H76" s="3" t="n">
        <f aca="false">Original_Dataset!H73</f>
        <v>12</v>
      </c>
      <c r="I76" s="3" t="n">
        <f aca="false">Original_Dataset!I73</f>
        <v>88</v>
      </c>
      <c r="J76" s="3" t="n">
        <f aca="false">IF(ISBLANK(Original_Dataset!J73),$Q$3,Original_Dataset!J73)</f>
        <v>3.365</v>
      </c>
      <c r="K76" s="3" t="n">
        <f aca="false">Original_Dataset!K73</f>
        <v>0</v>
      </c>
      <c r="L76" s="3" t="n">
        <f aca="false">IF(ISBLANK(Original_Dataset!L73),$Q$4,Original_Dataset!L73)</f>
        <v>3.5</v>
      </c>
      <c r="M76" s="3" t="n">
        <f aca="false">Original_Dataset!M73</f>
        <v>674774.09</v>
      </c>
      <c r="N76" s="3" t="n">
        <f aca="false">Original_Dataset!N73</f>
        <v>141917.59</v>
      </c>
    </row>
    <row r="77" customFormat="false" ht="15" hidden="false" customHeight="true" outlineLevel="0" collapsed="false">
      <c r="A77" s="3" t="str">
        <f aca="false">Original_Dataset!A74</f>
        <v>STR-1019</v>
      </c>
      <c r="B77" s="4" t="n">
        <f aca="false">Original_Dataset!B74</f>
        <v>45658</v>
      </c>
      <c r="C77" s="3" t="str">
        <f aca="false">Original_Dataset!C74</f>
        <v>East</v>
      </c>
      <c r="D77" s="3" t="str">
        <f aca="false">Original_Dataset!D74</f>
        <v>Residential</v>
      </c>
      <c r="E77" s="3" t="n">
        <f aca="false">Original_Dataset!E74</f>
        <v>46201.46</v>
      </c>
      <c r="F77" s="3" t="n">
        <f aca="false">Original_Dataset!F74</f>
        <v>5918</v>
      </c>
      <c r="G77" s="3" t="n">
        <f aca="false">Original_Dataset!G74</f>
        <v>0.277</v>
      </c>
      <c r="H77" s="3" t="n">
        <f aca="false">Original_Dataset!H74</f>
        <v>13</v>
      </c>
      <c r="I77" s="3" t="n">
        <f aca="false">Original_Dataset!I74</f>
        <v>78.8</v>
      </c>
      <c r="J77" s="3" t="n">
        <f aca="false">IF(ISBLANK(Original_Dataset!J74),$Q$3,Original_Dataset!J74)</f>
        <v>4.91</v>
      </c>
      <c r="K77" s="3" t="n">
        <f aca="false">Original_Dataset!K74</f>
        <v>0</v>
      </c>
      <c r="L77" s="3" t="n">
        <f aca="false">IF(ISBLANK(Original_Dataset!L74),$Q$4,Original_Dataset!L74)</f>
        <v>4.5</v>
      </c>
      <c r="M77" s="3" t="n">
        <f aca="false">Original_Dataset!M74</f>
        <v>616069.41</v>
      </c>
      <c r="N77" s="3" t="n">
        <f aca="false">Original_Dataset!N74</f>
        <v>54453.99</v>
      </c>
    </row>
    <row r="78" customFormat="false" ht="15" hidden="false" customHeight="true" outlineLevel="0" collapsed="false">
      <c r="A78" s="3" t="str">
        <f aca="false">Original_Dataset!A75</f>
        <v>STR-1019</v>
      </c>
      <c r="B78" s="4" t="n">
        <f aca="false">Original_Dataset!B75</f>
        <v>45689</v>
      </c>
      <c r="C78" s="3" t="str">
        <f aca="false">Original_Dataset!C75</f>
        <v>East</v>
      </c>
      <c r="D78" s="3" t="str">
        <f aca="false">Original_Dataset!D75</f>
        <v>Residential</v>
      </c>
      <c r="E78" s="3" t="n">
        <f aca="false">Original_Dataset!E75</f>
        <v>53762.92</v>
      </c>
      <c r="F78" s="3" t="n">
        <f aca="false">Original_Dataset!F75</f>
        <v>6821</v>
      </c>
      <c r="G78" s="3" t="n">
        <f aca="false">Original_Dataset!G75</f>
        <v>0.066</v>
      </c>
      <c r="H78" s="3" t="n">
        <f aca="false">Original_Dataset!H75</f>
        <v>19</v>
      </c>
      <c r="I78" s="3" t="n">
        <f aca="false">Original_Dataset!I75</f>
        <v>94.6</v>
      </c>
      <c r="J78" s="3" t="n">
        <f aca="false">IF(ISBLANK(Original_Dataset!J75),$Q$3,Original_Dataset!J75)</f>
        <v>7.03</v>
      </c>
      <c r="K78" s="3" t="n">
        <f aca="false">Original_Dataset!K75</f>
        <v>0</v>
      </c>
      <c r="L78" s="3" t="n">
        <f aca="false">IF(ISBLANK(Original_Dataset!L75),$Q$4,Original_Dataset!L75)</f>
        <v>4.4</v>
      </c>
      <c r="M78" s="3" t="n">
        <f aca="false">Original_Dataset!M75</f>
        <v>630829.94</v>
      </c>
      <c r="N78" s="3" t="n">
        <f aca="false">Original_Dataset!N75</f>
        <v>117090.02</v>
      </c>
    </row>
    <row r="79" customFormat="false" ht="15" hidden="false" customHeight="true" outlineLevel="0" collapsed="false">
      <c r="A79" s="3" t="str">
        <f aca="false">Original_Dataset!A76</f>
        <v>STR-1019</v>
      </c>
      <c r="B79" s="4" t="n">
        <f aca="false">Original_Dataset!B76</f>
        <v>45717</v>
      </c>
      <c r="C79" s="3" t="str">
        <f aca="false">Original_Dataset!C76</f>
        <v>East</v>
      </c>
      <c r="D79" s="3" t="str">
        <f aca="false">Original_Dataset!D76</f>
        <v>Residential</v>
      </c>
      <c r="E79" s="3" t="n">
        <f aca="false">Original_Dataset!E76</f>
        <v>70144.78</v>
      </c>
      <c r="F79" s="3" t="n">
        <f aca="false">Original_Dataset!F76</f>
        <v>6806</v>
      </c>
      <c r="G79" s="3" t="n">
        <f aca="false">Original_Dataset!G76</f>
        <v>0.178</v>
      </c>
      <c r="H79" s="3" t="n">
        <f aca="false">Original_Dataset!H76</f>
        <v>20</v>
      </c>
      <c r="I79" s="3" t="n">
        <f aca="false">Original_Dataset!I76</f>
        <v>93.1</v>
      </c>
      <c r="J79" s="3" t="n">
        <f aca="false">IF(ISBLANK(Original_Dataset!J76),$Q$3,Original_Dataset!J76)</f>
        <v>0.28</v>
      </c>
      <c r="K79" s="3" t="n">
        <f aca="false">Original_Dataset!K76</f>
        <v>1</v>
      </c>
      <c r="L79" s="3" t="n">
        <f aca="false">IF(ISBLANK(Original_Dataset!L76),$Q$4,Original_Dataset!L76)</f>
        <v>4.3</v>
      </c>
      <c r="M79" s="3" t="n">
        <f aca="false">Original_Dataset!M76</f>
        <v>788087.68</v>
      </c>
      <c r="N79" s="3" t="n">
        <f aca="false">Original_Dataset!N76</f>
        <v>116803.42</v>
      </c>
    </row>
    <row r="80" customFormat="false" ht="15" hidden="false" customHeight="true" outlineLevel="0" collapsed="false">
      <c r="A80" s="3" t="str">
        <f aca="false">Original_Dataset!A77</f>
        <v>STR-1019</v>
      </c>
      <c r="B80" s="4" t="n">
        <f aca="false">Original_Dataset!B77</f>
        <v>45748</v>
      </c>
      <c r="C80" s="3" t="str">
        <f aca="false">Original_Dataset!C77</f>
        <v>East</v>
      </c>
      <c r="D80" s="3" t="str">
        <f aca="false">Original_Dataset!D77</f>
        <v>Residential</v>
      </c>
      <c r="E80" s="3" t="n">
        <f aca="false">Original_Dataset!E77</f>
        <v>58749.63</v>
      </c>
      <c r="F80" s="3" t="n">
        <f aca="false">Original_Dataset!F77</f>
        <v>8252</v>
      </c>
      <c r="G80" s="3" t="n">
        <f aca="false">Original_Dataset!G77</f>
        <v>0.203</v>
      </c>
      <c r="H80" s="3" t="n">
        <f aca="false">Original_Dataset!H77</f>
        <v>20</v>
      </c>
      <c r="I80" s="3" t="n">
        <f aca="false">Original_Dataset!I77</f>
        <v>85.2</v>
      </c>
      <c r="J80" s="3" t="n">
        <f aca="false">IF(ISBLANK(Original_Dataset!J77),$Q$3,Original_Dataset!J77)</f>
        <v>3.61</v>
      </c>
      <c r="K80" s="3" t="n">
        <f aca="false">Original_Dataset!K77</f>
        <v>0</v>
      </c>
      <c r="L80" s="3" t="n">
        <f aca="false">IF(ISBLANK(Original_Dataset!L77),$Q$4,Original_Dataset!L77)</f>
        <v>4.5</v>
      </c>
      <c r="M80" s="3" t="n">
        <f aca="false">Original_Dataset!M77</f>
        <v>680840.36</v>
      </c>
      <c r="N80" s="3" t="n">
        <f aca="false">Original_Dataset!N77</f>
        <v>68007.68</v>
      </c>
    </row>
    <row r="81" customFormat="false" ht="15" hidden="false" customHeight="true" outlineLevel="0" collapsed="false">
      <c r="A81" s="3" t="str">
        <f aca="false">Original_Dataset!A78</f>
        <v>STR-1020</v>
      </c>
      <c r="B81" s="4" t="n">
        <f aca="false">Original_Dataset!B78</f>
        <v>45658</v>
      </c>
      <c r="C81" s="3" t="str">
        <f aca="false">Original_Dataset!C78</f>
        <v>South</v>
      </c>
      <c r="D81" s="3" t="str">
        <f aca="false">Original_Dataset!D78</f>
        <v>High Street</v>
      </c>
      <c r="E81" s="3" t="n">
        <f aca="false">Original_Dataset!E78</f>
        <v>56973.18</v>
      </c>
      <c r="F81" s="3" t="n">
        <f aca="false">Original_Dataset!F78</f>
        <v>6662</v>
      </c>
      <c r="G81" s="3" t="n">
        <f aca="false">Original_Dataset!G78</f>
        <v>0.1</v>
      </c>
      <c r="H81" s="3" t="n">
        <f aca="false">Original_Dataset!H78</f>
        <v>15</v>
      </c>
      <c r="I81" s="3" t="n">
        <f aca="false">Original_Dataset!I78</f>
        <v>77.7</v>
      </c>
      <c r="J81" s="3" t="n">
        <f aca="false">IF(ISBLANK(Original_Dataset!J78),$Q$3,Original_Dataset!J78)</f>
        <v>7.52</v>
      </c>
      <c r="K81" s="3" t="n">
        <f aca="false">Original_Dataset!K78</f>
        <v>1</v>
      </c>
      <c r="L81" s="3" t="n">
        <f aca="false">IF(ISBLANK(Original_Dataset!L78),$Q$4,Original_Dataset!L78)</f>
        <v>3.2</v>
      </c>
      <c r="M81" s="3" t="n">
        <f aca="false">Original_Dataset!M78</f>
        <v>643657.47</v>
      </c>
      <c r="N81" s="3" t="n">
        <f aca="false">Original_Dataset!N78</f>
        <v>87022.45</v>
      </c>
    </row>
    <row r="82" customFormat="false" ht="15" hidden="false" customHeight="true" outlineLevel="0" collapsed="false">
      <c r="A82" s="3" t="str">
        <f aca="false">Original_Dataset!A79</f>
        <v>STR-1020</v>
      </c>
      <c r="B82" s="4" t="n">
        <f aca="false">Original_Dataset!B79</f>
        <v>45689</v>
      </c>
      <c r="C82" s="3" t="str">
        <f aca="false">Original_Dataset!C79</f>
        <v>South</v>
      </c>
      <c r="D82" s="3" t="str">
        <f aca="false">Original_Dataset!D79</f>
        <v>High Street</v>
      </c>
      <c r="E82" s="3" t="n">
        <f aca="false">Original_Dataset!E79</f>
        <v>54872.82</v>
      </c>
      <c r="F82" s="3" t="n">
        <f aca="false">Original_Dataset!F79</f>
        <v>5962</v>
      </c>
      <c r="G82" s="3" t="n">
        <f aca="false">Original_Dataset!G79</f>
        <v>0.064</v>
      </c>
      <c r="H82" s="3" t="n">
        <f aca="false">Original_Dataset!H79</f>
        <v>12</v>
      </c>
      <c r="I82" s="3" t="n">
        <f aca="false">Original_Dataset!I79</f>
        <v>85.4</v>
      </c>
      <c r="J82" s="3" t="n">
        <f aca="false">IF(ISBLANK(Original_Dataset!J79),$Q$3,Original_Dataset!J79)</f>
        <v>2.58</v>
      </c>
      <c r="K82" s="3" t="n">
        <f aca="false">Original_Dataset!K79</f>
        <v>0</v>
      </c>
      <c r="L82" s="3" t="n">
        <f aca="false">IF(ISBLANK(Original_Dataset!L79),$Q$4,Original_Dataset!L79)</f>
        <v>2.9</v>
      </c>
      <c r="M82" s="3" t="n">
        <f aca="false">Original_Dataset!M79</f>
        <v>691112.6</v>
      </c>
      <c r="N82" s="3" t="n">
        <f aca="false">Original_Dataset!N79</f>
        <v>109212.83</v>
      </c>
    </row>
    <row r="83" customFormat="false" ht="15" hidden="false" customHeight="true" outlineLevel="0" collapsed="false">
      <c r="A83" s="3" t="str">
        <f aca="false">Original_Dataset!A80</f>
        <v>STR-1020</v>
      </c>
      <c r="B83" s="4" t="n">
        <f aca="false">Original_Dataset!B80</f>
        <v>45717</v>
      </c>
      <c r="C83" s="3" t="str">
        <f aca="false">Original_Dataset!C80</f>
        <v>South</v>
      </c>
      <c r="D83" s="3" t="str">
        <f aca="false">Original_Dataset!D80</f>
        <v>High Street</v>
      </c>
      <c r="E83" s="3" t="n">
        <f aca="false">Original_Dataset!E80</f>
        <v>80562.81</v>
      </c>
      <c r="F83" s="3" t="n">
        <f aca="false">Original_Dataset!F80</f>
        <v>7470</v>
      </c>
      <c r="G83" s="3" t="n">
        <f aca="false">Original_Dataset!G80</f>
        <v>0.172</v>
      </c>
      <c r="H83" s="3" t="n">
        <f aca="false">Original_Dataset!H80</f>
        <v>16</v>
      </c>
      <c r="I83" s="3" t="n">
        <f aca="false">Original_Dataset!I80</f>
        <v>83.5</v>
      </c>
      <c r="J83" s="3" t="n">
        <f aca="false">IF(ISBLANK(Original_Dataset!J80),$Q$3,Original_Dataset!J80)</f>
        <v>2.29</v>
      </c>
      <c r="K83" s="3" t="n">
        <f aca="false">Original_Dataset!K80</f>
        <v>0</v>
      </c>
      <c r="L83" s="3" t="n">
        <f aca="false">IF(ISBLANK(Original_Dataset!L80),$Q$4,Original_Dataset!L80)</f>
        <v>3.3</v>
      </c>
      <c r="M83" s="3" t="n">
        <f aca="false">Original_Dataset!M80</f>
        <v>776922.17</v>
      </c>
      <c r="N83" s="3" t="n">
        <f aca="false">Original_Dataset!N80</f>
        <v>150701.93</v>
      </c>
    </row>
    <row r="84" customFormat="false" ht="15" hidden="false" customHeight="true" outlineLevel="0" collapsed="false">
      <c r="A84" s="3" t="str">
        <f aca="false">Original_Dataset!A81</f>
        <v>STR-1020</v>
      </c>
      <c r="B84" s="4" t="n">
        <f aca="false">Original_Dataset!B81</f>
        <v>45748</v>
      </c>
      <c r="C84" s="3" t="str">
        <f aca="false">Original_Dataset!C81</f>
        <v>South</v>
      </c>
      <c r="D84" s="3" t="str">
        <f aca="false">Original_Dataset!D81</f>
        <v>High Street</v>
      </c>
      <c r="E84" s="3" t="n">
        <f aca="false">Original_Dataset!E81</f>
        <v>77999.9</v>
      </c>
      <c r="F84" s="3" t="n">
        <f aca="false">Original_Dataset!F81</f>
        <v>5974</v>
      </c>
      <c r="G84" s="3" t="n">
        <f aca="false">Original_Dataset!G81</f>
        <v>0.252</v>
      </c>
      <c r="H84" s="3" t="n">
        <f aca="false">Original_Dataset!H81</f>
        <v>14</v>
      </c>
      <c r="I84" s="3" t="n">
        <f aca="false">Original_Dataset!I81</f>
        <v>81.3</v>
      </c>
      <c r="J84" s="3" t="n">
        <f aca="false">IF(ISBLANK(Original_Dataset!J81),$Q$3,Original_Dataset!J81)</f>
        <v>2.39</v>
      </c>
      <c r="K84" s="3" t="n">
        <f aca="false">Original_Dataset!K81</f>
        <v>0</v>
      </c>
      <c r="L84" s="3" t="n">
        <f aca="false">IF(ISBLANK(Original_Dataset!L81),$Q$4,Original_Dataset!L81)</f>
        <v>3.2</v>
      </c>
      <c r="M84" s="3" t="n">
        <f aca="false">Original_Dataset!M81</f>
        <v>636561.34</v>
      </c>
      <c r="N84" s="3" t="n">
        <f aca="false">Original_Dataset!N81</f>
        <v>93861.06</v>
      </c>
    </row>
    <row r="85" customFormat="false" ht="15" hidden="false" customHeight="true" outlineLevel="0" collapsed="false">
      <c r="A85" s="3" t="str">
        <f aca="false">Original_Dataset!A82</f>
        <v>STR-1021</v>
      </c>
      <c r="B85" s="4" t="n">
        <f aca="false">Original_Dataset!B82</f>
        <v>45658</v>
      </c>
      <c r="C85" s="3" t="str">
        <f aca="false">Original_Dataset!C82</f>
        <v>West</v>
      </c>
      <c r="D85" s="3" t="str">
        <f aca="false">Original_Dataset!D82</f>
        <v>Mall</v>
      </c>
      <c r="E85" s="3" t="n">
        <f aca="false">Original_Dataset!E82</f>
        <v>60881.01</v>
      </c>
      <c r="F85" s="3" t="n">
        <f aca="false">Original_Dataset!F82</f>
        <v>5410</v>
      </c>
      <c r="G85" s="3" t="n">
        <f aca="false">Original_Dataset!G82</f>
        <v>0.179</v>
      </c>
      <c r="H85" s="3" t="n">
        <f aca="false">Original_Dataset!H82</f>
        <v>15</v>
      </c>
      <c r="I85" s="3" t="n">
        <f aca="false">Original_Dataset!I82</f>
        <v>83.9</v>
      </c>
      <c r="J85" s="3" t="n">
        <f aca="false">IF(ISBLANK(Original_Dataset!J82),$Q$3,Original_Dataset!J82)</f>
        <v>5.24</v>
      </c>
      <c r="K85" s="3" t="n">
        <f aca="false">Original_Dataset!K82</f>
        <v>0</v>
      </c>
      <c r="L85" s="3" t="n">
        <f aca="false">IF(ISBLANK(Original_Dataset!L82),$Q$4,Original_Dataset!L82)</f>
        <v>4.6</v>
      </c>
      <c r="M85" s="3" t="n">
        <f aca="false">Original_Dataset!M82</f>
        <v>621369.58</v>
      </c>
      <c r="N85" s="3" t="n">
        <f aca="false">Original_Dataset!N82</f>
        <v>85493.64</v>
      </c>
    </row>
    <row r="86" customFormat="false" ht="15" hidden="false" customHeight="true" outlineLevel="0" collapsed="false">
      <c r="A86" s="3" t="str">
        <f aca="false">Original_Dataset!A83</f>
        <v>STR-1021</v>
      </c>
      <c r="B86" s="4" t="n">
        <f aca="false">Original_Dataset!B83</f>
        <v>45689</v>
      </c>
      <c r="C86" s="3" t="str">
        <f aca="false">Original_Dataset!C83</f>
        <v>West</v>
      </c>
      <c r="D86" s="3" t="str">
        <f aca="false">Original_Dataset!D83</f>
        <v>Mall</v>
      </c>
      <c r="E86" s="3" t="n">
        <f aca="false">Original_Dataset!E83</f>
        <v>60628.38</v>
      </c>
      <c r="F86" s="3" t="n">
        <f aca="false">Original_Dataset!F83</f>
        <v>4451</v>
      </c>
      <c r="G86" s="3" t="n">
        <f aca="false">Original_Dataset!G83</f>
        <v>0.095</v>
      </c>
      <c r="H86" s="3" t="n">
        <f aca="false">Original_Dataset!H83</f>
        <v>10</v>
      </c>
      <c r="I86" s="3" t="n">
        <f aca="false">Original_Dataset!I83</f>
        <v>89.6</v>
      </c>
      <c r="J86" s="3" t="n">
        <f aca="false">IF(ISBLANK(Original_Dataset!J83),$Q$3,Original_Dataset!J83)</f>
        <v>3.17</v>
      </c>
      <c r="K86" s="3" t="n">
        <f aca="false">Original_Dataset!K83</f>
        <v>0</v>
      </c>
      <c r="L86" s="3" t="n">
        <f aca="false">IF(ISBLANK(Original_Dataset!L83),$Q$4,Original_Dataset!L83)</f>
        <v>4.6</v>
      </c>
      <c r="M86" s="3" t="n">
        <f aca="false">Original_Dataset!M83</f>
        <v>682208.01</v>
      </c>
      <c r="N86" s="3" t="n">
        <f aca="false">Original_Dataset!N83</f>
        <v>110318.84</v>
      </c>
    </row>
    <row r="87" customFormat="false" ht="15" hidden="false" customHeight="true" outlineLevel="0" collapsed="false">
      <c r="A87" s="3" t="str">
        <f aca="false">Original_Dataset!A84</f>
        <v>STR-1021</v>
      </c>
      <c r="B87" s="4" t="n">
        <f aca="false">Original_Dataset!B84</f>
        <v>45717</v>
      </c>
      <c r="C87" s="3" t="str">
        <f aca="false">Original_Dataset!C84</f>
        <v>West</v>
      </c>
      <c r="D87" s="3" t="str">
        <f aca="false">Original_Dataset!D84</f>
        <v>Mall</v>
      </c>
      <c r="E87" s="3" t="n">
        <f aca="false">Original_Dataset!E84</f>
        <v>72731.14</v>
      </c>
      <c r="F87" s="3" t="n">
        <f aca="false">Original_Dataset!F84</f>
        <v>4644</v>
      </c>
      <c r="G87" s="3" t="n">
        <f aca="false">Original_Dataset!G84</f>
        <v>0.084</v>
      </c>
      <c r="H87" s="3" t="n">
        <f aca="false">Original_Dataset!H84</f>
        <v>15</v>
      </c>
      <c r="I87" s="3" t="n">
        <f aca="false">Original_Dataset!I84</f>
        <v>87.1</v>
      </c>
      <c r="J87" s="3" t="n">
        <f aca="false">IF(ISBLANK(Original_Dataset!J84),$Q$3,Original_Dataset!J84)</f>
        <v>2.66</v>
      </c>
      <c r="K87" s="3" t="n">
        <f aca="false">Original_Dataset!K84</f>
        <v>0</v>
      </c>
      <c r="L87" s="3" t="n">
        <f aca="false">IF(ISBLANK(Original_Dataset!L84),$Q$4,Original_Dataset!L84)</f>
        <v>4.6</v>
      </c>
      <c r="M87" s="3" t="n">
        <f aca="false">Original_Dataset!M84</f>
        <v>727241.86</v>
      </c>
      <c r="N87" s="3" t="n">
        <f aca="false">Original_Dataset!N84</f>
        <v>155810.3</v>
      </c>
    </row>
    <row r="88" customFormat="false" ht="15" hidden="false" customHeight="true" outlineLevel="0" collapsed="false">
      <c r="A88" s="3" t="str">
        <f aca="false">Original_Dataset!A85</f>
        <v>STR-1021</v>
      </c>
      <c r="B88" s="4" t="n">
        <f aca="false">Original_Dataset!B85</f>
        <v>45748</v>
      </c>
      <c r="C88" s="3" t="str">
        <f aca="false">Original_Dataset!C85</f>
        <v>West</v>
      </c>
      <c r="D88" s="3" t="str">
        <f aca="false">Original_Dataset!D85</f>
        <v>Mall</v>
      </c>
      <c r="E88" s="3" t="n">
        <f aca="false">Original_Dataset!E85</f>
        <v>36475.71</v>
      </c>
      <c r="F88" s="3" t="n">
        <f aca="false">Original_Dataset!F85</f>
        <v>3559</v>
      </c>
      <c r="G88" s="3" t="n">
        <f aca="false">Original_Dataset!G85</f>
        <v>0.03</v>
      </c>
      <c r="H88" s="3" t="n">
        <f aca="false">Original_Dataset!H85</f>
        <v>8</v>
      </c>
      <c r="I88" s="3" t="n">
        <f aca="false">Original_Dataset!I85</f>
        <v>83.6</v>
      </c>
      <c r="J88" s="3" t="n">
        <f aca="false">IF(ISBLANK(Original_Dataset!J85),$Q$3,Original_Dataset!J85)</f>
        <v>1.41</v>
      </c>
      <c r="K88" s="3" t="n">
        <f aca="false">Original_Dataset!K85</f>
        <v>0</v>
      </c>
      <c r="L88" s="3" t="n">
        <f aca="false">IF(ISBLANK(Original_Dataset!L85),$Q$4,Original_Dataset!L85)</f>
        <v>4.2</v>
      </c>
      <c r="M88" s="3" t="n">
        <f aca="false">Original_Dataset!M85</f>
        <v>569100.78</v>
      </c>
      <c r="N88" s="3" t="n">
        <f aca="false">Original_Dataset!N85</f>
        <v>104808.78</v>
      </c>
    </row>
    <row r="89" customFormat="false" ht="15" hidden="false" customHeight="true" outlineLevel="0" collapsed="false">
      <c r="A89" s="3" t="str">
        <f aca="false">Original_Dataset!A86</f>
        <v>STR-1022</v>
      </c>
      <c r="B89" s="4" t="n">
        <f aca="false">Original_Dataset!B86</f>
        <v>45658</v>
      </c>
      <c r="C89" s="3" t="str">
        <f aca="false">Original_Dataset!C86</f>
        <v>West</v>
      </c>
      <c r="D89" s="3" t="str">
        <f aca="false">Original_Dataset!D86</f>
        <v>High Street</v>
      </c>
      <c r="E89" s="3" t="n">
        <f aca="false">Original_Dataset!E86</f>
        <v>55388.11</v>
      </c>
      <c r="F89" s="3" t="n">
        <f aca="false">Original_Dataset!F86</f>
        <v>3091</v>
      </c>
      <c r="G89" s="3" t="n">
        <f aca="false">Original_Dataset!G86</f>
        <v>0.108</v>
      </c>
      <c r="H89" s="3" t="n">
        <f aca="false">Original_Dataset!H86</f>
        <v>7</v>
      </c>
      <c r="I89" s="3" t="n">
        <f aca="false">Original_Dataset!I86</f>
        <v>85.4</v>
      </c>
      <c r="J89" s="3" t="n">
        <f aca="false">IF(ISBLANK(Original_Dataset!J86),$Q$3,Original_Dataset!J86)</f>
        <v>7.34</v>
      </c>
      <c r="K89" s="3" t="n">
        <f aca="false">Original_Dataset!K86</f>
        <v>0</v>
      </c>
      <c r="L89" s="3" t="n">
        <f aca="false">IF(ISBLANK(Original_Dataset!L86),$Q$4,Original_Dataset!L86)</f>
        <v>4.9</v>
      </c>
      <c r="M89" s="3" t="n">
        <f aca="false">Original_Dataset!M86</f>
        <v>574436.29</v>
      </c>
      <c r="N89" s="3" t="n">
        <f aca="false">Original_Dataset!N86</f>
        <v>80271.99</v>
      </c>
    </row>
    <row r="90" customFormat="false" ht="15" hidden="false" customHeight="true" outlineLevel="0" collapsed="false">
      <c r="A90" s="3" t="str">
        <f aca="false">Original_Dataset!A87</f>
        <v>STR-1022</v>
      </c>
      <c r="B90" s="4" t="n">
        <f aca="false">Original_Dataset!B87</f>
        <v>45689</v>
      </c>
      <c r="C90" s="3" t="str">
        <f aca="false">Original_Dataset!C87</f>
        <v>West</v>
      </c>
      <c r="D90" s="3" t="str">
        <f aca="false">Original_Dataset!D87</f>
        <v>High Street</v>
      </c>
      <c r="E90" s="3" t="n">
        <f aca="false">Original_Dataset!E87</f>
        <v>88443.77</v>
      </c>
      <c r="F90" s="3" t="n">
        <f aca="false">Original_Dataset!F87</f>
        <v>4004</v>
      </c>
      <c r="G90" s="3" t="n">
        <f aca="false">Original_Dataset!G87</f>
        <v>0.206</v>
      </c>
      <c r="H90" s="3" t="n">
        <f aca="false">Original_Dataset!H87</f>
        <v>11</v>
      </c>
      <c r="I90" s="3" t="n">
        <f aca="false">Original_Dataset!I87</f>
        <v>91.9</v>
      </c>
      <c r="J90" s="3" t="n">
        <f aca="false">IF(ISBLANK(Original_Dataset!J87),$Q$3,Original_Dataset!J87)</f>
        <v>5.95</v>
      </c>
      <c r="K90" s="3" t="n">
        <f aca="false">Original_Dataset!K87</f>
        <v>0</v>
      </c>
      <c r="L90" s="3" t="n">
        <f aca="false">IF(ISBLANK(Original_Dataset!L87),$Q$4,Original_Dataset!L87)</f>
        <v>3.9</v>
      </c>
      <c r="M90" s="3" t="n">
        <f aca="false">Original_Dataset!M87</f>
        <v>611766.72</v>
      </c>
      <c r="N90" s="3" t="n">
        <f aca="false">Original_Dataset!N87</f>
        <v>88275.61</v>
      </c>
    </row>
    <row r="91" customFormat="false" ht="15" hidden="false" customHeight="true" outlineLevel="0" collapsed="false">
      <c r="A91" s="3" t="str">
        <f aca="false">Original_Dataset!A88</f>
        <v>STR-1022</v>
      </c>
      <c r="B91" s="4" t="n">
        <f aca="false">Original_Dataset!B88</f>
        <v>45717</v>
      </c>
      <c r="C91" s="3" t="str">
        <f aca="false">Original_Dataset!C88</f>
        <v>West</v>
      </c>
      <c r="D91" s="3" t="str">
        <f aca="false">Original_Dataset!D88</f>
        <v>High Street</v>
      </c>
      <c r="E91" s="3" t="n">
        <f aca="false">Original_Dataset!E88</f>
        <v>78231.91</v>
      </c>
      <c r="F91" s="3" t="n">
        <f aca="false">Original_Dataset!F88</f>
        <v>3788</v>
      </c>
      <c r="G91" s="3" t="n">
        <f aca="false">Original_Dataset!G88</f>
        <v>0.059</v>
      </c>
      <c r="H91" s="3" t="n">
        <f aca="false">Original_Dataset!H88</f>
        <v>11</v>
      </c>
      <c r="I91" s="3" t="n">
        <f aca="false">Original_Dataset!I88</f>
        <v>88.5</v>
      </c>
      <c r="J91" s="3" t="n">
        <f aca="false">IF(ISBLANK(Original_Dataset!J88),$Q$3,Original_Dataset!J88)</f>
        <v>15.51</v>
      </c>
      <c r="K91" s="3" t="n">
        <f aca="false">Original_Dataset!K88</f>
        <v>0</v>
      </c>
      <c r="L91" s="3" t="n">
        <f aca="false">IF(ISBLANK(Original_Dataset!L88),$Q$4,Original_Dataset!L88)</f>
        <v>4.3</v>
      </c>
      <c r="M91" s="3" t="n">
        <f aca="false">Original_Dataset!M88</f>
        <v>614596.32</v>
      </c>
      <c r="N91" s="3" t="n">
        <f aca="false">Original_Dataset!N88</f>
        <v>131199.41</v>
      </c>
    </row>
    <row r="92" customFormat="false" ht="15" hidden="false" customHeight="true" outlineLevel="0" collapsed="false">
      <c r="A92" s="3" t="str">
        <f aca="false">Original_Dataset!A89</f>
        <v>STR-1022</v>
      </c>
      <c r="B92" s="4" t="n">
        <f aca="false">Original_Dataset!B89</f>
        <v>45748</v>
      </c>
      <c r="C92" s="3" t="str">
        <f aca="false">Original_Dataset!C89</f>
        <v>West</v>
      </c>
      <c r="D92" s="3" t="str">
        <f aca="false">Original_Dataset!D89</f>
        <v>High Street</v>
      </c>
      <c r="E92" s="3" t="n">
        <f aca="false">Original_Dataset!E89</f>
        <v>18996.32</v>
      </c>
      <c r="F92" s="3" t="n">
        <f aca="false">Original_Dataset!F89</f>
        <v>1260</v>
      </c>
      <c r="G92" s="3" t="n">
        <f aca="false">Original_Dataset!G89</f>
        <v>0.145</v>
      </c>
      <c r="H92" s="3" t="n">
        <f aca="false">Original_Dataset!H89</f>
        <v>9</v>
      </c>
      <c r="I92" s="3" t="n">
        <f aca="false">Original_Dataset!I89</f>
        <v>86.4</v>
      </c>
      <c r="J92" s="3" t="n">
        <f aca="false">IF(ISBLANK(Original_Dataset!J89),$Q$3,Original_Dataset!J89)</f>
        <v>4.31</v>
      </c>
      <c r="K92" s="3" t="n">
        <f aca="false">Original_Dataset!K89</f>
        <v>0</v>
      </c>
      <c r="L92" s="3" t="n">
        <f aca="false">IF(ISBLANK(Original_Dataset!L89),$Q$4,Original_Dataset!L89)</f>
        <v>4.6</v>
      </c>
      <c r="M92" s="3" t="n">
        <f aca="false">Original_Dataset!M89</f>
        <v>450711.92</v>
      </c>
      <c r="N92" s="3" t="n">
        <f aca="false">Original_Dataset!N89</f>
        <v>90043.76</v>
      </c>
    </row>
    <row r="93" customFormat="false" ht="15" hidden="false" customHeight="true" outlineLevel="0" collapsed="false">
      <c r="A93" s="3" t="str">
        <f aca="false">Original_Dataset!A90</f>
        <v>STR-1023</v>
      </c>
      <c r="B93" s="4" t="n">
        <f aca="false">Original_Dataset!B90</f>
        <v>45658</v>
      </c>
      <c r="C93" s="3" t="str">
        <f aca="false">Original_Dataset!C90</f>
        <v>South</v>
      </c>
      <c r="D93" s="3" t="str">
        <f aca="false">Original_Dataset!D90</f>
        <v>Mall</v>
      </c>
      <c r="E93" s="3" t="n">
        <f aca="false">Original_Dataset!E90</f>
        <v>50517.94</v>
      </c>
      <c r="F93" s="3" t="n">
        <f aca="false">Original_Dataset!F90</f>
        <v>7024</v>
      </c>
      <c r="G93" s="3" t="n">
        <f aca="false">Original_Dataset!G90</f>
        <v>0.029</v>
      </c>
      <c r="H93" s="3" t="n">
        <f aca="false">Original_Dataset!H90</f>
        <v>18</v>
      </c>
      <c r="I93" s="3" t="n">
        <f aca="false">Original_Dataset!I90</f>
        <v>79.2</v>
      </c>
      <c r="J93" s="3" t="n">
        <f aca="false">IF(ISBLANK(Original_Dataset!J90),$Q$3,Original_Dataset!J90)</f>
        <v>6.61</v>
      </c>
      <c r="K93" s="3" t="n">
        <f aca="false">Original_Dataset!K90</f>
        <v>1</v>
      </c>
      <c r="L93" s="3" t="n">
        <f aca="false">IF(ISBLANK(Original_Dataset!L90),$Q$4,Original_Dataset!L90)</f>
        <v>4.1</v>
      </c>
      <c r="M93" s="3" t="n">
        <f aca="false">Original_Dataset!M90</f>
        <v>711213.46</v>
      </c>
      <c r="N93" s="3" t="n">
        <f aca="false">Original_Dataset!N90</f>
        <v>105863.26</v>
      </c>
    </row>
    <row r="94" customFormat="false" ht="15" hidden="false" customHeight="true" outlineLevel="0" collapsed="false">
      <c r="A94" s="3" t="str">
        <f aca="false">Original_Dataset!A91</f>
        <v>STR-1023</v>
      </c>
      <c r="B94" s="4" t="n">
        <f aca="false">Original_Dataset!B91</f>
        <v>45689</v>
      </c>
      <c r="C94" s="3" t="str">
        <f aca="false">Original_Dataset!C91</f>
        <v>South</v>
      </c>
      <c r="D94" s="3" t="str">
        <f aca="false">Original_Dataset!D91</f>
        <v>Mall</v>
      </c>
      <c r="E94" s="3" t="n">
        <f aca="false">Original_Dataset!E91</f>
        <v>141540.29</v>
      </c>
      <c r="F94" s="3" t="n">
        <f aca="false">Original_Dataset!F91</f>
        <v>5400</v>
      </c>
      <c r="G94" s="3" t="n">
        <f aca="false">Original_Dataset!G91</f>
        <v>0.013</v>
      </c>
      <c r="H94" s="3" t="n">
        <f aca="false">Original_Dataset!H91</f>
        <v>12</v>
      </c>
      <c r="I94" s="3" t="n">
        <f aca="false">Original_Dataset!I91</f>
        <v>87</v>
      </c>
      <c r="J94" s="3" t="n">
        <f aca="false">IF(ISBLANK(Original_Dataset!J91),$Q$3,Original_Dataset!J91)</f>
        <v>4.26</v>
      </c>
      <c r="K94" s="3" t="n">
        <f aca="false">Original_Dataset!K91</f>
        <v>0</v>
      </c>
      <c r="L94" s="3" t="n">
        <f aca="false">IF(ISBLANK(Original_Dataset!L91),$Q$4,Original_Dataset!L91)</f>
        <v>4.5</v>
      </c>
      <c r="M94" s="3" t="n">
        <f aca="false">Original_Dataset!M91</f>
        <v>627171.9</v>
      </c>
      <c r="N94" s="3" t="n">
        <f aca="false">Original_Dataset!N91</f>
        <v>105772.75</v>
      </c>
    </row>
    <row r="95" customFormat="false" ht="15" hidden="false" customHeight="true" outlineLevel="0" collapsed="false">
      <c r="A95" s="3" t="str">
        <f aca="false">Original_Dataset!A92</f>
        <v>STR-1023</v>
      </c>
      <c r="B95" s="4" t="n">
        <f aca="false">Original_Dataset!B92</f>
        <v>45717</v>
      </c>
      <c r="C95" s="3" t="str">
        <f aca="false">Original_Dataset!C92</f>
        <v>South</v>
      </c>
      <c r="D95" s="3" t="str">
        <f aca="false">Original_Dataset!D92</f>
        <v>Mall</v>
      </c>
      <c r="E95" s="3" t="n">
        <f aca="false">Original_Dataset!E92</f>
        <v>82116.19</v>
      </c>
      <c r="F95" s="3" t="n">
        <f aca="false">Original_Dataset!F92</f>
        <v>5988</v>
      </c>
      <c r="G95" s="3" t="n">
        <f aca="false">Original_Dataset!G92</f>
        <v>0.04</v>
      </c>
      <c r="H95" s="3" t="n">
        <f aca="false">Original_Dataset!H92</f>
        <v>17</v>
      </c>
      <c r="I95" s="3" t="n">
        <f aca="false">Original_Dataset!I92</f>
        <v>91.8</v>
      </c>
      <c r="J95" s="3" t="n">
        <f aca="false">IF(ISBLANK(Original_Dataset!J92),$Q$3,Original_Dataset!J92)</f>
        <v>5.75</v>
      </c>
      <c r="K95" s="3" t="n">
        <f aca="false">Original_Dataset!K92</f>
        <v>0</v>
      </c>
      <c r="L95" s="3" t="n">
        <f aca="false">IF(ISBLANK(Original_Dataset!L92),$Q$4,Original_Dataset!L92)</f>
        <v>4.7</v>
      </c>
      <c r="M95" s="3" t="n">
        <f aca="false">Original_Dataset!M92</f>
        <v>739852.58</v>
      </c>
      <c r="N95" s="3" t="n">
        <f aca="false">Original_Dataset!N92</f>
        <v>129386.43</v>
      </c>
    </row>
    <row r="96" customFormat="false" ht="15" hidden="false" customHeight="true" outlineLevel="0" collapsed="false">
      <c r="A96" s="3" t="str">
        <f aca="false">Original_Dataset!A93</f>
        <v>STR-1023</v>
      </c>
      <c r="B96" s="4" t="n">
        <f aca="false">Original_Dataset!B93</f>
        <v>45748</v>
      </c>
      <c r="C96" s="3" t="str">
        <f aca="false">Original_Dataset!C93</f>
        <v>South</v>
      </c>
      <c r="D96" s="3" t="str">
        <f aca="false">Original_Dataset!D93</f>
        <v>Mall</v>
      </c>
      <c r="E96" s="3" t="n">
        <f aca="false">Original_Dataset!E93</f>
        <v>31207.51</v>
      </c>
      <c r="F96" s="3" t="n">
        <f aca="false">Original_Dataset!F93</f>
        <v>3701</v>
      </c>
      <c r="G96" s="3" t="n">
        <f aca="false">Original_Dataset!G93</f>
        <v>0.043</v>
      </c>
      <c r="H96" s="3" t="n">
        <f aca="false">Original_Dataset!H93</f>
        <v>11</v>
      </c>
      <c r="I96" s="3" t="n">
        <f aca="false">Original_Dataset!I93</f>
        <v>84.7</v>
      </c>
      <c r="J96" s="3" t="n">
        <f aca="false">IF(ISBLANK(Original_Dataset!J93),$Q$3,Original_Dataset!J93)</f>
        <v>0.33</v>
      </c>
      <c r="K96" s="3" t="n">
        <f aca="false">Original_Dataset!K93</f>
        <v>0</v>
      </c>
      <c r="L96" s="3" t="n">
        <f aca="false">IF(ISBLANK(Original_Dataset!L93),$Q$4,Original_Dataset!L93)</f>
        <v>4.3</v>
      </c>
      <c r="M96" s="3" t="n">
        <f aca="false">Original_Dataset!M93</f>
        <v>586307.22</v>
      </c>
      <c r="N96" s="3" t="n">
        <f aca="false">Original_Dataset!N93</f>
        <v>73927.85</v>
      </c>
    </row>
    <row r="97" customFormat="false" ht="15" hidden="false" customHeight="true" outlineLevel="0" collapsed="false">
      <c r="A97" s="3" t="str">
        <f aca="false">Original_Dataset!A94</f>
        <v>STR-1024</v>
      </c>
      <c r="B97" s="4" t="n">
        <f aca="false">Original_Dataset!B94</f>
        <v>45658</v>
      </c>
      <c r="C97" s="3" t="str">
        <f aca="false">Original_Dataset!C94</f>
        <v>West</v>
      </c>
      <c r="D97" s="3" t="str">
        <f aca="false">Original_Dataset!D94</f>
        <v>Residential</v>
      </c>
      <c r="E97" s="3" t="n">
        <f aca="false">Original_Dataset!E94</f>
        <v>38966.59</v>
      </c>
      <c r="F97" s="3" t="n">
        <f aca="false">Original_Dataset!F94</f>
        <v>4509</v>
      </c>
      <c r="G97" s="3" t="n">
        <f aca="false">Original_Dataset!G94</f>
        <v>0.194</v>
      </c>
      <c r="H97" s="3" t="n">
        <f aca="false">Original_Dataset!H94</f>
        <v>14</v>
      </c>
      <c r="I97" s="3" t="n">
        <f aca="false">Original_Dataset!I94</f>
        <v>91.1</v>
      </c>
      <c r="J97" s="3" t="n">
        <f aca="false">IF(ISBLANK(Original_Dataset!J94),$Q$3,Original_Dataset!J94)</f>
        <v>2.92</v>
      </c>
      <c r="K97" s="3" t="n">
        <f aca="false">Original_Dataset!K94</f>
        <v>0</v>
      </c>
      <c r="L97" s="3" t="n">
        <f aca="false">IF(ISBLANK(Original_Dataset!L94),$Q$4,Original_Dataset!L94)</f>
        <v>4.6</v>
      </c>
      <c r="M97" s="3" t="n">
        <f aca="false">Original_Dataset!M94</f>
        <v>585937.48</v>
      </c>
      <c r="N97" s="3" t="n">
        <f aca="false">Original_Dataset!N94</f>
        <v>82624.2</v>
      </c>
    </row>
    <row r="98" customFormat="false" ht="15" hidden="false" customHeight="true" outlineLevel="0" collapsed="false">
      <c r="A98" s="3" t="str">
        <f aca="false">Original_Dataset!A95</f>
        <v>STR-1024</v>
      </c>
      <c r="B98" s="4" t="n">
        <f aca="false">Original_Dataset!B95</f>
        <v>45689</v>
      </c>
      <c r="C98" s="3" t="str">
        <f aca="false">Original_Dataset!C95</f>
        <v>West</v>
      </c>
      <c r="D98" s="3" t="str">
        <f aca="false">Original_Dataset!D95</f>
        <v>Residential</v>
      </c>
      <c r="E98" s="3" t="n">
        <f aca="false">Original_Dataset!E95</f>
        <v>67439.3</v>
      </c>
      <c r="F98" s="3" t="n">
        <f aca="false">Original_Dataset!F95</f>
        <v>6477</v>
      </c>
      <c r="G98" s="3" t="n">
        <f aca="false">Original_Dataset!G95</f>
        <v>0</v>
      </c>
      <c r="H98" s="3" t="n">
        <f aca="false">Original_Dataset!H95</f>
        <v>16</v>
      </c>
      <c r="I98" s="3" t="n">
        <f aca="false">Original_Dataset!I95</f>
        <v>90.9</v>
      </c>
      <c r="J98" s="3" t="n">
        <f aca="false">IF(ISBLANK(Original_Dataset!J95),$Q$3,Original_Dataset!J95)</f>
        <v>1.64</v>
      </c>
      <c r="K98" s="3" t="n">
        <f aca="false">Original_Dataset!K95</f>
        <v>0</v>
      </c>
      <c r="L98" s="3" t="n">
        <f aca="false">IF(ISBLANK(Original_Dataset!L95),$Q$4,Original_Dataset!L95)</f>
        <v>4.5</v>
      </c>
      <c r="M98" s="3" t="n">
        <f aca="false">Original_Dataset!M95</f>
        <v>753473.55</v>
      </c>
      <c r="N98" s="3" t="n">
        <f aca="false">Original_Dataset!N95</f>
        <v>151527.22</v>
      </c>
    </row>
    <row r="99" customFormat="false" ht="15" hidden="false" customHeight="true" outlineLevel="0" collapsed="false">
      <c r="A99" s="3" t="str">
        <f aca="false">Original_Dataset!A96</f>
        <v>STR-1024</v>
      </c>
      <c r="B99" s="4" t="n">
        <f aca="false">Original_Dataset!B96</f>
        <v>45717</v>
      </c>
      <c r="C99" s="3" t="str">
        <f aca="false">Original_Dataset!C96</f>
        <v>West</v>
      </c>
      <c r="D99" s="3" t="str">
        <f aca="false">Original_Dataset!D96</f>
        <v>Residential</v>
      </c>
      <c r="E99" s="3" t="n">
        <f aca="false">Original_Dataset!E96</f>
        <v>86421.88</v>
      </c>
      <c r="F99" s="3" t="n">
        <f aca="false">Original_Dataset!F96</f>
        <v>7970</v>
      </c>
      <c r="G99" s="3" t="n">
        <f aca="false">Original_Dataset!G96</f>
        <v>0.073</v>
      </c>
      <c r="H99" s="3" t="n">
        <f aca="false">Original_Dataset!H96</f>
        <v>17</v>
      </c>
      <c r="I99" s="3" t="n">
        <f aca="false">Original_Dataset!I96</f>
        <v>91.3</v>
      </c>
      <c r="J99" s="3" t="n">
        <f aca="false">IF(ISBLANK(Original_Dataset!J96),$Q$3,Original_Dataset!J96)</f>
        <v>0.8</v>
      </c>
      <c r="K99" s="3" t="n">
        <f aca="false">Original_Dataset!K96</f>
        <v>0</v>
      </c>
      <c r="L99" s="3" t="n">
        <f aca="false">IF(ISBLANK(Original_Dataset!L96),$Q$4,Original_Dataset!L96)</f>
        <v>5</v>
      </c>
      <c r="M99" s="3" t="n">
        <f aca="false">Original_Dataset!M96</f>
        <v>838250.32</v>
      </c>
      <c r="N99" s="3" t="n">
        <f aca="false">Original_Dataset!N96</f>
        <v>122939.34</v>
      </c>
    </row>
    <row r="100" customFormat="false" ht="15" hidden="false" customHeight="true" outlineLevel="0" collapsed="false">
      <c r="A100" s="3" t="str">
        <f aca="false">Original_Dataset!A97</f>
        <v>STR-1024</v>
      </c>
      <c r="B100" s="4" t="n">
        <f aca="false">Original_Dataset!B97</f>
        <v>45748</v>
      </c>
      <c r="C100" s="3" t="str">
        <f aca="false">Original_Dataset!C97</f>
        <v>West</v>
      </c>
      <c r="D100" s="3" t="str">
        <f aca="false">Original_Dataset!D97</f>
        <v>Residential</v>
      </c>
      <c r="E100" s="3" t="n">
        <f aca="false">Original_Dataset!E97</f>
        <v>9534.65</v>
      </c>
      <c r="F100" s="3" t="n">
        <f aca="false">Original_Dataset!F97</f>
        <v>6057</v>
      </c>
      <c r="G100" s="3" t="n">
        <f aca="false">Original_Dataset!G97</f>
        <v>0.074</v>
      </c>
      <c r="H100" s="3" t="n">
        <f aca="false">Original_Dataset!H97</f>
        <v>15</v>
      </c>
      <c r="I100" s="3" t="n">
        <f aca="false">Original_Dataset!I97</f>
        <v>94.1</v>
      </c>
      <c r="J100" s="3" t="n">
        <f aca="false">IF(ISBLANK(Original_Dataset!J97),$Q$3,Original_Dataset!J97)</f>
        <v>5.79</v>
      </c>
      <c r="K100" s="3" t="n">
        <f aca="false">Original_Dataset!K97</f>
        <v>0</v>
      </c>
      <c r="L100" s="3" t="n">
        <f aca="false">IF(ISBLANK(Original_Dataset!L97),$Q$4,Original_Dataset!L97)</f>
        <v>4.5</v>
      </c>
      <c r="M100" s="3" t="n">
        <f aca="false">Original_Dataset!M97</f>
        <v>607898.12</v>
      </c>
      <c r="N100" s="3" t="n">
        <f aca="false">Original_Dataset!N97</f>
        <v>135404.85</v>
      </c>
    </row>
    <row r="101" customFormat="false" ht="15" hidden="false" customHeight="true" outlineLevel="0" collapsed="false">
      <c r="A101" s="3" t="str">
        <f aca="false">Original_Dataset!A98</f>
        <v>STR-1025</v>
      </c>
      <c r="B101" s="4" t="n">
        <f aca="false">Original_Dataset!B98</f>
        <v>45658</v>
      </c>
      <c r="C101" s="3" t="str">
        <f aca="false">Original_Dataset!C98</f>
        <v>West</v>
      </c>
      <c r="D101" s="3" t="str">
        <f aca="false">Original_Dataset!D98</f>
        <v>Mall</v>
      </c>
      <c r="E101" s="3" t="n">
        <f aca="false">Original_Dataset!E98</f>
        <v>61132.07</v>
      </c>
      <c r="F101" s="3" t="n">
        <f aca="false">Original_Dataset!F98</f>
        <v>6394</v>
      </c>
      <c r="G101" s="3" t="n">
        <f aca="false">Original_Dataset!G98</f>
        <v>0.163</v>
      </c>
      <c r="H101" s="3" t="n">
        <f aca="false">Original_Dataset!H98</f>
        <v>19</v>
      </c>
      <c r="I101" s="3" t="n">
        <f aca="false">Original_Dataset!I98</f>
        <v>91</v>
      </c>
      <c r="J101" s="3" t="n">
        <f aca="false">IF(ISBLANK(Original_Dataset!J98),$Q$3,Original_Dataset!J98)</f>
        <v>19.6</v>
      </c>
      <c r="K101" s="3" t="n">
        <f aca="false">Original_Dataset!K98</f>
        <v>0</v>
      </c>
      <c r="L101" s="3" t="n">
        <f aca="false">IF(ISBLANK(Original_Dataset!L98),$Q$4,Original_Dataset!L98)</f>
        <v>4.4</v>
      </c>
      <c r="M101" s="3" t="n">
        <f aca="false">Original_Dataset!M98</f>
        <v>691113.62</v>
      </c>
      <c r="N101" s="3" t="n">
        <f aca="false">Original_Dataset!N98</f>
        <v>135145.44</v>
      </c>
    </row>
    <row r="102" customFormat="false" ht="15" hidden="false" customHeight="true" outlineLevel="0" collapsed="false">
      <c r="A102" s="3" t="str">
        <f aca="false">Original_Dataset!A99</f>
        <v>STR-1025</v>
      </c>
      <c r="B102" s="4" t="n">
        <f aca="false">Original_Dataset!B99</f>
        <v>45689</v>
      </c>
      <c r="C102" s="3" t="str">
        <f aca="false">Original_Dataset!C99</f>
        <v>West</v>
      </c>
      <c r="D102" s="3" t="str">
        <f aca="false">Original_Dataset!D99</f>
        <v>Mall</v>
      </c>
      <c r="E102" s="3" t="n">
        <f aca="false">Original_Dataset!E99</f>
        <v>78839.39</v>
      </c>
      <c r="F102" s="3" t="n">
        <f aca="false">Original_Dataset!F99</f>
        <v>5150</v>
      </c>
      <c r="G102" s="3" t="n">
        <f aca="false">Original_Dataset!G99</f>
        <v>0.171</v>
      </c>
      <c r="H102" s="3" t="n">
        <f aca="false">Original_Dataset!H99</f>
        <v>13</v>
      </c>
      <c r="I102" s="3" t="n">
        <f aca="false">Original_Dataset!I99</f>
        <v>85.8</v>
      </c>
      <c r="J102" s="3" t="n">
        <f aca="false">IF(ISBLANK(Original_Dataset!J99),$Q$3,Original_Dataset!J99)</f>
        <v>7.57</v>
      </c>
      <c r="K102" s="3" t="n">
        <f aca="false">Original_Dataset!K99</f>
        <v>0</v>
      </c>
      <c r="L102" s="3" t="n">
        <f aca="false">IF(ISBLANK(Original_Dataset!L99),$Q$4,Original_Dataset!L99)</f>
        <v>4.3</v>
      </c>
      <c r="M102" s="3" t="n">
        <f aca="false">Original_Dataset!M99</f>
        <v>735509.4</v>
      </c>
      <c r="N102" s="3" t="n">
        <f aca="false">Original_Dataset!N99</f>
        <v>83895.96</v>
      </c>
    </row>
    <row r="103" customFormat="false" ht="15" hidden="false" customHeight="true" outlineLevel="0" collapsed="false">
      <c r="A103" s="3" t="str">
        <f aca="false">Original_Dataset!A100</f>
        <v>STR-1025</v>
      </c>
      <c r="B103" s="4" t="n">
        <f aca="false">Original_Dataset!B100</f>
        <v>45717</v>
      </c>
      <c r="C103" s="3" t="str">
        <f aca="false">Original_Dataset!C100</f>
        <v>West</v>
      </c>
      <c r="D103" s="3" t="str">
        <f aca="false">Original_Dataset!D100</f>
        <v>Mall</v>
      </c>
      <c r="E103" s="3" t="n">
        <f aca="false">Original_Dataset!E100</f>
        <v>38752.8</v>
      </c>
      <c r="F103" s="3" t="n">
        <f aca="false">Original_Dataset!F100</f>
        <v>4712</v>
      </c>
      <c r="G103" s="3" t="n">
        <f aca="false">Original_Dataset!G100</f>
        <v>0.075</v>
      </c>
      <c r="H103" s="3" t="n">
        <f aca="false">Original_Dataset!H100</f>
        <v>15</v>
      </c>
      <c r="I103" s="3" t="n">
        <f aca="false">Original_Dataset!I100</f>
        <v>89.7</v>
      </c>
      <c r="J103" s="3" t="n">
        <f aca="false">IF(ISBLANK(Original_Dataset!J100),$Q$3,Original_Dataset!J100)</f>
        <v>3.365</v>
      </c>
      <c r="K103" s="3" t="n">
        <f aca="false">Original_Dataset!K100</f>
        <v>0</v>
      </c>
      <c r="L103" s="3" t="n">
        <f aca="false">IF(ISBLANK(Original_Dataset!L100),$Q$4,Original_Dataset!L100)</f>
        <v>4.3</v>
      </c>
      <c r="M103" s="3" t="n">
        <f aca="false">Original_Dataset!M100</f>
        <v>605775.33</v>
      </c>
      <c r="N103" s="3" t="n">
        <f aca="false">Original_Dataset!N100</f>
        <v>107194.6</v>
      </c>
    </row>
    <row r="104" customFormat="false" ht="15" hidden="false" customHeight="true" outlineLevel="0" collapsed="false">
      <c r="A104" s="3" t="str">
        <f aca="false">Original_Dataset!A101</f>
        <v>STR-1025</v>
      </c>
      <c r="B104" s="4" t="n">
        <f aca="false">Original_Dataset!B101</f>
        <v>45748</v>
      </c>
      <c r="C104" s="3" t="str">
        <f aca="false">Original_Dataset!C101</f>
        <v>West</v>
      </c>
      <c r="D104" s="3" t="str">
        <f aca="false">Original_Dataset!D101</f>
        <v>Mall</v>
      </c>
      <c r="E104" s="3" t="n">
        <f aca="false">Original_Dataset!E101</f>
        <v>55101.1</v>
      </c>
      <c r="F104" s="3" t="n">
        <f aca="false">Original_Dataset!F101</f>
        <v>5281</v>
      </c>
      <c r="G104" s="3" t="n">
        <f aca="false">Original_Dataset!G101</f>
        <v>0.189</v>
      </c>
      <c r="H104" s="3" t="n">
        <f aca="false">Original_Dataset!H101</f>
        <v>11</v>
      </c>
      <c r="I104" s="3" t="n">
        <f aca="false">Original_Dataset!I101</f>
        <v>91</v>
      </c>
      <c r="J104" s="3" t="n">
        <f aca="false">IF(ISBLANK(Original_Dataset!J101),$Q$3,Original_Dataset!J101)</f>
        <v>2.7</v>
      </c>
      <c r="K104" s="3" t="n">
        <f aca="false">Original_Dataset!K101</f>
        <v>0</v>
      </c>
      <c r="L104" s="3" t="n">
        <f aca="false">IF(ISBLANK(Original_Dataset!L101),$Q$4,Original_Dataset!L101)</f>
        <v>4.4</v>
      </c>
      <c r="M104" s="3" t="n">
        <f aca="false">Original_Dataset!M101</f>
        <v>675177.68</v>
      </c>
      <c r="N104" s="3" t="n">
        <f aca="false">Original_Dataset!N101</f>
        <v>105628.68</v>
      </c>
    </row>
    <row r="105" customFormat="false" ht="15" hidden="false" customHeight="true" outlineLevel="0" collapsed="false">
      <c r="A105" s="3" t="str">
        <f aca="false">Original_Dataset!A102</f>
        <v>STR-1026</v>
      </c>
      <c r="B105" s="4" t="n">
        <f aca="false">Original_Dataset!B102</f>
        <v>45658</v>
      </c>
      <c r="C105" s="3" t="str">
        <f aca="false">Original_Dataset!C102</f>
        <v>East</v>
      </c>
      <c r="D105" s="3" t="str">
        <f aca="false">Original_Dataset!D102</f>
        <v>Mall</v>
      </c>
      <c r="E105" s="3" t="n">
        <f aca="false">Original_Dataset!E102</f>
        <v>53084.76</v>
      </c>
      <c r="F105" s="3" t="n">
        <f aca="false">Original_Dataset!F102</f>
        <v>3642</v>
      </c>
      <c r="G105" s="3" t="n">
        <f aca="false">Original_Dataset!G102</f>
        <v>0.15</v>
      </c>
      <c r="H105" s="3" t="n">
        <f aca="false">Original_Dataset!H102</f>
        <v>12</v>
      </c>
      <c r="I105" s="3" t="n">
        <f aca="false">Original_Dataset!I102</f>
        <v>91.4</v>
      </c>
      <c r="J105" s="3" t="n">
        <f aca="false">IF(ISBLANK(Original_Dataset!J102),$Q$3,Original_Dataset!J102)</f>
        <v>0.2</v>
      </c>
      <c r="K105" s="3" t="n">
        <f aca="false">Original_Dataset!K102</f>
        <v>0</v>
      </c>
      <c r="L105" s="3" t="n">
        <f aca="false">IF(ISBLANK(Original_Dataset!L102),$Q$4,Original_Dataset!L102)</f>
        <v>4.4</v>
      </c>
      <c r="M105" s="3" t="n">
        <f aca="false">Original_Dataset!M102</f>
        <v>635181.35</v>
      </c>
      <c r="N105" s="3" t="n">
        <f aca="false">Original_Dataset!N102</f>
        <v>83341.25</v>
      </c>
    </row>
    <row r="106" customFormat="false" ht="15" hidden="false" customHeight="true" outlineLevel="0" collapsed="false">
      <c r="A106" s="3" t="str">
        <f aca="false">Original_Dataset!A103</f>
        <v>STR-1026</v>
      </c>
      <c r="B106" s="4" t="n">
        <f aca="false">Original_Dataset!B103</f>
        <v>45689</v>
      </c>
      <c r="C106" s="3" t="str">
        <f aca="false">Original_Dataset!C103</f>
        <v>East</v>
      </c>
      <c r="D106" s="3" t="str">
        <f aca="false">Original_Dataset!D103</f>
        <v>Mall</v>
      </c>
      <c r="E106" s="3" t="n">
        <f aca="false">Original_Dataset!E103</f>
        <v>63101.59</v>
      </c>
      <c r="F106" s="3" t="n">
        <f aca="false">Original_Dataset!F103</f>
        <v>4373</v>
      </c>
      <c r="G106" s="3" t="n">
        <f aca="false">Original_Dataset!G103</f>
        <v>0.173</v>
      </c>
      <c r="H106" s="3" t="n">
        <f aca="false">Original_Dataset!H103</f>
        <v>14</v>
      </c>
      <c r="I106" s="3" t="n">
        <f aca="false">Original_Dataset!I103</f>
        <v>90.4</v>
      </c>
      <c r="J106" s="3" t="n">
        <f aca="false">IF(ISBLANK(Original_Dataset!J103),$Q$3,Original_Dataset!J103)</f>
        <v>7.87</v>
      </c>
      <c r="K106" s="3" t="n">
        <f aca="false">Original_Dataset!K103</f>
        <v>0</v>
      </c>
      <c r="L106" s="3" t="n">
        <f aca="false">IF(ISBLANK(Original_Dataset!L103),$Q$4,Original_Dataset!L103)</f>
        <v>4.7</v>
      </c>
      <c r="M106" s="3" t="n">
        <f aca="false">Original_Dataset!M103</f>
        <v>586626.94</v>
      </c>
      <c r="N106" s="3" t="n">
        <f aca="false">Original_Dataset!N103</f>
        <v>86498.55</v>
      </c>
    </row>
    <row r="107" customFormat="false" ht="15" hidden="false" customHeight="true" outlineLevel="0" collapsed="false">
      <c r="A107" s="3" t="str">
        <f aca="false">Original_Dataset!A104</f>
        <v>STR-1026</v>
      </c>
      <c r="B107" s="4" t="n">
        <f aca="false">Original_Dataset!B104</f>
        <v>45717</v>
      </c>
      <c r="C107" s="3" t="str">
        <f aca="false">Original_Dataset!C104</f>
        <v>East</v>
      </c>
      <c r="D107" s="3" t="str">
        <f aca="false">Original_Dataset!D104</f>
        <v>Mall</v>
      </c>
      <c r="E107" s="3" t="n">
        <f aca="false">Original_Dataset!E104</f>
        <v>90084.4</v>
      </c>
      <c r="F107" s="3" t="n">
        <f aca="false">Original_Dataset!F104</f>
        <v>6832</v>
      </c>
      <c r="G107" s="3" t="n">
        <f aca="false">Original_Dataset!G104</f>
        <v>0.185</v>
      </c>
      <c r="H107" s="3" t="n">
        <f aca="false">Original_Dataset!H104</f>
        <v>14</v>
      </c>
      <c r="I107" s="3" t="n">
        <f aca="false">Original_Dataset!I104</f>
        <v>80.5</v>
      </c>
      <c r="J107" s="3" t="n">
        <f aca="false">IF(ISBLANK(Original_Dataset!J104),$Q$3,Original_Dataset!J104)</f>
        <v>0.77</v>
      </c>
      <c r="K107" s="3" t="n">
        <f aca="false">Original_Dataset!K104</f>
        <v>1</v>
      </c>
      <c r="L107" s="3" t="n">
        <f aca="false">IF(ISBLANK(Original_Dataset!L104),$Q$4,Original_Dataset!L104)</f>
        <v>4.4</v>
      </c>
      <c r="M107" s="3" t="n">
        <f aca="false">Original_Dataset!M104</f>
        <v>740102.64</v>
      </c>
      <c r="N107" s="3" t="n">
        <f aca="false">Original_Dataset!N104</f>
        <v>114299.07</v>
      </c>
    </row>
    <row r="108" customFormat="false" ht="15" hidden="false" customHeight="true" outlineLevel="0" collapsed="false">
      <c r="A108" s="3" t="str">
        <f aca="false">Original_Dataset!A105</f>
        <v>STR-1026</v>
      </c>
      <c r="B108" s="4" t="n">
        <f aca="false">Original_Dataset!B105</f>
        <v>45748</v>
      </c>
      <c r="C108" s="3" t="str">
        <f aca="false">Original_Dataset!C105</f>
        <v>East</v>
      </c>
      <c r="D108" s="3" t="str">
        <f aca="false">Original_Dataset!D105</f>
        <v>Mall</v>
      </c>
      <c r="E108" s="3" t="n">
        <f aca="false">Original_Dataset!E105</f>
        <v>32266.64</v>
      </c>
      <c r="F108" s="3" t="n">
        <f aca="false">Original_Dataset!F105</f>
        <v>2414</v>
      </c>
      <c r="G108" s="3" t="n">
        <f aca="false">Original_Dataset!G105</f>
        <v>0.08</v>
      </c>
      <c r="H108" s="3" t="n">
        <f aca="false">Original_Dataset!H105</f>
        <v>7</v>
      </c>
      <c r="I108" s="3" t="n">
        <f aca="false">Original_Dataset!I105</f>
        <v>92.1</v>
      </c>
      <c r="J108" s="3" t="n">
        <f aca="false">IF(ISBLANK(Original_Dataset!J105),$Q$3,Original_Dataset!J105)</f>
        <v>1.48</v>
      </c>
      <c r="K108" s="3" t="n">
        <f aca="false">Original_Dataset!K105</f>
        <v>0</v>
      </c>
      <c r="L108" s="3" t="n">
        <f aca="false">IF(ISBLANK(Original_Dataset!L105),$Q$4,Original_Dataset!L105)</f>
        <v>5</v>
      </c>
      <c r="M108" s="3" t="n">
        <f aca="false">Original_Dataset!M105</f>
        <v>625514.04</v>
      </c>
      <c r="N108" s="3" t="n">
        <f aca="false">Original_Dataset!N105</f>
        <v>120685.08</v>
      </c>
    </row>
    <row r="109" customFormat="false" ht="15" hidden="false" customHeight="true" outlineLevel="0" collapsed="false">
      <c r="A109" s="3" t="str">
        <f aca="false">Original_Dataset!A106</f>
        <v>STR-1027</v>
      </c>
      <c r="B109" s="4" t="n">
        <f aca="false">Original_Dataset!B106</f>
        <v>45658</v>
      </c>
      <c r="C109" s="3" t="str">
        <f aca="false">Original_Dataset!C106</f>
        <v>West</v>
      </c>
      <c r="D109" s="3" t="str">
        <f aca="false">Original_Dataset!D106</f>
        <v>High Street</v>
      </c>
      <c r="E109" s="3" t="n">
        <f aca="false">Original_Dataset!E106</f>
        <v>57919.07</v>
      </c>
      <c r="F109" s="3" t="n">
        <f aca="false">Original_Dataset!F106</f>
        <v>7374</v>
      </c>
      <c r="G109" s="3" t="n">
        <f aca="false">Original_Dataset!G106</f>
        <v>0.103</v>
      </c>
      <c r="H109" s="3" t="n">
        <f aca="false">Original_Dataset!H106</f>
        <v>21</v>
      </c>
      <c r="I109" s="3" t="n">
        <f aca="false">Original_Dataset!I106</f>
        <v>82.3</v>
      </c>
      <c r="J109" s="3" t="n">
        <f aca="false">IF(ISBLANK(Original_Dataset!J106),$Q$3,Original_Dataset!J106)</f>
        <v>2.87</v>
      </c>
      <c r="K109" s="3" t="n">
        <f aca="false">Original_Dataset!K106</f>
        <v>0</v>
      </c>
      <c r="L109" s="3" t="n">
        <f aca="false">IF(ISBLANK(Original_Dataset!L106),$Q$4,Original_Dataset!L106)</f>
        <v>2.9</v>
      </c>
      <c r="M109" s="3" t="n">
        <f aca="false">Original_Dataset!M106</f>
        <v>727227.2</v>
      </c>
      <c r="N109" s="3" t="n">
        <f aca="false">Original_Dataset!N106</f>
        <v>121292.01</v>
      </c>
    </row>
    <row r="110" customFormat="false" ht="15" hidden="false" customHeight="true" outlineLevel="0" collapsed="false">
      <c r="A110" s="3" t="str">
        <f aca="false">Original_Dataset!A107</f>
        <v>STR-1027</v>
      </c>
      <c r="B110" s="4" t="n">
        <f aca="false">Original_Dataset!B107</f>
        <v>45689</v>
      </c>
      <c r="C110" s="3" t="str">
        <f aca="false">Original_Dataset!C107</f>
        <v>West</v>
      </c>
      <c r="D110" s="3" t="str">
        <f aca="false">Original_Dataset!D107</f>
        <v>High Street</v>
      </c>
      <c r="E110" s="3" t="n">
        <f aca="false">Original_Dataset!E107</f>
        <v>74679.35</v>
      </c>
      <c r="F110" s="3" t="n">
        <f aca="false">Original_Dataset!F107</f>
        <v>8739</v>
      </c>
      <c r="G110" s="3" t="n">
        <f aca="false">Original_Dataset!G107</f>
        <v>0.056</v>
      </c>
      <c r="H110" s="3" t="n">
        <f aca="false">Original_Dataset!H107</f>
        <v>21</v>
      </c>
      <c r="I110" s="3" t="n">
        <f aca="false">Original_Dataset!I107</f>
        <v>91.8</v>
      </c>
      <c r="J110" s="3" t="n">
        <f aca="false">IF(ISBLANK(Original_Dataset!J107),$Q$3,Original_Dataset!J107)</f>
        <v>2.83</v>
      </c>
      <c r="K110" s="3" t="n">
        <f aca="false">Original_Dataset!K107</f>
        <v>0</v>
      </c>
      <c r="L110" s="3" t="n">
        <f aca="false">IF(ISBLANK(Original_Dataset!L107),$Q$4,Original_Dataset!L107)</f>
        <v>3</v>
      </c>
      <c r="M110" s="3" t="n">
        <f aca="false">Original_Dataset!M107</f>
        <v>783797.89</v>
      </c>
      <c r="N110" s="3" t="n">
        <f aca="false">Original_Dataset!N107</f>
        <v>157620.7</v>
      </c>
    </row>
    <row r="111" customFormat="false" ht="15" hidden="false" customHeight="true" outlineLevel="0" collapsed="false">
      <c r="A111" s="3" t="str">
        <f aca="false">Original_Dataset!A108</f>
        <v>STR-1027</v>
      </c>
      <c r="B111" s="4" t="n">
        <f aca="false">Original_Dataset!B108</f>
        <v>45717</v>
      </c>
      <c r="C111" s="3" t="str">
        <f aca="false">Original_Dataset!C108</f>
        <v>West</v>
      </c>
      <c r="D111" s="3" t="str">
        <f aca="false">Original_Dataset!D108</f>
        <v>High Street</v>
      </c>
      <c r="E111" s="3" t="n">
        <f aca="false">Original_Dataset!E108</f>
        <v>64294.23</v>
      </c>
      <c r="F111" s="3" t="n">
        <f aca="false">Original_Dataset!F108</f>
        <v>6992</v>
      </c>
      <c r="G111" s="3" t="n">
        <f aca="false">Original_Dataset!G108</f>
        <v>0.133</v>
      </c>
      <c r="H111" s="3" t="n">
        <f aca="false">Original_Dataset!H108</f>
        <v>14</v>
      </c>
      <c r="I111" s="3" t="n">
        <f aca="false">Original_Dataset!I108</f>
        <v>94.1</v>
      </c>
      <c r="J111" s="3" t="n">
        <f aca="false">IF(ISBLANK(Original_Dataset!J108),$Q$3,Original_Dataset!J108)</f>
        <v>0.25</v>
      </c>
      <c r="K111" s="3" t="n">
        <f aca="false">Original_Dataset!K108</f>
        <v>0</v>
      </c>
      <c r="L111" s="3" t="n">
        <f aca="false">IF(ISBLANK(Original_Dataset!L108),$Q$4,Original_Dataset!L108)</f>
        <v>3</v>
      </c>
      <c r="M111" s="3" t="n">
        <f aca="false">Original_Dataset!M108</f>
        <v>795153.84</v>
      </c>
      <c r="N111" s="3" t="n">
        <f aca="false">Original_Dataset!N108</f>
        <v>143194.21</v>
      </c>
    </row>
    <row r="112" customFormat="false" ht="15" hidden="false" customHeight="true" outlineLevel="0" collapsed="false">
      <c r="A112" s="3" t="str">
        <f aca="false">Original_Dataset!A109</f>
        <v>STR-1027</v>
      </c>
      <c r="B112" s="4" t="n">
        <f aca="false">Original_Dataset!B109</f>
        <v>45748</v>
      </c>
      <c r="C112" s="3" t="str">
        <f aca="false">Original_Dataset!C109</f>
        <v>West</v>
      </c>
      <c r="D112" s="3" t="str">
        <f aca="false">Original_Dataset!D109</f>
        <v>High Street</v>
      </c>
      <c r="E112" s="3" t="n">
        <f aca="false">Original_Dataset!E109</f>
        <v>31042.03</v>
      </c>
      <c r="F112" s="3" t="n">
        <f aca="false">Original_Dataset!F109</f>
        <v>7107</v>
      </c>
      <c r="G112" s="3" t="n">
        <f aca="false">Original_Dataset!G109</f>
        <v>0.051</v>
      </c>
      <c r="H112" s="3" t="n">
        <f aca="false">Original_Dataset!H109</f>
        <v>15</v>
      </c>
      <c r="I112" s="3" t="n">
        <f aca="false">Original_Dataset!I109</f>
        <v>87</v>
      </c>
      <c r="J112" s="3" t="n">
        <f aca="false">IF(ISBLANK(Original_Dataset!J109),$Q$3,Original_Dataset!J109)</f>
        <v>13.33</v>
      </c>
      <c r="K112" s="3" t="n">
        <f aca="false">Original_Dataset!K109</f>
        <v>0</v>
      </c>
      <c r="L112" s="3" t="n">
        <f aca="false">IF(ISBLANK(Original_Dataset!L109),$Q$4,Original_Dataset!L109)</f>
        <v>3.2</v>
      </c>
      <c r="M112" s="3" t="n">
        <f aca="false">Original_Dataset!M109</f>
        <v>665594.94</v>
      </c>
      <c r="N112" s="3" t="n">
        <f aca="false">Original_Dataset!N109</f>
        <v>127597.34</v>
      </c>
    </row>
    <row r="113" customFormat="false" ht="15" hidden="false" customHeight="true" outlineLevel="0" collapsed="false">
      <c r="A113" s="3" t="str">
        <f aca="false">Original_Dataset!A110</f>
        <v>STR-1028</v>
      </c>
      <c r="B113" s="4" t="n">
        <f aca="false">Original_Dataset!B110</f>
        <v>45658</v>
      </c>
      <c r="C113" s="3" t="str">
        <f aca="false">Original_Dataset!C110</f>
        <v>East</v>
      </c>
      <c r="D113" s="3" t="str">
        <f aca="false">Original_Dataset!D110</f>
        <v>Mall</v>
      </c>
      <c r="E113" s="3" t="n">
        <f aca="false">Original_Dataset!E110</f>
        <v>75265.02</v>
      </c>
      <c r="F113" s="3" t="n">
        <f aca="false">Original_Dataset!F110</f>
        <v>6975</v>
      </c>
      <c r="G113" s="3" t="n">
        <f aca="false">Original_Dataset!G110</f>
        <v>0.157</v>
      </c>
      <c r="H113" s="3" t="n">
        <f aca="false">Original_Dataset!H110</f>
        <v>20</v>
      </c>
      <c r="I113" s="3" t="n">
        <f aca="false">Original_Dataset!I110</f>
        <v>73.8</v>
      </c>
      <c r="J113" s="3" t="n">
        <f aca="false">IF(ISBLANK(Original_Dataset!J110),$Q$3,Original_Dataset!J110)</f>
        <v>6.35</v>
      </c>
      <c r="K113" s="3" t="n">
        <f aca="false">Original_Dataset!K110</f>
        <v>1</v>
      </c>
      <c r="L113" s="3" t="n">
        <f aca="false">IF(ISBLANK(Original_Dataset!L110),$Q$4,Original_Dataset!L110)</f>
        <v>3.8</v>
      </c>
      <c r="M113" s="3" t="n">
        <f aca="false">Original_Dataset!M110</f>
        <v>709478.39</v>
      </c>
      <c r="N113" s="3" t="n">
        <f aca="false">Original_Dataset!N110</f>
        <v>71294.27</v>
      </c>
    </row>
    <row r="114" customFormat="false" ht="15" hidden="false" customHeight="true" outlineLevel="0" collapsed="false">
      <c r="A114" s="3" t="str">
        <f aca="false">Original_Dataset!A111</f>
        <v>STR-1028</v>
      </c>
      <c r="B114" s="4" t="n">
        <f aca="false">Original_Dataset!B111</f>
        <v>45689</v>
      </c>
      <c r="C114" s="3" t="str">
        <f aca="false">Original_Dataset!C111</f>
        <v>East</v>
      </c>
      <c r="D114" s="3" t="str">
        <f aca="false">Original_Dataset!D111</f>
        <v>Mall</v>
      </c>
      <c r="E114" s="3" t="n">
        <f aca="false">Original_Dataset!E111</f>
        <v>69411.7</v>
      </c>
      <c r="F114" s="3" t="n">
        <f aca="false">Original_Dataset!F111</f>
        <v>5493</v>
      </c>
      <c r="G114" s="3" t="n">
        <f aca="false">Original_Dataset!G111</f>
        <v>0.292</v>
      </c>
      <c r="H114" s="3" t="n">
        <f aca="false">Original_Dataset!H111</f>
        <v>13</v>
      </c>
      <c r="I114" s="3" t="n">
        <f aca="false">Original_Dataset!I111</f>
        <v>86.5</v>
      </c>
      <c r="J114" s="3" t="n">
        <f aca="false">IF(ISBLANK(Original_Dataset!J111),$Q$3,Original_Dataset!J111)</f>
        <v>6.69</v>
      </c>
      <c r="K114" s="3" t="n">
        <f aca="false">Original_Dataset!K111</f>
        <v>0</v>
      </c>
      <c r="L114" s="3" t="n">
        <f aca="false">IF(ISBLANK(Original_Dataset!L111),$Q$4,Original_Dataset!L111)</f>
        <v>3.8</v>
      </c>
      <c r="M114" s="3" t="n">
        <f aca="false">Original_Dataset!M111</f>
        <v>664162.49</v>
      </c>
      <c r="N114" s="3" t="n">
        <f aca="false">Original_Dataset!N111</f>
        <v>98291.06</v>
      </c>
    </row>
    <row r="115" customFormat="false" ht="15" hidden="false" customHeight="true" outlineLevel="0" collapsed="false">
      <c r="A115" s="3" t="str">
        <f aca="false">Original_Dataset!A112</f>
        <v>STR-1028</v>
      </c>
      <c r="B115" s="4" t="n">
        <f aca="false">Original_Dataset!B112</f>
        <v>45717</v>
      </c>
      <c r="C115" s="3" t="str">
        <f aca="false">Original_Dataset!C112</f>
        <v>East</v>
      </c>
      <c r="D115" s="3" t="str">
        <f aca="false">Original_Dataset!D112</f>
        <v>Mall</v>
      </c>
      <c r="E115" s="3" t="n">
        <f aca="false">Original_Dataset!E112</f>
        <v>51056.15</v>
      </c>
      <c r="F115" s="3" t="n">
        <f aca="false">Original_Dataset!F112</f>
        <v>5686</v>
      </c>
      <c r="G115" s="3" t="n">
        <f aca="false">Original_Dataset!G112</f>
        <v>0.089</v>
      </c>
      <c r="H115" s="3" t="n">
        <f aca="false">Original_Dataset!H112</f>
        <v>13</v>
      </c>
      <c r="I115" s="3" t="n">
        <f aca="false">Original_Dataset!I112</f>
        <v>89.9</v>
      </c>
      <c r="J115" s="3" t="n">
        <f aca="false">IF(ISBLANK(Original_Dataset!J112),$Q$3,Original_Dataset!J112)</f>
        <v>1.28</v>
      </c>
      <c r="K115" s="3" t="n">
        <f aca="false">Original_Dataset!K112</f>
        <v>0</v>
      </c>
      <c r="L115" s="3" t="n">
        <f aca="false">IF(ISBLANK(Original_Dataset!L112),$Q$4,Original_Dataset!L112)</f>
        <v>4.2</v>
      </c>
      <c r="M115" s="3" t="n">
        <f aca="false">Original_Dataset!M112</f>
        <v>633494.21</v>
      </c>
      <c r="N115" s="3" t="n">
        <f aca="false">Original_Dataset!N112</f>
        <v>105739.47</v>
      </c>
    </row>
    <row r="116" customFormat="false" ht="15" hidden="false" customHeight="true" outlineLevel="0" collapsed="false">
      <c r="A116" s="3" t="str">
        <f aca="false">Original_Dataset!A113</f>
        <v>STR-1028</v>
      </c>
      <c r="B116" s="4" t="n">
        <f aca="false">Original_Dataset!B113</f>
        <v>45748</v>
      </c>
      <c r="C116" s="3" t="str">
        <f aca="false">Original_Dataset!C113</f>
        <v>East</v>
      </c>
      <c r="D116" s="3" t="str">
        <f aca="false">Original_Dataset!D113</f>
        <v>Mall</v>
      </c>
      <c r="E116" s="3" t="n">
        <f aca="false">Original_Dataset!E113</f>
        <v>52758.01</v>
      </c>
      <c r="F116" s="3" t="n">
        <f aca="false">Original_Dataset!F113</f>
        <v>4063</v>
      </c>
      <c r="G116" s="3" t="n">
        <f aca="false">Original_Dataset!G113</f>
        <v>0.057</v>
      </c>
      <c r="H116" s="3" t="n">
        <f aca="false">Original_Dataset!H113</f>
        <v>12</v>
      </c>
      <c r="I116" s="3" t="n">
        <f aca="false">Original_Dataset!I113</f>
        <v>91.7</v>
      </c>
      <c r="J116" s="3" t="n">
        <f aca="false">IF(ISBLANK(Original_Dataset!J113),$Q$3,Original_Dataset!J113)</f>
        <v>0.92</v>
      </c>
      <c r="K116" s="3" t="n">
        <f aca="false">Original_Dataset!K113</f>
        <v>0</v>
      </c>
      <c r="L116" s="3" t="n">
        <f aca="false">IF(ISBLANK(Original_Dataset!L113),$Q$4,Original_Dataset!L113)</f>
        <v>3.5</v>
      </c>
      <c r="M116" s="3" t="n">
        <f aca="false">Original_Dataset!M113</f>
        <v>713611.16</v>
      </c>
      <c r="N116" s="3" t="n">
        <f aca="false">Original_Dataset!N113</f>
        <v>129717.18</v>
      </c>
    </row>
    <row r="117" customFormat="false" ht="15" hidden="false" customHeight="true" outlineLevel="0" collapsed="false">
      <c r="A117" s="3" t="str">
        <f aca="false">Original_Dataset!A114</f>
        <v>STR-1029</v>
      </c>
      <c r="B117" s="4" t="n">
        <f aca="false">Original_Dataset!B114</f>
        <v>45658</v>
      </c>
      <c r="C117" s="3" t="str">
        <f aca="false">Original_Dataset!C114</f>
        <v>West</v>
      </c>
      <c r="D117" s="3" t="str">
        <f aca="false">Original_Dataset!D114</f>
        <v>Mall</v>
      </c>
      <c r="E117" s="3" t="n">
        <f aca="false">Original_Dataset!E114</f>
        <v>61426.04</v>
      </c>
      <c r="F117" s="3" t="n">
        <f aca="false">Original_Dataset!F114</f>
        <v>8966</v>
      </c>
      <c r="G117" s="3" t="n">
        <f aca="false">Original_Dataset!G114</f>
        <v>0.173</v>
      </c>
      <c r="H117" s="3" t="n">
        <f aca="false">Original_Dataset!H114</f>
        <v>22</v>
      </c>
      <c r="I117" s="3" t="n">
        <f aca="false">Original_Dataset!I114</f>
        <v>76.4</v>
      </c>
      <c r="J117" s="3" t="n">
        <f aca="false">IF(ISBLANK(Original_Dataset!J114),$Q$3,Original_Dataset!J114)</f>
        <v>1.05</v>
      </c>
      <c r="K117" s="3" t="n">
        <f aca="false">Original_Dataset!K114</f>
        <v>0</v>
      </c>
      <c r="L117" s="3" t="n">
        <f aca="false">IF(ISBLANK(Original_Dataset!L114),$Q$4,Original_Dataset!L114)</f>
        <v>3.1</v>
      </c>
      <c r="M117" s="3" t="n">
        <f aca="false">Original_Dataset!M114</f>
        <v>778397.97</v>
      </c>
      <c r="N117" s="3" t="n">
        <f aca="false">Original_Dataset!N114</f>
        <v>120044.41</v>
      </c>
    </row>
    <row r="118" customFormat="false" ht="15" hidden="false" customHeight="true" outlineLevel="0" collapsed="false">
      <c r="A118" s="3" t="str">
        <f aca="false">Original_Dataset!A115</f>
        <v>STR-1029</v>
      </c>
      <c r="B118" s="4" t="n">
        <f aca="false">Original_Dataset!B115</f>
        <v>45689</v>
      </c>
      <c r="C118" s="3" t="str">
        <f aca="false">Original_Dataset!C115</f>
        <v>West</v>
      </c>
      <c r="D118" s="3" t="str">
        <f aca="false">Original_Dataset!D115</f>
        <v>Mall</v>
      </c>
      <c r="E118" s="3" t="n">
        <f aca="false">Original_Dataset!E115</f>
        <v>80176.34</v>
      </c>
      <c r="F118" s="3" t="n">
        <f aca="false">Original_Dataset!F115</f>
        <v>9489</v>
      </c>
      <c r="G118" s="3" t="n">
        <f aca="false">Original_Dataset!G115</f>
        <v>0.142</v>
      </c>
      <c r="H118" s="3" t="n">
        <f aca="false">Original_Dataset!H115</f>
        <v>22</v>
      </c>
      <c r="I118" s="3" t="n">
        <f aca="false">Original_Dataset!I115</f>
        <v>94.3</v>
      </c>
      <c r="J118" s="3" t="n">
        <f aca="false">IF(ISBLANK(Original_Dataset!J115),$Q$3,Original_Dataset!J115)</f>
        <v>2.67</v>
      </c>
      <c r="K118" s="3" t="n">
        <f aca="false">Original_Dataset!K115</f>
        <v>0</v>
      </c>
      <c r="L118" s="3" t="n">
        <f aca="false">IF(ISBLANK(Original_Dataset!L115),$Q$4,Original_Dataset!L115)</f>
        <v>3.5</v>
      </c>
      <c r="M118" s="3" t="n">
        <f aca="false">Original_Dataset!M115</f>
        <v>873380.02</v>
      </c>
      <c r="N118" s="3" t="n">
        <f aca="false">Original_Dataset!N115</f>
        <v>149734.76</v>
      </c>
    </row>
    <row r="119" customFormat="false" ht="15" hidden="false" customHeight="true" outlineLevel="0" collapsed="false">
      <c r="A119" s="3" t="str">
        <f aca="false">Original_Dataset!A116</f>
        <v>STR-1029</v>
      </c>
      <c r="B119" s="4" t="n">
        <f aca="false">Original_Dataset!B116</f>
        <v>45717</v>
      </c>
      <c r="C119" s="3" t="str">
        <f aca="false">Original_Dataset!C116</f>
        <v>West</v>
      </c>
      <c r="D119" s="3" t="str">
        <f aca="false">Original_Dataset!D116</f>
        <v>Mall</v>
      </c>
      <c r="E119" s="3" t="n">
        <f aca="false">Original_Dataset!E116</f>
        <v>33605.18</v>
      </c>
      <c r="F119" s="3" t="n">
        <f aca="false">Original_Dataset!F116</f>
        <v>9225</v>
      </c>
      <c r="G119" s="3" t="n">
        <f aca="false">Original_Dataset!G116</f>
        <v>0.159</v>
      </c>
      <c r="H119" s="3" t="n">
        <f aca="false">Original_Dataset!H116</f>
        <v>23</v>
      </c>
      <c r="I119" s="3" t="n">
        <f aca="false">Original_Dataset!I116</f>
        <v>88.4</v>
      </c>
      <c r="J119" s="3" t="n">
        <f aca="false">IF(ISBLANK(Original_Dataset!J116),$Q$3,Original_Dataset!J116)</f>
        <v>5.91</v>
      </c>
      <c r="K119" s="3" t="n">
        <f aca="false">Original_Dataset!K116</f>
        <v>0</v>
      </c>
      <c r="L119" s="3" t="n">
        <f aca="false">IF(ISBLANK(Original_Dataset!L116),$Q$4,Original_Dataset!L116)</f>
        <v>2.8</v>
      </c>
      <c r="M119" s="3" t="n">
        <f aca="false">Original_Dataset!M116</f>
        <v>697287.9</v>
      </c>
      <c r="N119" s="3" t="n">
        <f aca="false">Original_Dataset!N116</f>
        <v>128208.33</v>
      </c>
    </row>
    <row r="120" customFormat="false" ht="15" hidden="false" customHeight="true" outlineLevel="0" collapsed="false">
      <c r="A120" s="3" t="str">
        <f aca="false">Original_Dataset!A117</f>
        <v>STR-1029</v>
      </c>
      <c r="B120" s="4" t="n">
        <f aca="false">Original_Dataset!B117</f>
        <v>45748</v>
      </c>
      <c r="C120" s="3" t="str">
        <f aca="false">Original_Dataset!C117</f>
        <v>West</v>
      </c>
      <c r="D120" s="3" t="str">
        <f aca="false">Original_Dataset!D117</f>
        <v>Mall</v>
      </c>
      <c r="E120" s="3" t="n">
        <f aca="false">Original_Dataset!E117</f>
        <v>25990.54</v>
      </c>
      <c r="F120" s="3" t="n">
        <f aca="false">Original_Dataset!F117</f>
        <v>9249</v>
      </c>
      <c r="G120" s="3" t="n">
        <f aca="false">Original_Dataset!G117</f>
        <v>0.139</v>
      </c>
      <c r="H120" s="3" t="n">
        <f aca="false">Original_Dataset!H117</f>
        <v>23</v>
      </c>
      <c r="I120" s="3" t="n">
        <f aca="false">Original_Dataset!I117</f>
        <v>92.5</v>
      </c>
      <c r="J120" s="3" t="n">
        <f aca="false">IF(ISBLANK(Original_Dataset!J117),$Q$3,Original_Dataset!J117)</f>
        <v>6.37</v>
      </c>
      <c r="K120" s="3" t="n">
        <f aca="false">Original_Dataset!K117</f>
        <v>0</v>
      </c>
      <c r="L120" s="3" t="n">
        <f aca="false">IF(ISBLANK(Original_Dataset!L117),$Q$4,Original_Dataset!L117)</f>
        <v>3.3</v>
      </c>
      <c r="M120" s="3" t="n">
        <f aca="false">Original_Dataset!M117</f>
        <v>718074.79</v>
      </c>
      <c r="N120" s="3" t="n">
        <f aca="false">Original_Dataset!N117</f>
        <v>115819.87</v>
      </c>
    </row>
    <row r="121" customFormat="false" ht="15" hidden="false" customHeight="true" outlineLevel="0" collapsed="false">
      <c r="A121" s="3" t="str">
        <f aca="false">Original_Dataset!A118</f>
        <v>STR-1030</v>
      </c>
      <c r="B121" s="4" t="n">
        <f aca="false">Original_Dataset!B118</f>
        <v>45658</v>
      </c>
      <c r="C121" s="3" t="str">
        <f aca="false">Original_Dataset!C118</f>
        <v>West</v>
      </c>
      <c r="D121" s="3" t="str">
        <f aca="false">Original_Dataset!D118</f>
        <v>Residential</v>
      </c>
      <c r="E121" s="3" t="n">
        <f aca="false">Original_Dataset!E118</f>
        <v>43685.14</v>
      </c>
      <c r="F121" s="3" t="n">
        <f aca="false">Original_Dataset!F118</f>
        <v>7821</v>
      </c>
      <c r="G121" s="3" t="n">
        <f aca="false">Original_Dataset!G118</f>
        <v>0.19</v>
      </c>
      <c r="H121" s="3" t="n">
        <f aca="false">Original_Dataset!H118</f>
        <v>17</v>
      </c>
      <c r="I121" s="3" t="n">
        <f aca="false">Original_Dataset!I118</f>
        <v>91</v>
      </c>
      <c r="J121" s="3" t="n">
        <f aca="false">IF(ISBLANK(Original_Dataset!J118),$Q$3,Original_Dataset!J118)</f>
        <v>2.49</v>
      </c>
      <c r="K121" s="3" t="n">
        <f aca="false">Original_Dataset!K118</f>
        <v>1</v>
      </c>
      <c r="L121" s="3" t="n">
        <f aca="false">IF(ISBLANK(Original_Dataset!L118),$Q$4,Original_Dataset!L118)</f>
        <v>4.7</v>
      </c>
      <c r="M121" s="3" t="n">
        <f aca="false">Original_Dataset!M118</f>
        <v>714942.43</v>
      </c>
      <c r="N121" s="3" t="n">
        <f aca="false">Original_Dataset!N118</f>
        <v>94697.71</v>
      </c>
    </row>
    <row r="122" customFormat="false" ht="15" hidden="false" customHeight="true" outlineLevel="0" collapsed="false">
      <c r="A122" s="3" t="str">
        <f aca="false">Original_Dataset!A119</f>
        <v>STR-1030</v>
      </c>
      <c r="B122" s="4" t="n">
        <f aca="false">Original_Dataset!B119</f>
        <v>45689</v>
      </c>
      <c r="C122" s="3" t="str">
        <f aca="false">Original_Dataset!C119</f>
        <v>West</v>
      </c>
      <c r="D122" s="3" t="str">
        <f aca="false">Original_Dataset!D119</f>
        <v>Residential</v>
      </c>
      <c r="E122" s="3" t="n">
        <f aca="false">Original_Dataset!E119</f>
        <v>57360.01</v>
      </c>
      <c r="F122" s="3" t="n">
        <f aca="false">Original_Dataset!F119</f>
        <v>8434</v>
      </c>
      <c r="G122" s="3" t="n">
        <f aca="false">Original_Dataset!G119</f>
        <v>0.151</v>
      </c>
      <c r="H122" s="3" t="n">
        <f aca="false">Original_Dataset!H119</f>
        <v>19</v>
      </c>
      <c r="I122" s="3" t="n">
        <f aca="false">Original_Dataset!I119</f>
        <v>84.1</v>
      </c>
      <c r="J122" s="3" t="n">
        <f aca="false">IF(ISBLANK(Original_Dataset!J119),$Q$3,Original_Dataset!J119)</f>
        <v>1.56</v>
      </c>
      <c r="K122" s="3" t="n">
        <f aca="false">Original_Dataset!K119</f>
        <v>0</v>
      </c>
      <c r="L122" s="3" t="n">
        <f aca="false">IF(ISBLANK(Original_Dataset!L119),$Q$4,Original_Dataset!L119)</f>
        <v>4.7</v>
      </c>
      <c r="M122" s="3" t="n">
        <f aca="false">Original_Dataset!M119</f>
        <v>820519.04</v>
      </c>
      <c r="N122" s="3" t="n">
        <f aca="false">Original_Dataset!N119</f>
        <v>99035.88</v>
      </c>
    </row>
    <row r="123" customFormat="false" ht="15" hidden="false" customHeight="true" outlineLevel="0" collapsed="false">
      <c r="A123" s="3" t="str">
        <f aca="false">Original_Dataset!A120</f>
        <v>STR-1030</v>
      </c>
      <c r="B123" s="4" t="n">
        <f aca="false">Original_Dataset!B120</f>
        <v>45717</v>
      </c>
      <c r="C123" s="3" t="str">
        <f aca="false">Original_Dataset!C120</f>
        <v>West</v>
      </c>
      <c r="D123" s="3" t="str">
        <f aca="false">Original_Dataset!D120</f>
        <v>Residential</v>
      </c>
      <c r="E123" s="3" t="n">
        <f aca="false">Original_Dataset!E120</f>
        <v>42415.47</v>
      </c>
      <c r="F123" s="3" t="n">
        <f aca="false">Original_Dataset!F120</f>
        <v>8512</v>
      </c>
      <c r="G123" s="3" t="n">
        <f aca="false">Original_Dataset!G120</f>
        <v>0.133</v>
      </c>
      <c r="H123" s="3" t="n">
        <f aca="false">Original_Dataset!H120</f>
        <v>18</v>
      </c>
      <c r="I123" s="3" t="n">
        <f aca="false">Original_Dataset!I120</f>
        <v>96.8</v>
      </c>
      <c r="J123" s="3" t="n">
        <f aca="false">IF(ISBLANK(Original_Dataset!J120),$Q$3,Original_Dataset!J120)</f>
        <v>14.95</v>
      </c>
      <c r="K123" s="3" t="n">
        <f aca="false">Original_Dataset!K120</f>
        <v>0</v>
      </c>
      <c r="L123" s="3" t="n">
        <f aca="false">IF(ISBLANK(Original_Dataset!L120),$Q$4,Original_Dataset!L120)</f>
        <v>4.6</v>
      </c>
      <c r="M123" s="3" t="n">
        <f aca="false">Original_Dataset!M120</f>
        <v>684217.32</v>
      </c>
      <c r="N123" s="3" t="n">
        <f aca="false">Original_Dataset!N120</f>
        <v>136217.19</v>
      </c>
    </row>
    <row r="124" customFormat="false" ht="15" hidden="false" customHeight="true" outlineLevel="0" collapsed="false">
      <c r="A124" s="3" t="str">
        <f aca="false">Original_Dataset!A121</f>
        <v>STR-1030</v>
      </c>
      <c r="B124" s="4" t="n">
        <f aca="false">Original_Dataset!B121</f>
        <v>45748</v>
      </c>
      <c r="C124" s="3" t="str">
        <f aca="false">Original_Dataset!C121</f>
        <v>West</v>
      </c>
      <c r="D124" s="3" t="str">
        <f aca="false">Original_Dataset!D121</f>
        <v>Residential</v>
      </c>
      <c r="E124" s="3" t="n">
        <f aca="false">Original_Dataset!E121</f>
        <v>54968.98</v>
      </c>
      <c r="F124" s="3" t="n">
        <f aca="false">Original_Dataset!F121</f>
        <v>7816</v>
      </c>
      <c r="G124" s="3" t="n">
        <f aca="false">Original_Dataset!G121</f>
        <v>0.232</v>
      </c>
      <c r="H124" s="3" t="n">
        <f aca="false">Original_Dataset!H121</f>
        <v>19</v>
      </c>
      <c r="I124" s="3" t="n">
        <f aca="false">Original_Dataset!I121</f>
        <v>95.7</v>
      </c>
      <c r="J124" s="3" t="n">
        <f aca="false">IF(ISBLANK(Original_Dataset!J121),$Q$3,Original_Dataset!J121)</f>
        <v>7.85</v>
      </c>
      <c r="K124" s="3" t="n">
        <f aca="false">Original_Dataset!K121</f>
        <v>0</v>
      </c>
      <c r="L124" s="3" t="n">
        <f aca="false">IF(ISBLANK(Original_Dataset!L121),$Q$4,Original_Dataset!L121)</f>
        <v>4.7</v>
      </c>
      <c r="M124" s="3" t="n">
        <f aca="false">Original_Dataset!M121</f>
        <v>735480.19</v>
      </c>
      <c r="N124" s="3" t="n">
        <f aca="false">Original_Dataset!N121</f>
        <v>88342.11</v>
      </c>
    </row>
    <row r="125" customFormat="false" ht="15" hidden="false" customHeight="true" outlineLevel="0" collapsed="false">
      <c r="A125" s="3" t="str">
        <f aca="false">Original_Dataset!A122</f>
        <v>STR-1031</v>
      </c>
      <c r="B125" s="4" t="n">
        <f aca="false">Original_Dataset!B122</f>
        <v>45658</v>
      </c>
      <c r="C125" s="3" t="str">
        <f aca="false">Original_Dataset!C122</f>
        <v>North</v>
      </c>
      <c r="D125" s="3" t="str">
        <f aca="false">Original_Dataset!D122</f>
        <v>High Street</v>
      </c>
      <c r="E125" s="3" t="n">
        <f aca="false">Original_Dataset!E122</f>
        <v>43896.13</v>
      </c>
      <c r="F125" s="3" t="n">
        <f aca="false">Original_Dataset!F122</f>
        <v>3853</v>
      </c>
      <c r="G125" s="3" t="n">
        <f aca="false">Original_Dataset!G122</f>
        <v>0.088</v>
      </c>
      <c r="H125" s="3" t="n">
        <f aca="false">Original_Dataset!H122</f>
        <v>13</v>
      </c>
      <c r="I125" s="3" t="n">
        <f aca="false">Original_Dataset!I122</f>
        <v>83</v>
      </c>
      <c r="J125" s="3" t="n">
        <f aca="false">IF(ISBLANK(Original_Dataset!J122),$Q$3,Original_Dataset!J122)</f>
        <v>6.8</v>
      </c>
      <c r="K125" s="3" t="n">
        <f aca="false">Original_Dataset!K122</f>
        <v>0</v>
      </c>
      <c r="L125" s="3" t="n">
        <f aca="false">IF(ISBLANK(Original_Dataset!L122),$Q$4,Original_Dataset!L122)</f>
        <v>4.4</v>
      </c>
      <c r="M125" s="3" t="n">
        <f aca="false">Original_Dataset!M122</f>
        <v>509484.81</v>
      </c>
      <c r="N125" s="3" t="n">
        <f aca="false">Original_Dataset!N122</f>
        <v>85742.36</v>
      </c>
    </row>
    <row r="126" customFormat="false" ht="15" hidden="false" customHeight="true" outlineLevel="0" collapsed="false">
      <c r="A126" s="3" t="str">
        <f aca="false">Original_Dataset!A123</f>
        <v>STR-1031</v>
      </c>
      <c r="B126" s="4" t="n">
        <f aca="false">Original_Dataset!B123</f>
        <v>45689</v>
      </c>
      <c r="C126" s="3" t="str">
        <f aca="false">Original_Dataset!C123</f>
        <v>North</v>
      </c>
      <c r="D126" s="3" t="str">
        <f aca="false">Original_Dataset!D123</f>
        <v>High Street</v>
      </c>
      <c r="E126" s="3" t="n">
        <f aca="false">Original_Dataset!E123</f>
        <v>83044.17</v>
      </c>
      <c r="F126" s="3" t="n">
        <f aca="false">Original_Dataset!F123</f>
        <v>3694</v>
      </c>
      <c r="G126" s="3" t="n">
        <f aca="false">Original_Dataset!G123</f>
        <v>0</v>
      </c>
      <c r="H126" s="3" t="n">
        <f aca="false">Original_Dataset!H123</f>
        <v>14</v>
      </c>
      <c r="I126" s="3" t="n">
        <f aca="false">Original_Dataset!I123</f>
        <v>89.4</v>
      </c>
      <c r="J126" s="3" t="n">
        <f aca="false">IF(ISBLANK(Original_Dataset!J123),$Q$3,Original_Dataset!J123)</f>
        <v>2.2</v>
      </c>
      <c r="K126" s="3" t="n">
        <f aca="false">Original_Dataset!K123</f>
        <v>0</v>
      </c>
      <c r="L126" s="3" t="n">
        <f aca="false">IF(ISBLANK(Original_Dataset!L123),$Q$4,Original_Dataset!L123)</f>
        <v>3.7</v>
      </c>
      <c r="M126" s="3" t="n">
        <f aca="false">Original_Dataset!M123</f>
        <v>654317.09</v>
      </c>
      <c r="N126" s="3" t="n">
        <f aca="false">Original_Dataset!N123</f>
        <v>121446.89</v>
      </c>
    </row>
    <row r="127" customFormat="false" ht="15" hidden="false" customHeight="true" outlineLevel="0" collapsed="false">
      <c r="A127" s="3" t="str">
        <f aca="false">Original_Dataset!A124</f>
        <v>STR-1031</v>
      </c>
      <c r="B127" s="4" t="n">
        <f aca="false">Original_Dataset!B124</f>
        <v>45717</v>
      </c>
      <c r="C127" s="3" t="str">
        <f aca="false">Original_Dataset!C124</f>
        <v>North</v>
      </c>
      <c r="D127" s="3" t="str">
        <f aca="false">Original_Dataset!D124</f>
        <v>High Street</v>
      </c>
      <c r="E127" s="3" t="n">
        <f aca="false">Original_Dataset!E124</f>
        <v>48396.13</v>
      </c>
      <c r="F127" s="3" t="n">
        <f aca="false">Original_Dataset!F124</f>
        <v>4423</v>
      </c>
      <c r="G127" s="3" t="n">
        <f aca="false">Original_Dataset!G124</f>
        <v>0.069</v>
      </c>
      <c r="H127" s="3" t="n">
        <f aca="false">Original_Dataset!H124</f>
        <v>15</v>
      </c>
      <c r="I127" s="3" t="n">
        <f aca="false">Original_Dataset!I124</f>
        <v>85.7</v>
      </c>
      <c r="J127" s="3" t="n">
        <f aca="false">IF(ISBLANK(Original_Dataset!J124),$Q$3,Original_Dataset!J124)</f>
        <v>1.88</v>
      </c>
      <c r="K127" s="3" t="n">
        <f aca="false">Original_Dataset!K124</f>
        <v>0</v>
      </c>
      <c r="L127" s="3" t="n">
        <f aca="false">IF(ISBLANK(Original_Dataset!L124),$Q$4,Original_Dataset!L124)</f>
        <v>3.9</v>
      </c>
      <c r="M127" s="3" t="n">
        <f aca="false">Original_Dataset!M124</f>
        <v>557487.26</v>
      </c>
      <c r="N127" s="3" t="n">
        <f aca="false">Original_Dataset!N124</f>
        <v>76432.19</v>
      </c>
    </row>
    <row r="128" customFormat="false" ht="15" hidden="false" customHeight="true" outlineLevel="0" collapsed="false">
      <c r="A128" s="3" t="str">
        <f aca="false">Original_Dataset!A125</f>
        <v>STR-1031</v>
      </c>
      <c r="B128" s="4" t="n">
        <f aca="false">Original_Dataset!B125</f>
        <v>45748</v>
      </c>
      <c r="C128" s="3" t="str">
        <f aca="false">Original_Dataset!C125</f>
        <v>North</v>
      </c>
      <c r="D128" s="3" t="str">
        <f aca="false">Original_Dataset!D125</f>
        <v>High Street</v>
      </c>
      <c r="E128" s="3" t="n">
        <f aca="false">Original_Dataset!E125</f>
        <v>19063.48</v>
      </c>
      <c r="F128" s="3" t="n">
        <f aca="false">Original_Dataset!F125</f>
        <v>1906</v>
      </c>
      <c r="G128" s="3" t="n">
        <f aca="false">Original_Dataset!G125</f>
        <v>0.216</v>
      </c>
      <c r="H128" s="3" t="n">
        <f aca="false">Original_Dataset!H125</f>
        <v>10</v>
      </c>
      <c r="I128" s="3" t="n">
        <f aca="false">Original_Dataset!I125</f>
        <v>97.8</v>
      </c>
      <c r="J128" s="3" t="n">
        <f aca="false">IF(ISBLANK(Original_Dataset!J125),$Q$3,Original_Dataset!J125)</f>
        <v>15.79</v>
      </c>
      <c r="K128" s="3" t="n">
        <f aca="false">Original_Dataset!K125</f>
        <v>0</v>
      </c>
      <c r="L128" s="3" t="n">
        <f aca="false">IF(ISBLANK(Original_Dataset!L125),$Q$4,Original_Dataset!L125)</f>
        <v>4.4</v>
      </c>
      <c r="M128" s="3" t="n">
        <f aca="false">Original_Dataset!M125</f>
        <v>441275.42</v>
      </c>
      <c r="N128" s="3" t="n">
        <f aca="false">Original_Dataset!N125</f>
        <v>58234.87</v>
      </c>
    </row>
    <row r="129" customFormat="false" ht="15" hidden="false" customHeight="true" outlineLevel="0" collapsed="false">
      <c r="A129" s="3" t="str">
        <f aca="false">Original_Dataset!A126</f>
        <v>STR-1032</v>
      </c>
      <c r="B129" s="4" t="n">
        <f aca="false">Original_Dataset!B126</f>
        <v>45658</v>
      </c>
      <c r="C129" s="3" t="str">
        <f aca="false">Original_Dataset!C126</f>
        <v>South</v>
      </c>
      <c r="D129" s="3" t="str">
        <f aca="false">Original_Dataset!D126</f>
        <v>High Street</v>
      </c>
      <c r="E129" s="3" t="n">
        <f aca="false">Original_Dataset!E126</f>
        <v>61541.21</v>
      </c>
      <c r="F129" s="3" t="n">
        <f aca="false">Original_Dataset!F126</f>
        <v>10396</v>
      </c>
      <c r="G129" s="3" t="n">
        <f aca="false">Original_Dataset!G126</f>
        <v>0.123</v>
      </c>
      <c r="H129" s="3" t="n">
        <f aca="false">Original_Dataset!H126</f>
        <v>25</v>
      </c>
      <c r="I129" s="3" t="n">
        <f aca="false">Original_Dataset!I126</f>
        <v>88.1</v>
      </c>
      <c r="J129" s="3" t="n">
        <f aca="false">IF(ISBLANK(Original_Dataset!J126),$Q$3,Original_Dataset!J126)</f>
        <v>2.34</v>
      </c>
      <c r="K129" s="3" t="n">
        <f aca="false">Original_Dataset!K126</f>
        <v>1</v>
      </c>
      <c r="L129" s="3" t="n">
        <f aca="false">IF(ISBLANK(Original_Dataset!L126),$Q$4,Original_Dataset!L126)</f>
        <v>4.8</v>
      </c>
      <c r="M129" s="3" t="n">
        <f aca="false">Original_Dataset!M126</f>
        <v>914544.17</v>
      </c>
      <c r="N129" s="3" t="n">
        <f aca="false">Original_Dataset!N126</f>
        <v>79831.73</v>
      </c>
    </row>
    <row r="130" customFormat="false" ht="15" hidden="false" customHeight="true" outlineLevel="0" collapsed="false">
      <c r="A130" s="3" t="str">
        <f aca="false">Original_Dataset!A127</f>
        <v>STR-1032</v>
      </c>
      <c r="B130" s="4" t="n">
        <f aca="false">Original_Dataset!B127</f>
        <v>45689</v>
      </c>
      <c r="C130" s="3" t="str">
        <f aca="false">Original_Dataset!C127</f>
        <v>South</v>
      </c>
      <c r="D130" s="3" t="str">
        <f aca="false">Original_Dataset!D127</f>
        <v>High Street</v>
      </c>
      <c r="E130" s="3" t="n">
        <f aca="false">Original_Dataset!E127</f>
        <v>44747</v>
      </c>
      <c r="F130" s="3" t="n">
        <f aca="false">Original_Dataset!F127</f>
        <v>11076</v>
      </c>
      <c r="G130" s="3" t="n">
        <f aca="false">Original_Dataset!G127</f>
        <v>0.176</v>
      </c>
      <c r="H130" s="3" t="n">
        <f aca="false">Original_Dataset!H127</f>
        <v>27</v>
      </c>
      <c r="I130" s="3" t="n">
        <f aca="false">Original_Dataset!I127</f>
        <v>98.3</v>
      </c>
      <c r="J130" s="3" t="n">
        <f aca="false">IF(ISBLANK(Original_Dataset!J127),$Q$3,Original_Dataset!J127)</f>
        <v>0.54</v>
      </c>
      <c r="K130" s="3" t="n">
        <f aca="false">Original_Dataset!K127</f>
        <v>0</v>
      </c>
      <c r="L130" s="3" t="n">
        <f aca="false">IF(ISBLANK(Original_Dataset!L127),$Q$4,Original_Dataset!L127)</f>
        <v>4.4</v>
      </c>
      <c r="M130" s="3" t="n">
        <f aca="false">Original_Dataset!M127</f>
        <v>842439.67</v>
      </c>
      <c r="N130" s="3" t="n">
        <f aca="false">Original_Dataset!N127</f>
        <v>169983.63</v>
      </c>
    </row>
    <row r="131" customFormat="false" ht="15" hidden="false" customHeight="true" outlineLevel="0" collapsed="false">
      <c r="A131" s="3" t="str">
        <f aca="false">Original_Dataset!A128</f>
        <v>STR-1032</v>
      </c>
      <c r="B131" s="4" t="n">
        <f aca="false">Original_Dataset!B128</f>
        <v>45717</v>
      </c>
      <c r="C131" s="3" t="str">
        <f aca="false">Original_Dataset!C128</f>
        <v>South</v>
      </c>
      <c r="D131" s="3" t="str">
        <f aca="false">Original_Dataset!D128</f>
        <v>High Street</v>
      </c>
      <c r="E131" s="3" t="n">
        <f aca="false">Original_Dataset!E128</f>
        <v>56517.9</v>
      </c>
      <c r="F131" s="3" t="n">
        <f aca="false">Original_Dataset!F128</f>
        <v>9574</v>
      </c>
      <c r="G131" s="3" t="n">
        <f aca="false">Original_Dataset!G128</f>
        <v>0.204</v>
      </c>
      <c r="H131" s="3" t="n">
        <f aca="false">Original_Dataset!H128</f>
        <v>20</v>
      </c>
      <c r="I131" s="3" t="n">
        <f aca="false">Original_Dataset!I128</f>
        <v>88.2</v>
      </c>
      <c r="J131" s="3" t="n">
        <f aca="false">IF(ISBLANK(Original_Dataset!J128),$Q$3,Original_Dataset!J128)</f>
        <v>5.37</v>
      </c>
      <c r="K131" s="3" t="n">
        <f aca="false">Original_Dataset!K128</f>
        <v>1</v>
      </c>
      <c r="L131" s="3" t="n">
        <f aca="false">IF(ISBLANK(Original_Dataset!L128),$Q$4,Original_Dataset!L128)</f>
        <v>4.9</v>
      </c>
      <c r="M131" s="3" t="n">
        <f aca="false">Original_Dataset!M128</f>
        <v>842157.92</v>
      </c>
      <c r="N131" s="3" t="n">
        <f aca="false">Original_Dataset!N128</f>
        <v>107348.22</v>
      </c>
    </row>
    <row r="132" customFormat="false" ht="15" hidden="false" customHeight="true" outlineLevel="0" collapsed="false">
      <c r="A132" s="3" t="str">
        <f aca="false">Original_Dataset!A129</f>
        <v>STR-1032</v>
      </c>
      <c r="B132" s="4" t="n">
        <f aca="false">Original_Dataset!B129</f>
        <v>45748</v>
      </c>
      <c r="C132" s="3" t="str">
        <f aca="false">Original_Dataset!C129</f>
        <v>South</v>
      </c>
      <c r="D132" s="3" t="str">
        <f aca="false">Original_Dataset!D129</f>
        <v>High Street</v>
      </c>
      <c r="E132" s="3" t="n">
        <f aca="false">Original_Dataset!E129</f>
        <v>37828.5</v>
      </c>
      <c r="F132" s="3" t="n">
        <f aca="false">Original_Dataset!F129</f>
        <v>8221</v>
      </c>
      <c r="G132" s="3" t="n">
        <f aca="false">Original_Dataset!G129</f>
        <v>0.096</v>
      </c>
      <c r="H132" s="3" t="n">
        <f aca="false">Original_Dataset!H129</f>
        <v>19</v>
      </c>
      <c r="I132" s="3" t="n">
        <f aca="false">Original_Dataset!I129</f>
        <v>81.5</v>
      </c>
      <c r="J132" s="3" t="n">
        <f aca="false">IF(ISBLANK(Original_Dataset!J129),$Q$3,Original_Dataset!J129)</f>
        <v>3.19</v>
      </c>
      <c r="K132" s="3" t="n">
        <f aca="false">Original_Dataset!K129</f>
        <v>0</v>
      </c>
      <c r="L132" s="3" t="n">
        <f aca="false">IF(ISBLANK(Original_Dataset!L129),$Q$4,Original_Dataset!L129)</f>
        <v>4.8</v>
      </c>
      <c r="M132" s="3" t="n">
        <f aca="false">Original_Dataset!M129</f>
        <v>697155.3</v>
      </c>
      <c r="N132" s="3" t="n">
        <f aca="false">Original_Dataset!N129</f>
        <v>136408.54</v>
      </c>
    </row>
    <row r="133" customFormat="false" ht="15" hidden="false" customHeight="true" outlineLevel="0" collapsed="false">
      <c r="A133" s="3" t="str">
        <f aca="false">Original_Dataset!A130</f>
        <v>STR-1033</v>
      </c>
      <c r="B133" s="4" t="n">
        <f aca="false">Original_Dataset!B130</f>
        <v>45658</v>
      </c>
      <c r="C133" s="3" t="str">
        <f aca="false">Original_Dataset!C130</f>
        <v>East</v>
      </c>
      <c r="D133" s="3" t="str">
        <f aca="false">Original_Dataset!D130</f>
        <v>High Street</v>
      </c>
      <c r="E133" s="3" t="n">
        <f aca="false">Original_Dataset!E130</f>
        <v>66250.53</v>
      </c>
      <c r="F133" s="3" t="n">
        <f aca="false">Original_Dataset!F130</f>
        <v>10618</v>
      </c>
      <c r="G133" s="3" t="n">
        <f aca="false">Original_Dataset!G130</f>
        <v>0.142</v>
      </c>
      <c r="H133" s="3" t="n">
        <f aca="false">Original_Dataset!H130</f>
        <v>27</v>
      </c>
      <c r="I133" s="3" t="n">
        <f aca="false">Original_Dataset!I130</f>
        <v>88.3</v>
      </c>
      <c r="J133" s="3" t="n">
        <f aca="false">IF(ISBLANK(Original_Dataset!J130),$Q$3,Original_Dataset!J130)</f>
        <v>1.1</v>
      </c>
      <c r="K133" s="3" t="n">
        <f aca="false">Original_Dataset!K130</f>
        <v>1</v>
      </c>
      <c r="L133" s="3" t="n">
        <f aca="false">IF(ISBLANK(Original_Dataset!L130),$Q$4,Original_Dataset!L130)</f>
        <v>4.4</v>
      </c>
      <c r="M133" s="3" t="n">
        <f aca="false">Original_Dataset!M130</f>
        <v>849018.3</v>
      </c>
      <c r="N133" s="3" t="n">
        <f aca="false">Original_Dataset!N130</f>
        <v>149035.13</v>
      </c>
    </row>
    <row r="134" customFormat="false" ht="15" hidden="false" customHeight="true" outlineLevel="0" collapsed="false">
      <c r="A134" s="3" t="str">
        <f aca="false">Original_Dataset!A131</f>
        <v>STR-1033</v>
      </c>
      <c r="B134" s="4" t="n">
        <f aca="false">Original_Dataset!B131</f>
        <v>45689</v>
      </c>
      <c r="C134" s="3" t="str">
        <f aca="false">Original_Dataset!C131</f>
        <v>East</v>
      </c>
      <c r="D134" s="3" t="str">
        <f aca="false">Original_Dataset!D131</f>
        <v>High Street</v>
      </c>
      <c r="E134" s="3" t="n">
        <f aca="false">Original_Dataset!E131</f>
        <v>68410.93</v>
      </c>
      <c r="F134" s="3" t="n">
        <f aca="false">Original_Dataset!F131</f>
        <v>10596</v>
      </c>
      <c r="G134" s="3" t="n">
        <f aca="false">Original_Dataset!G131</f>
        <v>0.207</v>
      </c>
      <c r="H134" s="3" t="n">
        <f aca="false">Original_Dataset!H131</f>
        <v>25</v>
      </c>
      <c r="I134" s="3" t="n">
        <f aca="false">Original_Dataset!I131</f>
        <v>81.2</v>
      </c>
      <c r="J134" s="3" t="n">
        <f aca="false">IF(ISBLANK(Original_Dataset!J131),$Q$3,Original_Dataset!J131)</f>
        <v>0.21</v>
      </c>
      <c r="K134" s="3" t="n">
        <f aca="false">Original_Dataset!K131</f>
        <v>0</v>
      </c>
      <c r="L134" s="3" t="n">
        <f aca="false">IF(ISBLANK(Original_Dataset!L131),$Q$4,Original_Dataset!L131)</f>
        <v>4</v>
      </c>
      <c r="M134" s="3" t="n">
        <f aca="false">Original_Dataset!M131</f>
        <v>801830.35</v>
      </c>
      <c r="N134" s="3" t="n">
        <f aca="false">Original_Dataset!N131</f>
        <v>114875.32</v>
      </c>
    </row>
    <row r="135" customFormat="false" ht="15" hidden="false" customHeight="true" outlineLevel="0" collapsed="false">
      <c r="A135" s="3" t="str">
        <f aca="false">Original_Dataset!A132</f>
        <v>STR-1033</v>
      </c>
      <c r="B135" s="4" t="n">
        <f aca="false">Original_Dataset!B132</f>
        <v>45717</v>
      </c>
      <c r="C135" s="3" t="str">
        <f aca="false">Original_Dataset!C132</f>
        <v>East</v>
      </c>
      <c r="D135" s="3" t="str">
        <f aca="false">Original_Dataset!D132</f>
        <v>High Street</v>
      </c>
      <c r="E135" s="3" t="n">
        <f aca="false">Original_Dataset!E132</f>
        <v>50735.63</v>
      </c>
      <c r="F135" s="3" t="n">
        <f aca="false">Original_Dataset!F132</f>
        <v>9619</v>
      </c>
      <c r="G135" s="3" t="n">
        <f aca="false">Original_Dataset!G132</f>
        <v>0.144</v>
      </c>
      <c r="H135" s="3" t="n">
        <f aca="false">Original_Dataset!H132</f>
        <v>19</v>
      </c>
      <c r="I135" s="3" t="n">
        <f aca="false">Original_Dataset!I132</f>
        <v>93.8</v>
      </c>
      <c r="J135" s="3" t="n">
        <f aca="false">IF(ISBLANK(Original_Dataset!J132),$Q$3,Original_Dataset!J132)</f>
        <v>5.12</v>
      </c>
      <c r="K135" s="3" t="n">
        <f aca="false">Original_Dataset!K132</f>
        <v>1</v>
      </c>
      <c r="L135" s="3" t="n">
        <f aca="false">IF(ISBLANK(Original_Dataset!L132),$Q$4,Original_Dataset!L132)</f>
        <v>4.5</v>
      </c>
      <c r="M135" s="3" t="n">
        <f aca="false">Original_Dataset!M132</f>
        <v>725235.28</v>
      </c>
      <c r="N135" s="3" t="n">
        <f aca="false">Original_Dataset!N132</f>
        <v>121632.24</v>
      </c>
    </row>
    <row r="136" customFormat="false" ht="15" hidden="false" customHeight="true" outlineLevel="0" collapsed="false">
      <c r="A136" s="3" t="str">
        <f aca="false">Original_Dataset!A133</f>
        <v>STR-1033</v>
      </c>
      <c r="B136" s="4" t="n">
        <f aca="false">Original_Dataset!B133</f>
        <v>45748</v>
      </c>
      <c r="C136" s="3" t="str">
        <f aca="false">Original_Dataset!C133</f>
        <v>East</v>
      </c>
      <c r="D136" s="3" t="str">
        <f aca="false">Original_Dataset!D133</f>
        <v>High Street</v>
      </c>
      <c r="E136" s="3" t="n">
        <f aca="false">Original_Dataset!E133</f>
        <v>66455.8</v>
      </c>
      <c r="F136" s="3" t="n">
        <f aca="false">Original_Dataset!F133</f>
        <v>10836</v>
      </c>
      <c r="G136" s="3" t="n">
        <f aca="false">Original_Dataset!G133</f>
        <v>0.089</v>
      </c>
      <c r="H136" s="3" t="n">
        <f aca="false">Original_Dataset!H133</f>
        <v>25</v>
      </c>
      <c r="I136" s="3" t="n">
        <f aca="false">Original_Dataset!I133</f>
        <v>85</v>
      </c>
      <c r="J136" s="3" t="n">
        <f aca="false">IF(ISBLANK(Original_Dataset!J133),$Q$3,Original_Dataset!J133)</f>
        <v>9.77</v>
      </c>
      <c r="K136" s="3" t="n">
        <f aca="false">Original_Dataset!K133</f>
        <v>0</v>
      </c>
      <c r="L136" s="3" t="n">
        <f aca="false">IF(ISBLANK(Original_Dataset!L133),$Q$4,Original_Dataset!L133)</f>
        <v>4.5</v>
      </c>
      <c r="M136" s="3" t="n">
        <f aca="false">Original_Dataset!M133</f>
        <v>811452.72</v>
      </c>
      <c r="N136" s="3" t="n">
        <f aca="false">Original_Dataset!N133</f>
        <v>131325.67</v>
      </c>
    </row>
    <row r="137" customFormat="false" ht="15" hidden="false" customHeight="true" outlineLevel="0" collapsed="false">
      <c r="A137" s="3" t="str">
        <f aca="false">Original_Dataset!A134</f>
        <v>STR-1034</v>
      </c>
      <c r="B137" s="4" t="n">
        <f aca="false">Original_Dataset!B134</f>
        <v>45658</v>
      </c>
      <c r="C137" s="3" t="str">
        <f aca="false">Original_Dataset!C134</f>
        <v>North</v>
      </c>
      <c r="D137" s="3" t="str">
        <f aca="false">Original_Dataset!D134</f>
        <v>High Street</v>
      </c>
      <c r="E137" s="3" t="n">
        <f aca="false">Original_Dataset!E134</f>
        <v>70276.28</v>
      </c>
      <c r="F137" s="3" t="n">
        <f aca="false">Original_Dataset!F134</f>
        <v>3043</v>
      </c>
      <c r="G137" s="3" t="n">
        <f aca="false">Original_Dataset!G134</f>
        <v>0.079</v>
      </c>
      <c r="H137" s="3" t="n">
        <f aca="false">Original_Dataset!H134</f>
        <v>9</v>
      </c>
      <c r="I137" s="3" t="n">
        <f aca="false">Original_Dataset!I134</f>
        <v>87.9</v>
      </c>
      <c r="J137" s="3" t="n">
        <f aca="false">IF(ISBLANK(Original_Dataset!J134),$Q$3,Original_Dataset!J134)</f>
        <v>3.77</v>
      </c>
      <c r="K137" s="3" t="n">
        <f aca="false">Original_Dataset!K134</f>
        <v>0</v>
      </c>
      <c r="L137" s="3" t="n">
        <f aca="false">IF(ISBLANK(Original_Dataset!L134),$Q$4,Original_Dataset!L134)</f>
        <v>4.4</v>
      </c>
      <c r="M137" s="3" t="n">
        <f aca="false">Original_Dataset!M134</f>
        <v>527300.13</v>
      </c>
      <c r="N137" s="3" t="n">
        <f aca="false">Original_Dataset!N134</f>
        <v>84197.87</v>
      </c>
    </row>
    <row r="138" customFormat="false" ht="15" hidden="false" customHeight="true" outlineLevel="0" collapsed="false">
      <c r="A138" s="3" t="str">
        <f aca="false">Original_Dataset!A135</f>
        <v>STR-1034</v>
      </c>
      <c r="B138" s="4" t="n">
        <f aca="false">Original_Dataset!B135</f>
        <v>45689</v>
      </c>
      <c r="C138" s="3" t="str">
        <f aca="false">Original_Dataset!C135</f>
        <v>North</v>
      </c>
      <c r="D138" s="3" t="str">
        <f aca="false">Original_Dataset!D135</f>
        <v>High Street</v>
      </c>
      <c r="E138" s="3" t="n">
        <f aca="false">Original_Dataset!E135</f>
        <v>22071.64</v>
      </c>
      <c r="F138" s="3" t="n">
        <f aca="false">Original_Dataset!F135</f>
        <v>1814</v>
      </c>
      <c r="G138" s="3" t="n">
        <f aca="false">Original_Dataset!G135</f>
        <v>0.196</v>
      </c>
      <c r="H138" s="3" t="n">
        <f aca="false">Original_Dataset!H135</f>
        <v>8</v>
      </c>
      <c r="I138" s="3" t="n">
        <f aca="false">Original_Dataset!I135</f>
        <v>81.1</v>
      </c>
      <c r="J138" s="3" t="n">
        <f aca="false">IF(ISBLANK(Original_Dataset!J135),$Q$3,Original_Dataset!J135)</f>
        <v>0.78</v>
      </c>
      <c r="K138" s="3" t="n">
        <f aca="false">Original_Dataset!K135</f>
        <v>0</v>
      </c>
      <c r="L138" s="3" t="n">
        <f aca="false">IF(ISBLANK(Original_Dataset!L135),$Q$4,Original_Dataset!L135)</f>
        <v>3.9</v>
      </c>
      <c r="M138" s="3" t="n">
        <f aca="false">Original_Dataset!M135</f>
        <v>400831.65</v>
      </c>
      <c r="N138" s="3" t="n">
        <f aca="false">Original_Dataset!N135</f>
        <v>70979.31</v>
      </c>
    </row>
    <row r="139" customFormat="false" ht="15" hidden="false" customHeight="true" outlineLevel="0" collapsed="false">
      <c r="A139" s="3" t="str">
        <f aca="false">Original_Dataset!A136</f>
        <v>STR-1034</v>
      </c>
      <c r="B139" s="4" t="n">
        <f aca="false">Original_Dataset!B136</f>
        <v>45717</v>
      </c>
      <c r="C139" s="3" t="str">
        <f aca="false">Original_Dataset!C136</f>
        <v>North</v>
      </c>
      <c r="D139" s="3" t="str">
        <f aca="false">Original_Dataset!D136</f>
        <v>High Street</v>
      </c>
      <c r="E139" s="3" t="n">
        <f aca="false">Original_Dataset!E136</f>
        <v>52285.45</v>
      </c>
      <c r="F139" s="3" t="n">
        <f aca="false">Original_Dataset!F136</f>
        <v>3618</v>
      </c>
      <c r="G139" s="3" t="n">
        <f aca="false">Original_Dataset!G136</f>
        <v>0.086</v>
      </c>
      <c r="H139" s="3" t="n">
        <f aca="false">Original_Dataset!H136</f>
        <v>11</v>
      </c>
      <c r="I139" s="3" t="n">
        <f aca="false">Original_Dataset!I136</f>
        <v>95.6</v>
      </c>
      <c r="J139" s="3" t="n">
        <f aca="false">IF(ISBLANK(Original_Dataset!J136),$Q$3,Original_Dataset!J136)</f>
        <v>5.17</v>
      </c>
      <c r="K139" s="3" t="n">
        <f aca="false">Original_Dataset!K136</f>
        <v>1</v>
      </c>
      <c r="L139" s="3" t="n">
        <f aca="false">IF(ISBLANK(Original_Dataset!L136),$Q$4,Original_Dataset!L136)</f>
        <v>4.4</v>
      </c>
      <c r="M139" s="3" t="n">
        <f aca="false">Original_Dataset!M136</f>
        <v>593247.25</v>
      </c>
      <c r="N139" s="3" t="n">
        <f aca="false">Original_Dataset!N136</f>
        <v>81240.29</v>
      </c>
    </row>
    <row r="140" customFormat="false" ht="15" hidden="false" customHeight="true" outlineLevel="0" collapsed="false">
      <c r="A140" s="3" t="str">
        <f aca="false">Original_Dataset!A137</f>
        <v>STR-1034</v>
      </c>
      <c r="B140" s="4" t="n">
        <f aca="false">Original_Dataset!B137</f>
        <v>45748</v>
      </c>
      <c r="C140" s="3" t="str">
        <f aca="false">Original_Dataset!C137</f>
        <v>North</v>
      </c>
      <c r="D140" s="3" t="str">
        <f aca="false">Original_Dataset!D137</f>
        <v>High Street</v>
      </c>
      <c r="E140" s="3" t="n">
        <f aca="false">Original_Dataset!E137</f>
        <v>70366.76</v>
      </c>
      <c r="F140" s="3" t="n">
        <f aca="false">Original_Dataset!F137</f>
        <v>1963</v>
      </c>
      <c r="G140" s="3" t="n">
        <f aca="false">Original_Dataset!G137</f>
        <v>0.182</v>
      </c>
      <c r="H140" s="3" t="n">
        <f aca="false">Original_Dataset!H137</f>
        <v>8</v>
      </c>
      <c r="I140" s="3" t="n">
        <f aca="false">Original_Dataset!I137</f>
        <v>89.8</v>
      </c>
      <c r="J140" s="3" t="n">
        <f aca="false">IF(ISBLANK(Original_Dataset!J137),$Q$3,Original_Dataset!J137)</f>
        <v>3.2</v>
      </c>
      <c r="K140" s="3" t="n">
        <f aca="false">Original_Dataset!K137</f>
        <v>0</v>
      </c>
      <c r="L140" s="3" t="n">
        <f aca="false">IF(ISBLANK(Original_Dataset!L137),$Q$4,Original_Dataset!L137)</f>
        <v>4.6</v>
      </c>
      <c r="M140" s="3" t="n">
        <f aca="false">Original_Dataset!M137</f>
        <v>529075.95</v>
      </c>
      <c r="N140" s="3" t="n">
        <f aca="false">Original_Dataset!N137</f>
        <v>95978.83</v>
      </c>
    </row>
    <row r="141" customFormat="false" ht="15" hidden="false" customHeight="true" outlineLevel="0" collapsed="false">
      <c r="A141" s="3" t="str">
        <f aca="false">Original_Dataset!A138</f>
        <v>STR-1035</v>
      </c>
      <c r="B141" s="4" t="n">
        <f aca="false">Original_Dataset!B138</f>
        <v>45658</v>
      </c>
      <c r="C141" s="3" t="str">
        <f aca="false">Original_Dataset!C138</f>
        <v>South</v>
      </c>
      <c r="D141" s="3" t="str">
        <f aca="false">Original_Dataset!D138</f>
        <v>Residential</v>
      </c>
      <c r="E141" s="3" t="n">
        <f aca="false">Original_Dataset!E138</f>
        <v>71320.66</v>
      </c>
      <c r="F141" s="3" t="n">
        <f aca="false">Original_Dataset!F138</f>
        <v>7888</v>
      </c>
      <c r="G141" s="3" t="n">
        <f aca="false">Original_Dataset!G138</f>
        <v>0.048</v>
      </c>
      <c r="H141" s="3" t="n">
        <f aca="false">Original_Dataset!H138</f>
        <v>20</v>
      </c>
      <c r="I141" s="3" t="n">
        <f aca="false">Original_Dataset!I138</f>
        <v>78.1</v>
      </c>
      <c r="J141" s="3" t="n">
        <f aca="false">IF(ISBLANK(Original_Dataset!J138),$Q$3,Original_Dataset!J138)</f>
        <v>3.4</v>
      </c>
      <c r="K141" s="3" t="n">
        <f aca="false">Original_Dataset!K138</f>
        <v>0</v>
      </c>
      <c r="L141" s="3" t="n">
        <f aca="false">IF(ISBLANK(Original_Dataset!L138),$Q$4,Original_Dataset!L138)</f>
        <v>3.9</v>
      </c>
      <c r="M141" s="3" t="n">
        <f aca="false">Original_Dataset!M138</f>
        <v>633638.03</v>
      </c>
      <c r="N141" s="3" t="n">
        <f aca="false">Original_Dataset!N138</f>
        <v>99402.01</v>
      </c>
    </row>
    <row r="142" customFormat="false" ht="15" hidden="false" customHeight="true" outlineLevel="0" collapsed="false">
      <c r="A142" s="3" t="str">
        <f aca="false">Original_Dataset!A139</f>
        <v>STR-1035</v>
      </c>
      <c r="B142" s="4" t="n">
        <f aca="false">Original_Dataset!B139</f>
        <v>45689</v>
      </c>
      <c r="C142" s="3" t="str">
        <f aca="false">Original_Dataset!C139</f>
        <v>South</v>
      </c>
      <c r="D142" s="3" t="str">
        <f aca="false">Original_Dataset!D139</f>
        <v>Residential</v>
      </c>
      <c r="E142" s="3" t="n">
        <f aca="false">Original_Dataset!E139</f>
        <v>75109.67</v>
      </c>
      <c r="F142" s="3" t="n">
        <f aca="false">Original_Dataset!F139</f>
        <v>6244</v>
      </c>
      <c r="G142" s="3" t="n">
        <f aca="false">Original_Dataset!G139</f>
        <v>0.079</v>
      </c>
      <c r="H142" s="3" t="n">
        <f aca="false">Original_Dataset!H139</f>
        <v>15</v>
      </c>
      <c r="I142" s="3" t="n">
        <f aca="false">Original_Dataset!I139</f>
        <v>96.3</v>
      </c>
      <c r="J142" s="3" t="n">
        <f aca="false">IF(ISBLANK(Original_Dataset!J139),$Q$3,Original_Dataset!J139)</f>
        <v>7.38</v>
      </c>
      <c r="K142" s="3" t="n">
        <f aca="false">Original_Dataset!K139</f>
        <v>0</v>
      </c>
      <c r="L142" s="3" t="n">
        <f aca="false">IF(ISBLANK(Original_Dataset!L139),$Q$4,Original_Dataset!L139)</f>
        <v>3.7</v>
      </c>
      <c r="M142" s="3" t="n">
        <f aca="false">Original_Dataset!M139</f>
        <v>743348.84</v>
      </c>
      <c r="N142" s="3" t="n">
        <f aca="false">Original_Dataset!N139</f>
        <v>104186.09</v>
      </c>
    </row>
    <row r="143" customFormat="false" ht="15" hidden="false" customHeight="true" outlineLevel="0" collapsed="false">
      <c r="A143" s="3" t="str">
        <f aca="false">Original_Dataset!A140</f>
        <v>STR-1035</v>
      </c>
      <c r="B143" s="4" t="n">
        <f aca="false">Original_Dataset!B140</f>
        <v>45717</v>
      </c>
      <c r="C143" s="3" t="str">
        <f aca="false">Original_Dataset!C140</f>
        <v>South</v>
      </c>
      <c r="D143" s="3" t="str">
        <f aca="false">Original_Dataset!D140</f>
        <v>Residential</v>
      </c>
      <c r="E143" s="3" t="n">
        <f aca="false">Original_Dataset!E140</f>
        <v>69779</v>
      </c>
      <c r="F143" s="3" t="n">
        <f aca="false">Original_Dataset!F140</f>
        <v>6544</v>
      </c>
      <c r="G143" s="3" t="n">
        <f aca="false">Original_Dataset!G140</f>
        <v>0.152</v>
      </c>
      <c r="H143" s="3" t="n">
        <f aca="false">Original_Dataset!H140</f>
        <v>18</v>
      </c>
      <c r="I143" s="3" t="n">
        <f aca="false">Original_Dataset!I140</f>
        <v>90.2</v>
      </c>
      <c r="J143" s="3" t="n">
        <f aca="false">IF(ISBLANK(Original_Dataset!J140),$Q$3,Original_Dataset!J140)</f>
        <v>0.85</v>
      </c>
      <c r="K143" s="3" t="n">
        <f aca="false">Original_Dataset!K140</f>
        <v>1</v>
      </c>
      <c r="L143" s="3" t="n">
        <f aca="false">IF(ISBLANK(Original_Dataset!L140),$Q$4,Original_Dataset!L140)</f>
        <v>3.3</v>
      </c>
      <c r="M143" s="3" t="n">
        <f aca="false">Original_Dataset!M140</f>
        <v>758827.64</v>
      </c>
      <c r="N143" s="3" t="n">
        <f aca="false">Original_Dataset!N140</f>
        <v>161439.48</v>
      </c>
    </row>
    <row r="144" customFormat="false" ht="15" hidden="false" customHeight="true" outlineLevel="0" collapsed="false">
      <c r="A144" s="3" t="str">
        <f aca="false">Original_Dataset!A141</f>
        <v>STR-1035</v>
      </c>
      <c r="B144" s="4" t="n">
        <f aca="false">Original_Dataset!B141</f>
        <v>45748</v>
      </c>
      <c r="C144" s="3" t="str">
        <f aca="false">Original_Dataset!C141</f>
        <v>South</v>
      </c>
      <c r="D144" s="3" t="str">
        <f aca="false">Original_Dataset!D141</f>
        <v>Residential</v>
      </c>
      <c r="E144" s="3" t="n">
        <f aca="false">Original_Dataset!E141</f>
        <v>44211.95</v>
      </c>
      <c r="F144" s="3" t="n">
        <f aca="false">Original_Dataset!F141</f>
        <v>5465</v>
      </c>
      <c r="G144" s="3" t="n">
        <f aca="false">Original_Dataset!G141</f>
        <v>0.187</v>
      </c>
      <c r="H144" s="3" t="n">
        <f aca="false">Original_Dataset!H141</f>
        <v>12</v>
      </c>
      <c r="I144" s="3" t="n">
        <f aca="false">Original_Dataset!I141</f>
        <v>90</v>
      </c>
      <c r="J144" s="3" t="n">
        <f aca="false">IF(ISBLANK(Original_Dataset!J141),$Q$3,Original_Dataset!J141)</f>
        <v>2.89</v>
      </c>
      <c r="K144" s="3" t="n">
        <f aca="false">Original_Dataset!K141</f>
        <v>0</v>
      </c>
      <c r="L144" s="3" t="n">
        <f aca="false">IF(ISBLANK(Original_Dataset!L141),$Q$4,Original_Dataset!L141)</f>
        <v>3.6</v>
      </c>
      <c r="M144" s="3" t="n">
        <f aca="false">Original_Dataset!M141</f>
        <v>646559.71</v>
      </c>
      <c r="N144" s="3" t="n">
        <f aca="false">Original_Dataset!N141</f>
        <v>97981.75</v>
      </c>
    </row>
    <row r="145" customFormat="false" ht="15" hidden="false" customHeight="true" outlineLevel="0" collapsed="false">
      <c r="A145" s="3" t="str">
        <f aca="false">Original_Dataset!A142</f>
        <v>STR-1036</v>
      </c>
      <c r="B145" s="4" t="n">
        <f aca="false">Original_Dataset!B142</f>
        <v>45658</v>
      </c>
      <c r="C145" s="3" t="str">
        <f aca="false">Original_Dataset!C142</f>
        <v>West</v>
      </c>
      <c r="D145" s="3" t="str">
        <f aca="false">Original_Dataset!D142</f>
        <v>High Street</v>
      </c>
      <c r="E145" s="3" t="n">
        <f aca="false">Original_Dataset!E142</f>
        <v>51430.31</v>
      </c>
      <c r="F145" s="3" t="n">
        <f aca="false">Original_Dataset!F142</f>
        <v>6427</v>
      </c>
      <c r="G145" s="3" t="n">
        <f aca="false">Original_Dataset!G142</f>
        <v>0.234</v>
      </c>
      <c r="H145" s="3" t="n">
        <f aca="false">Original_Dataset!H142</f>
        <v>14</v>
      </c>
      <c r="I145" s="3" t="n">
        <f aca="false">Original_Dataset!I142</f>
        <v>88.8</v>
      </c>
      <c r="J145" s="3" t="n">
        <f aca="false">IF(ISBLANK(Original_Dataset!J142),$Q$3,Original_Dataset!J142)</f>
        <v>0.77</v>
      </c>
      <c r="K145" s="3" t="n">
        <f aca="false">Original_Dataset!K142</f>
        <v>0</v>
      </c>
      <c r="L145" s="3" t="n">
        <f aca="false">IF(ISBLANK(Original_Dataset!L142),$Q$4,Original_Dataset!L142)</f>
        <v>4.1</v>
      </c>
      <c r="M145" s="3" t="n">
        <f aca="false">Original_Dataset!M142</f>
        <v>715890.53</v>
      </c>
      <c r="N145" s="3" t="n">
        <f aca="false">Original_Dataset!N142</f>
        <v>109032.15</v>
      </c>
    </row>
    <row r="146" customFormat="false" ht="15" hidden="false" customHeight="true" outlineLevel="0" collapsed="false">
      <c r="A146" s="3" t="str">
        <f aca="false">Original_Dataset!A143</f>
        <v>STR-1036</v>
      </c>
      <c r="B146" s="4" t="n">
        <f aca="false">Original_Dataset!B143</f>
        <v>45689</v>
      </c>
      <c r="C146" s="3" t="str">
        <f aca="false">Original_Dataset!C143</f>
        <v>West</v>
      </c>
      <c r="D146" s="3" t="str">
        <f aca="false">Original_Dataset!D143</f>
        <v>High Street</v>
      </c>
      <c r="E146" s="3" t="n">
        <f aca="false">Original_Dataset!E143</f>
        <v>45706.49</v>
      </c>
      <c r="F146" s="3" t="n">
        <f aca="false">Original_Dataset!F143</f>
        <v>6704</v>
      </c>
      <c r="G146" s="3" t="n">
        <f aca="false">Original_Dataset!G143</f>
        <v>0.038</v>
      </c>
      <c r="H146" s="3" t="n">
        <f aca="false">Original_Dataset!H143</f>
        <v>15</v>
      </c>
      <c r="I146" s="3" t="n">
        <f aca="false">Original_Dataset!I143</f>
        <v>94.2</v>
      </c>
      <c r="J146" s="3" t="n">
        <f aca="false">IF(ISBLANK(Original_Dataset!J143),$Q$3,Original_Dataset!J143)</f>
        <v>2.92</v>
      </c>
      <c r="K146" s="3" t="n">
        <f aca="false">Original_Dataset!K143</f>
        <v>0</v>
      </c>
      <c r="L146" s="3" t="n">
        <f aca="false">IF(ISBLANK(Original_Dataset!L143),$Q$4,Original_Dataset!L143)</f>
        <v>4.2</v>
      </c>
      <c r="M146" s="3" t="n">
        <f aca="false">Original_Dataset!M143</f>
        <v>715097.57</v>
      </c>
      <c r="N146" s="3" t="n">
        <f aca="false">Original_Dataset!N143</f>
        <v>151875.86</v>
      </c>
    </row>
    <row r="147" customFormat="false" ht="15" hidden="false" customHeight="true" outlineLevel="0" collapsed="false">
      <c r="A147" s="3" t="str">
        <f aca="false">Original_Dataset!A144</f>
        <v>STR-1036</v>
      </c>
      <c r="B147" s="4" t="n">
        <f aca="false">Original_Dataset!B144</f>
        <v>45717</v>
      </c>
      <c r="C147" s="3" t="str">
        <f aca="false">Original_Dataset!C144</f>
        <v>West</v>
      </c>
      <c r="D147" s="3" t="str">
        <f aca="false">Original_Dataset!D144</f>
        <v>High Street</v>
      </c>
      <c r="E147" s="3" t="n">
        <f aca="false">Original_Dataset!E144</f>
        <v>44034.6</v>
      </c>
      <c r="F147" s="3" t="n">
        <f aca="false">Original_Dataset!F144</f>
        <v>5645</v>
      </c>
      <c r="G147" s="3" t="n">
        <f aca="false">Original_Dataset!G144</f>
        <v>0.069</v>
      </c>
      <c r="H147" s="3" t="n">
        <f aca="false">Original_Dataset!H144</f>
        <v>18</v>
      </c>
      <c r="I147" s="3" t="n">
        <f aca="false">Original_Dataset!I144</f>
        <v>88.5</v>
      </c>
      <c r="J147" s="3" t="n">
        <f aca="false">IF(ISBLANK(Original_Dataset!J144),$Q$3,Original_Dataset!J144)</f>
        <v>3.07</v>
      </c>
      <c r="K147" s="3" t="n">
        <f aca="false">Original_Dataset!K144</f>
        <v>0</v>
      </c>
      <c r="L147" s="3" t="n">
        <f aca="false">IF(ISBLANK(Original_Dataset!L144),$Q$4,Original_Dataset!L144)</f>
        <v>3.8</v>
      </c>
      <c r="M147" s="3" t="n">
        <f aca="false">Original_Dataset!M144</f>
        <v>682639.28</v>
      </c>
      <c r="N147" s="3" t="n">
        <f aca="false">Original_Dataset!N144</f>
        <v>77557.53</v>
      </c>
    </row>
    <row r="148" customFormat="false" ht="15" hidden="false" customHeight="true" outlineLevel="0" collapsed="false">
      <c r="A148" s="3" t="str">
        <f aca="false">Original_Dataset!A145</f>
        <v>STR-1036</v>
      </c>
      <c r="B148" s="4" t="n">
        <f aca="false">Original_Dataset!B145</f>
        <v>45748</v>
      </c>
      <c r="C148" s="3" t="str">
        <f aca="false">Original_Dataset!C145</f>
        <v>West</v>
      </c>
      <c r="D148" s="3" t="str">
        <f aca="false">Original_Dataset!D145</f>
        <v>High Street</v>
      </c>
      <c r="E148" s="3" t="n">
        <f aca="false">Original_Dataset!E145</f>
        <v>50198.12</v>
      </c>
      <c r="F148" s="3" t="n">
        <f aca="false">Original_Dataset!F145</f>
        <v>6089</v>
      </c>
      <c r="G148" s="3" t="n">
        <f aca="false">Original_Dataset!G145</f>
        <v>0.182</v>
      </c>
      <c r="H148" s="3" t="n">
        <f aca="false">Original_Dataset!H145</f>
        <v>19</v>
      </c>
      <c r="I148" s="3" t="n">
        <f aca="false">Original_Dataset!I145</f>
        <v>94</v>
      </c>
      <c r="J148" s="3" t="n">
        <f aca="false">IF(ISBLANK(Original_Dataset!J145),$Q$3,Original_Dataset!J145)</f>
        <v>9.7</v>
      </c>
      <c r="K148" s="3" t="n">
        <f aca="false">Original_Dataset!K145</f>
        <v>0</v>
      </c>
      <c r="L148" s="3" t="n">
        <f aca="false">IF(ISBLANK(Original_Dataset!L145),$Q$4,Original_Dataset!L145)</f>
        <v>3.9</v>
      </c>
      <c r="M148" s="3" t="n">
        <f aca="false">Original_Dataset!M145</f>
        <v>695098.51</v>
      </c>
      <c r="N148" s="3" t="n">
        <f aca="false">Original_Dataset!N145</f>
        <v>108192.75</v>
      </c>
    </row>
    <row r="149" customFormat="false" ht="15" hidden="false" customHeight="true" outlineLevel="0" collapsed="false">
      <c r="A149" s="3" t="str">
        <f aca="false">Original_Dataset!A146</f>
        <v>STR-1037</v>
      </c>
      <c r="B149" s="4" t="n">
        <f aca="false">Original_Dataset!B146</f>
        <v>45658</v>
      </c>
      <c r="C149" s="3" t="str">
        <f aca="false">Original_Dataset!C146</f>
        <v>North</v>
      </c>
      <c r="D149" s="3" t="str">
        <f aca="false">Original_Dataset!D146</f>
        <v>Residential</v>
      </c>
      <c r="E149" s="3" t="n">
        <f aca="false">Original_Dataset!E146</f>
        <v>70488.2</v>
      </c>
      <c r="F149" s="3" t="n">
        <f aca="false">Original_Dataset!F146</f>
        <v>4312</v>
      </c>
      <c r="G149" s="3" t="n">
        <f aca="false">Original_Dataset!G146</f>
        <v>0.169</v>
      </c>
      <c r="H149" s="3" t="n">
        <f aca="false">Original_Dataset!H146</f>
        <v>12</v>
      </c>
      <c r="I149" s="3" t="n">
        <f aca="false">Original_Dataset!I146</f>
        <v>90.2</v>
      </c>
      <c r="J149" s="3" t="n">
        <f aca="false">IF(ISBLANK(Original_Dataset!J146),$Q$3,Original_Dataset!J146)</f>
        <v>3.71</v>
      </c>
      <c r="K149" s="3" t="n">
        <f aca="false">Original_Dataset!K146</f>
        <v>0</v>
      </c>
      <c r="L149" s="3" t="n">
        <f aca="false">IF(ISBLANK(Original_Dataset!L146),$Q$4,Original_Dataset!L146)</f>
        <v>3.2</v>
      </c>
      <c r="M149" s="3" t="n">
        <f aca="false">Original_Dataset!M146</f>
        <v>577732.57</v>
      </c>
      <c r="N149" s="3" t="n">
        <f aca="false">Original_Dataset!N146</f>
        <v>93804.27</v>
      </c>
    </row>
    <row r="150" customFormat="false" ht="15" hidden="false" customHeight="true" outlineLevel="0" collapsed="false">
      <c r="A150" s="3" t="str">
        <f aca="false">Original_Dataset!A147</f>
        <v>STR-1037</v>
      </c>
      <c r="B150" s="4" t="n">
        <f aca="false">Original_Dataset!B147</f>
        <v>45689</v>
      </c>
      <c r="C150" s="3" t="str">
        <f aca="false">Original_Dataset!C147</f>
        <v>North</v>
      </c>
      <c r="D150" s="3" t="str">
        <f aca="false">Original_Dataset!D147</f>
        <v>Residential</v>
      </c>
      <c r="E150" s="3" t="n">
        <f aca="false">Original_Dataset!E147</f>
        <v>50909.27</v>
      </c>
      <c r="F150" s="3" t="n">
        <f aca="false">Original_Dataset!F147</f>
        <v>3152</v>
      </c>
      <c r="G150" s="3" t="n">
        <f aca="false">Original_Dataset!G147</f>
        <v>0.06</v>
      </c>
      <c r="H150" s="3" t="n">
        <f aca="false">Original_Dataset!H147</f>
        <v>13</v>
      </c>
      <c r="I150" s="3" t="n">
        <f aca="false">Original_Dataset!I147</f>
        <v>93.7</v>
      </c>
      <c r="J150" s="3" t="n">
        <f aca="false">IF(ISBLANK(Original_Dataset!J147),$Q$3,Original_Dataset!J147)</f>
        <v>10.79</v>
      </c>
      <c r="K150" s="3" t="n">
        <f aca="false">Original_Dataset!K147</f>
        <v>0</v>
      </c>
      <c r="L150" s="3" t="n">
        <f aca="false">IF(ISBLANK(Original_Dataset!L147),$Q$4,Original_Dataset!L147)</f>
        <v>3.5</v>
      </c>
      <c r="M150" s="3" t="n">
        <f aca="false">Original_Dataset!M147</f>
        <v>537058.33</v>
      </c>
      <c r="N150" s="3" t="n">
        <f aca="false">Original_Dataset!N147</f>
        <v>93555.71</v>
      </c>
    </row>
    <row r="151" customFormat="false" ht="15" hidden="false" customHeight="true" outlineLevel="0" collapsed="false">
      <c r="A151" s="3" t="str">
        <f aca="false">Original_Dataset!A148</f>
        <v>STR-1037</v>
      </c>
      <c r="B151" s="4" t="n">
        <f aca="false">Original_Dataset!B148</f>
        <v>45717</v>
      </c>
      <c r="C151" s="3" t="str">
        <f aca="false">Original_Dataset!C148</f>
        <v>North</v>
      </c>
      <c r="D151" s="3" t="str">
        <f aca="false">Original_Dataset!D148</f>
        <v>Residential</v>
      </c>
      <c r="E151" s="3" t="n">
        <f aca="false">Original_Dataset!E148</f>
        <v>53351.7</v>
      </c>
      <c r="F151" s="3" t="n">
        <f aca="false">Original_Dataset!F148</f>
        <v>4259</v>
      </c>
      <c r="G151" s="3" t="n">
        <f aca="false">Original_Dataset!G148</f>
        <v>0.156</v>
      </c>
      <c r="H151" s="3" t="n">
        <f aca="false">Original_Dataset!H148</f>
        <v>15</v>
      </c>
      <c r="I151" s="3" t="n">
        <f aca="false">Original_Dataset!I148</f>
        <v>93.7</v>
      </c>
      <c r="J151" s="3" t="n">
        <f aca="false">IF(ISBLANK(Original_Dataset!J148),$Q$3,Original_Dataset!J148)</f>
        <v>6.03</v>
      </c>
      <c r="K151" s="3" t="n">
        <f aca="false">Original_Dataset!K148</f>
        <v>0</v>
      </c>
      <c r="L151" s="3" t="n">
        <f aca="false">IF(ISBLANK(Original_Dataset!L148),$Q$4,Original_Dataset!L148)</f>
        <v>3.4</v>
      </c>
      <c r="M151" s="3" t="n">
        <f aca="false">Original_Dataset!M148</f>
        <v>601568.87</v>
      </c>
      <c r="N151" s="3" t="n">
        <f aca="false">Original_Dataset!N148</f>
        <v>91634.82</v>
      </c>
    </row>
    <row r="152" customFormat="false" ht="15" hidden="false" customHeight="true" outlineLevel="0" collapsed="false">
      <c r="A152" s="3" t="str">
        <f aca="false">Original_Dataset!A149</f>
        <v>STR-1037</v>
      </c>
      <c r="B152" s="4" t="n">
        <f aca="false">Original_Dataset!B149</f>
        <v>45748</v>
      </c>
      <c r="C152" s="3" t="str">
        <f aca="false">Original_Dataset!C149</f>
        <v>North</v>
      </c>
      <c r="D152" s="3" t="str">
        <f aca="false">Original_Dataset!D149</f>
        <v>Residential</v>
      </c>
      <c r="E152" s="3" t="n">
        <f aca="false">Original_Dataset!E149</f>
        <v>60322.4</v>
      </c>
      <c r="F152" s="3" t="n">
        <f aca="false">Original_Dataset!F149</f>
        <v>3350</v>
      </c>
      <c r="G152" s="3" t="n">
        <f aca="false">Original_Dataset!G149</f>
        <v>0.108</v>
      </c>
      <c r="H152" s="3" t="n">
        <f aca="false">Original_Dataset!H149</f>
        <v>12</v>
      </c>
      <c r="I152" s="3" t="n">
        <f aca="false">Original_Dataset!I149</f>
        <v>89.4</v>
      </c>
      <c r="J152" s="3" t="n">
        <f aca="false">IF(ISBLANK(Original_Dataset!J149),$Q$3,Original_Dataset!J149)</f>
        <v>4.92</v>
      </c>
      <c r="K152" s="3" t="n">
        <f aca="false">Original_Dataset!K149</f>
        <v>0</v>
      </c>
      <c r="L152" s="3" t="n">
        <f aca="false">IF(ISBLANK(Original_Dataset!L149),$Q$4,Original_Dataset!L149)</f>
        <v>3.4</v>
      </c>
      <c r="M152" s="3" t="n">
        <f aca="false">Original_Dataset!M149</f>
        <v>570964.84</v>
      </c>
      <c r="N152" s="3" t="n">
        <f aca="false">Original_Dataset!N149</f>
        <v>81331.07</v>
      </c>
    </row>
    <row r="153" customFormat="false" ht="15" hidden="false" customHeight="true" outlineLevel="0" collapsed="false">
      <c r="A153" s="3" t="str">
        <f aca="false">Original_Dataset!A150</f>
        <v>STR-1038</v>
      </c>
      <c r="B153" s="4" t="n">
        <f aca="false">Original_Dataset!B150</f>
        <v>45658</v>
      </c>
      <c r="C153" s="3" t="str">
        <f aca="false">Original_Dataset!C150</f>
        <v>South</v>
      </c>
      <c r="D153" s="3" t="str">
        <f aca="false">Original_Dataset!D150</f>
        <v>Mall</v>
      </c>
      <c r="E153" s="3" t="n">
        <f aca="false">Original_Dataset!E150</f>
        <v>51575.68</v>
      </c>
      <c r="F153" s="3" t="n">
        <f aca="false">Original_Dataset!F150</f>
        <v>5329</v>
      </c>
      <c r="G153" s="3" t="n">
        <f aca="false">Original_Dataset!G150</f>
        <v>0.047</v>
      </c>
      <c r="H153" s="3" t="n">
        <f aca="false">Original_Dataset!H150</f>
        <v>17</v>
      </c>
      <c r="I153" s="3" t="n">
        <f aca="false">Original_Dataset!I150</f>
        <v>88.1</v>
      </c>
      <c r="J153" s="3" t="n">
        <f aca="false">IF(ISBLANK(Original_Dataset!J150),$Q$3,Original_Dataset!J150)</f>
        <v>19.78</v>
      </c>
      <c r="K153" s="3" t="n">
        <f aca="false">Original_Dataset!K150</f>
        <v>0</v>
      </c>
      <c r="L153" s="3" t="n">
        <f aca="false">IF(ISBLANK(Original_Dataset!L150),$Q$4,Original_Dataset!L150)</f>
        <v>3.8</v>
      </c>
      <c r="M153" s="3" t="n">
        <f aca="false">Original_Dataset!M150</f>
        <v>614024.91</v>
      </c>
      <c r="N153" s="3" t="n">
        <f aca="false">Original_Dataset!N150</f>
        <v>84828.93</v>
      </c>
    </row>
    <row r="154" customFormat="false" ht="15" hidden="false" customHeight="true" outlineLevel="0" collapsed="false">
      <c r="A154" s="3" t="str">
        <f aca="false">Original_Dataset!A151</f>
        <v>STR-1038</v>
      </c>
      <c r="B154" s="4" t="n">
        <f aca="false">Original_Dataset!B151</f>
        <v>45689</v>
      </c>
      <c r="C154" s="3" t="str">
        <f aca="false">Original_Dataset!C151</f>
        <v>South</v>
      </c>
      <c r="D154" s="3" t="str">
        <f aca="false">Original_Dataset!D151</f>
        <v>Mall</v>
      </c>
      <c r="E154" s="3" t="n">
        <f aca="false">Original_Dataset!E151</f>
        <v>43319.94</v>
      </c>
      <c r="F154" s="3" t="n">
        <f aca="false">Original_Dataset!F151</f>
        <v>6551</v>
      </c>
      <c r="G154" s="3" t="n">
        <f aca="false">Original_Dataset!G151</f>
        <v>0.044</v>
      </c>
      <c r="H154" s="3" t="n">
        <f aca="false">Original_Dataset!H151</f>
        <v>13</v>
      </c>
      <c r="I154" s="3" t="n">
        <f aca="false">Original_Dataset!I151</f>
        <v>99</v>
      </c>
      <c r="J154" s="3" t="n">
        <f aca="false">IF(ISBLANK(Original_Dataset!J151),$Q$3,Original_Dataset!J151)</f>
        <v>5.45</v>
      </c>
      <c r="K154" s="3" t="n">
        <f aca="false">Original_Dataset!K151</f>
        <v>0</v>
      </c>
      <c r="L154" s="3" t="n">
        <f aca="false">IF(ISBLANK(Original_Dataset!L151),$Q$4,Original_Dataset!L151)</f>
        <v>4.1</v>
      </c>
      <c r="M154" s="3" t="n">
        <f aca="false">Original_Dataset!M151</f>
        <v>712868.35</v>
      </c>
      <c r="N154" s="3" t="n">
        <f aca="false">Original_Dataset!N151</f>
        <v>133650.51</v>
      </c>
    </row>
    <row r="155" customFormat="false" ht="15" hidden="false" customHeight="true" outlineLevel="0" collapsed="false">
      <c r="A155" s="3" t="str">
        <f aca="false">Original_Dataset!A152</f>
        <v>STR-1038</v>
      </c>
      <c r="B155" s="4" t="n">
        <f aca="false">Original_Dataset!B152</f>
        <v>45717</v>
      </c>
      <c r="C155" s="3" t="str">
        <f aca="false">Original_Dataset!C152</f>
        <v>South</v>
      </c>
      <c r="D155" s="3" t="str">
        <f aca="false">Original_Dataset!D152</f>
        <v>Mall</v>
      </c>
      <c r="E155" s="3" t="n">
        <f aca="false">Original_Dataset!E152</f>
        <v>47093.55</v>
      </c>
      <c r="F155" s="3" t="n">
        <f aca="false">Original_Dataset!F152</f>
        <v>5550</v>
      </c>
      <c r="G155" s="3" t="n">
        <f aca="false">Original_Dataset!G152</f>
        <v>0.1</v>
      </c>
      <c r="H155" s="3" t="n">
        <f aca="false">Original_Dataset!H152</f>
        <v>12</v>
      </c>
      <c r="I155" s="3" t="n">
        <f aca="false">Original_Dataset!I152</f>
        <v>95</v>
      </c>
      <c r="J155" s="3" t="n">
        <f aca="false">IF(ISBLANK(Original_Dataset!J152),$Q$3,Original_Dataset!J152)</f>
        <v>2.33</v>
      </c>
      <c r="K155" s="3" t="n">
        <f aca="false">Original_Dataset!K152</f>
        <v>1</v>
      </c>
      <c r="L155" s="3" t="n">
        <f aca="false">IF(ISBLANK(Original_Dataset!L152),$Q$4,Original_Dataset!L152)</f>
        <v>3.7</v>
      </c>
      <c r="M155" s="3" t="n">
        <f aca="false">Original_Dataset!M152</f>
        <v>696744.15</v>
      </c>
      <c r="N155" s="3" t="n">
        <f aca="false">Original_Dataset!N152</f>
        <v>152230.09</v>
      </c>
    </row>
    <row r="156" customFormat="false" ht="15" hidden="false" customHeight="true" outlineLevel="0" collapsed="false">
      <c r="A156" s="3" t="str">
        <f aca="false">Original_Dataset!A153</f>
        <v>STR-1038</v>
      </c>
      <c r="B156" s="4" t="n">
        <f aca="false">Original_Dataset!B153</f>
        <v>45748</v>
      </c>
      <c r="C156" s="3" t="str">
        <f aca="false">Original_Dataset!C153</f>
        <v>South</v>
      </c>
      <c r="D156" s="3" t="str">
        <f aca="false">Original_Dataset!D153</f>
        <v>Mall</v>
      </c>
      <c r="E156" s="3" t="n">
        <f aca="false">Original_Dataset!E153</f>
        <v>71855.09</v>
      </c>
      <c r="F156" s="3" t="n">
        <f aca="false">Original_Dataset!F153</f>
        <v>5911</v>
      </c>
      <c r="G156" s="3" t="n">
        <f aca="false">Original_Dataset!G153</f>
        <v>0.197</v>
      </c>
      <c r="H156" s="3" t="n">
        <f aca="false">Original_Dataset!H153</f>
        <v>15</v>
      </c>
      <c r="I156" s="3" t="n">
        <f aca="false">Original_Dataset!I153</f>
        <v>94.3</v>
      </c>
      <c r="J156" s="3" t="n">
        <f aca="false">IF(ISBLANK(Original_Dataset!J153),$Q$3,Original_Dataset!J153)</f>
        <v>3.55</v>
      </c>
      <c r="K156" s="3" t="n">
        <f aca="false">Original_Dataset!K153</f>
        <v>0</v>
      </c>
      <c r="L156" s="3" t="n">
        <f aca="false">IF(ISBLANK(Original_Dataset!L153),$Q$4,Original_Dataset!L153)</f>
        <v>4.1</v>
      </c>
      <c r="M156" s="3" t="n">
        <f aca="false">Original_Dataset!M153</f>
        <v>725847.99</v>
      </c>
      <c r="N156" s="3" t="n">
        <f aca="false">Original_Dataset!N153</f>
        <v>122698.73</v>
      </c>
    </row>
    <row r="157" customFormat="false" ht="15" hidden="false" customHeight="true" outlineLevel="0" collapsed="false">
      <c r="A157" s="3" t="str">
        <f aca="false">Original_Dataset!A154</f>
        <v>STR-1039</v>
      </c>
      <c r="B157" s="4" t="n">
        <f aca="false">Original_Dataset!B154</f>
        <v>45658</v>
      </c>
      <c r="C157" s="3" t="str">
        <f aca="false">Original_Dataset!C154</f>
        <v>East</v>
      </c>
      <c r="D157" s="3" t="str">
        <f aca="false">Original_Dataset!D154</f>
        <v>High Street</v>
      </c>
      <c r="E157" s="3" t="n">
        <f aca="false">Original_Dataset!E154</f>
        <v>75645.23</v>
      </c>
      <c r="F157" s="3" t="n">
        <f aca="false">Original_Dataset!F154</f>
        <v>9674</v>
      </c>
      <c r="G157" s="3" t="n">
        <f aca="false">Original_Dataset!G154</f>
        <v>0.234</v>
      </c>
      <c r="H157" s="3" t="n">
        <f aca="false">Original_Dataset!H154</f>
        <v>21</v>
      </c>
      <c r="I157" s="3" t="n">
        <f aca="false">Original_Dataset!I154</f>
        <v>87.4</v>
      </c>
      <c r="J157" s="3" t="n">
        <f aca="false">IF(ISBLANK(Original_Dataset!J154),$Q$3,Original_Dataset!J154)</f>
        <v>0.2</v>
      </c>
      <c r="K157" s="3" t="n">
        <f aca="false">Original_Dataset!K154</f>
        <v>0</v>
      </c>
      <c r="L157" s="3" t="n">
        <f aca="false">IF(ISBLANK(Original_Dataset!L154),$Q$4,Original_Dataset!L154)</f>
        <v>4.5</v>
      </c>
      <c r="M157" s="3" t="n">
        <f aca="false">Original_Dataset!M154</f>
        <v>785028.25</v>
      </c>
      <c r="N157" s="3" t="n">
        <f aca="false">Original_Dataset!N154</f>
        <v>110726.44</v>
      </c>
    </row>
    <row r="158" customFormat="false" ht="15" hidden="false" customHeight="true" outlineLevel="0" collapsed="false">
      <c r="A158" s="3" t="str">
        <f aca="false">Original_Dataset!A155</f>
        <v>STR-1039</v>
      </c>
      <c r="B158" s="4" t="n">
        <f aca="false">Original_Dataset!B155</f>
        <v>45689</v>
      </c>
      <c r="C158" s="3" t="str">
        <f aca="false">Original_Dataset!C155</f>
        <v>East</v>
      </c>
      <c r="D158" s="3" t="str">
        <f aca="false">Original_Dataset!D155</f>
        <v>High Street</v>
      </c>
      <c r="E158" s="3" t="n">
        <f aca="false">Original_Dataset!E155</f>
        <v>64374.75</v>
      </c>
      <c r="F158" s="3" t="n">
        <f aca="false">Original_Dataset!F155</f>
        <v>6740</v>
      </c>
      <c r="G158" s="3" t="n">
        <f aca="false">Original_Dataset!G155</f>
        <v>0.169</v>
      </c>
      <c r="H158" s="3" t="n">
        <f aca="false">Original_Dataset!H155</f>
        <v>18</v>
      </c>
      <c r="I158" s="3" t="n">
        <f aca="false">Original_Dataset!I155</f>
        <v>87</v>
      </c>
      <c r="J158" s="3" t="n">
        <f aca="false">IF(ISBLANK(Original_Dataset!J155),$Q$3,Original_Dataset!J155)</f>
        <v>2.09</v>
      </c>
      <c r="K158" s="3" t="n">
        <f aca="false">Original_Dataset!K155</f>
        <v>0</v>
      </c>
      <c r="L158" s="3" t="n">
        <f aca="false">IF(ISBLANK(Original_Dataset!L155),$Q$4,Original_Dataset!L155)</f>
        <v>4.2</v>
      </c>
      <c r="M158" s="3" t="n">
        <f aca="false">Original_Dataset!M155</f>
        <v>698492.67</v>
      </c>
      <c r="N158" s="3" t="n">
        <f aca="false">Original_Dataset!N155</f>
        <v>117319.32</v>
      </c>
    </row>
    <row r="159" customFormat="false" ht="15" hidden="false" customHeight="true" outlineLevel="0" collapsed="false">
      <c r="A159" s="3" t="str">
        <f aca="false">Original_Dataset!A156</f>
        <v>STR-1039</v>
      </c>
      <c r="B159" s="4" t="n">
        <f aca="false">Original_Dataset!B156</f>
        <v>45717</v>
      </c>
      <c r="C159" s="3" t="str">
        <f aca="false">Original_Dataset!C156</f>
        <v>East</v>
      </c>
      <c r="D159" s="3" t="str">
        <f aca="false">Original_Dataset!D156</f>
        <v>High Street</v>
      </c>
      <c r="E159" s="3" t="n">
        <f aca="false">Original_Dataset!E156</f>
        <v>61433.84</v>
      </c>
      <c r="F159" s="3" t="n">
        <f aca="false">Original_Dataset!F156</f>
        <v>7745</v>
      </c>
      <c r="G159" s="3" t="n">
        <f aca="false">Original_Dataset!G156</f>
        <v>0.18</v>
      </c>
      <c r="H159" s="3" t="n">
        <f aca="false">Original_Dataset!H156</f>
        <v>16</v>
      </c>
      <c r="I159" s="3" t="n">
        <f aca="false">Original_Dataset!I156</f>
        <v>90.5</v>
      </c>
      <c r="J159" s="3" t="n">
        <f aca="false">IF(ISBLANK(Original_Dataset!J156),$Q$3,Original_Dataset!J156)</f>
        <v>2.26</v>
      </c>
      <c r="K159" s="3" t="n">
        <f aca="false">Original_Dataset!K156</f>
        <v>0</v>
      </c>
      <c r="L159" s="3" t="n">
        <f aca="false">IF(ISBLANK(Original_Dataset!L156),$Q$4,Original_Dataset!L156)</f>
        <v>4.2</v>
      </c>
      <c r="M159" s="3" t="n">
        <f aca="false">Original_Dataset!M156</f>
        <v>685830.24</v>
      </c>
      <c r="N159" s="3" t="n">
        <f aca="false">Original_Dataset!N156</f>
        <v>128736.18</v>
      </c>
    </row>
    <row r="160" customFormat="false" ht="15" hidden="false" customHeight="true" outlineLevel="0" collapsed="false">
      <c r="A160" s="3" t="str">
        <f aca="false">Original_Dataset!A157</f>
        <v>STR-1039</v>
      </c>
      <c r="B160" s="4" t="n">
        <f aca="false">Original_Dataset!B157</f>
        <v>45748</v>
      </c>
      <c r="C160" s="3" t="str">
        <f aca="false">Original_Dataset!C157</f>
        <v>East</v>
      </c>
      <c r="D160" s="3" t="str">
        <f aca="false">Original_Dataset!D157</f>
        <v>High Street</v>
      </c>
      <c r="E160" s="3" t="n">
        <f aca="false">Original_Dataset!E157</f>
        <v>42698.14</v>
      </c>
      <c r="F160" s="3" t="n">
        <f aca="false">Original_Dataset!F157</f>
        <v>7693</v>
      </c>
      <c r="G160" s="3" t="n">
        <f aca="false">Original_Dataset!G157</f>
        <v>0.187</v>
      </c>
      <c r="H160" s="3" t="n">
        <f aca="false">Original_Dataset!H157</f>
        <v>19</v>
      </c>
      <c r="I160" s="3" t="n">
        <f aca="false">Original_Dataset!I157</f>
        <v>90.1</v>
      </c>
      <c r="J160" s="3" t="n">
        <f aca="false">IF(ISBLANK(Original_Dataset!J157),$Q$3,Original_Dataset!J157)</f>
        <v>0.44</v>
      </c>
      <c r="K160" s="3" t="n">
        <f aca="false">Original_Dataset!K157</f>
        <v>0</v>
      </c>
      <c r="L160" s="3" t="n">
        <f aca="false">IF(ISBLANK(Original_Dataset!L157),$Q$4,Original_Dataset!L157)</f>
        <v>4.4</v>
      </c>
      <c r="M160" s="3" t="n">
        <f aca="false">Original_Dataset!M157</f>
        <v>702318.94</v>
      </c>
      <c r="N160" s="3" t="n">
        <f aca="false">Original_Dataset!N157</f>
        <v>112829.29</v>
      </c>
    </row>
    <row r="161" customFormat="false" ht="15" hidden="false" customHeight="true" outlineLevel="0" collapsed="false">
      <c r="A161" s="3" t="str">
        <f aca="false">Original_Dataset!A158</f>
        <v>STR-1040</v>
      </c>
      <c r="B161" s="4" t="n">
        <f aca="false">Original_Dataset!B158</f>
        <v>45658</v>
      </c>
      <c r="C161" s="3" t="str">
        <f aca="false">Original_Dataset!C158</f>
        <v>North</v>
      </c>
      <c r="D161" s="3" t="str">
        <f aca="false">Original_Dataset!D158</f>
        <v>Mall</v>
      </c>
      <c r="E161" s="3" t="n">
        <f aca="false">Original_Dataset!E158</f>
        <v>86883.31</v>
      </c>
      <c r="F161" s="3" t="n">
        <f aca="false">Original_Dataset!F158</f>
        <v>6424</v>
      </c>
      <c r="G161" s="3" t="n">
        <f aca="false">Original_Dataset!G158</f>
        <v>0.057</v>
      </c>
      <c r="H161" s="3" t="n">
        <f aca="false">Original_Dataset!H158</f>
        <v>19</v>
      </c>
      <c r="I161" s="3" t="n">
        <f aca="false">Original_Dataset!I158</f>
        <v>85.2</v>
      </c>
      <c r="J161" s="3" t="n">
        <f aca="false">IF(ISBLANK(Original_Dataset!J158),$Q$3,Original_Dataset!J158)</f>
        <v>3.08</v>
      </c>
      <c r="K161" s="3" t="n">
        <f aca="false">Original_Dataset!K158</f>
        <v>0</v>
      </c>
      <c r="L161" s="3" t="n">
        <f aca="false">IF(ISBLANK(Original_Dataset!L158),$Q$4,Original_Dataset!L158)</f>
        <v>3.9</v>
      </c>
      <c r="M161" s="3" t="n">
        <f aca="false">Original_Dataset!M158</f>
        <v>700078.32</v>
      </c>
      <c r="N161" s="3" t="n">
        <f aca="false">Original_Dataset!N158</f>
        <v>123707.58</v>
      </c>
    </row>
    <row r="162" customFormat="false" ht="15" hidden="false" customHeight="true" outlineLevel="0" collapsed="false">
      <c r="A162" s="3" t="str">
        <f aca="false">Original_Dataset!A159</f>
        <v>STR-1040</v>
      </c>
      <c r="B162" s="4" t="n">
        <f aca="false">Original_Dataset!B159</f>
        <v>45689</v>
      </c>
      <c r="C162" s="3" t="str">
        <f aca="false">Original_Dataset!C159</f>
        <v>North</v>
      </c>
      <c r="D162" s="3" t="str">
        <f aca="false">Original_Dataset!D159</f>
        <v>Mall</v>
      </c>
      <c r="E162" s="3" t="n">
        <f aca="false">Original_Dataset!E159</f>
        <v>41863.08</v>
      </c>
      <c r="F162" s="3" t="n">
        <f aca="false">Original_Dataset!F159</f>
        <v>5400</v>
      </c>
      <c r="G162" s="3" t="n">
        <f aca="false">Original_Dataset!G159</f>
        <v>0.114</v>
      </c>
      <c r="H162" s="3" t="n">
        <f aca="false">Original_Dataset!H159</f>
        <v>11</v>
      </c>
      <c r="I162" s="3" t="n">
        <f aca="false">Original_Dataset!I159</f>
        <v>91.6</v>
      </c>
      <c r="J162" s="3" t="n">
        <f aca="false">IF(ISBLANK(Original_Dataset!J159),$Q$3,Original_Dataset!J159)</f>
        <v>7.99</v>
      </c>
      <c r="K162" s="3" t="n">
        <f aca="false">Original_Dataset!K159</f>
        <v>0</v>
      </c>
      <c r="L162" s="3" t="n">
        <f aca="false">IF(ISBLANK(Original_Dataset!L159),$Q$4,Original_Dataset!L159)</f>
        <v>3</v>
      </c>
      <c r="M162" s="3" t="n">
        <f aca="false">Original_Dataset!M159</f>
        <v>602002.32</v>
      </c>
      <c r="N162" s="3" t="n">
        <f aca="false">Original_Dataset!N159</f>
        <v>110453.28</v>
      </c>
    </row>
    <row r="163" customFormat="false" ht="15" hidden="false" customHeight="true" outlineLevel="0" collapsed="false">
      <c r="A163" s="3" t="str">
        <f aca="false">Original_Dataset!A160</f>
        <v>STR-1040</v>
      </c>
      <c r="B163" s="4" t="n">
        <f aca="false">Original_Dataset!B160</f>
        <v>45717</v>
      </c>
      <c r="C163" s="3" t="str">
        <f aca="false">Original_Dataset!C160</f>
        <v>North</v>
      </c>
      <c r="D163" s="3" t="str">
        <f aca="false">Original_Dataset!D160</f>
        <v>Mall</v>
      </c>
      <c r="E163" s="3" t="n">
        <f aca="false">Original_Dataset!E160</f>
        <v>56918.16</v>
      </c>
      <c r="F163" s="3" t="n">
        <f aca="false">Original_Dataset!F160</f>
        <v>7015</v>
      </c>
      <c r="G163" s="3" t="n">
        <f aca="false">Original_Dataset!G160</f>
        <v>0.158</v>
      </c>
      <c r="H163" s="3" t="n">
        <f aca="false">Original_Dataset!H160</f>
        <v>18</v>
      </c>
      <c r="I163" s="3" t="n">
        <f aca="false">Original_Dataset!I160</f>
        <v>74.2</v>
      </c>
      <c r="J163" s="3" t="n">
        <f aca="false">IF(ISBLANK(Original_Dataset!J160),$Q$3,Original_Dataset!J160)</f>
        <v>0.2</v>
      </c>
      <c r="K163" s="3" t="n">
        <f aca="false">Original_Dataset!K160</f>
        <v>0</v>
      </c>
      <c r="L163" s="3" t="n">
        <f aca="false">IF(ISBLANK(Original_Dataset!L160),$Q$4,Original_Dataset!L160)</f>
        <v>3.4</v>
      </c>
      <c r="M163" s="3" t="n">
        <f aca="false">Original_Dataset!M160</f>
        <v>724216.07</v>
      </c>
      <c r="N163" s="3" t="n">
        <f aca="false">Original_Dataset!N160</f>
        <v>100627.56</v>
      </c>
    </row>
    <row r="164" customFormat="false" ht="15" hidden="false" customHeight="true" outlineLevel="0" collapsed="false">
      <c r="A164" s="3" t="str">
        <f aca="false">Original_Dataset!A161</f>
        <v>STR-1040</v>
      </c>
      <c r="B164" s="4" t="n">
        <f aca="false">Original_Dataset!B161</f>
        <v>45748</v>
      </c>
      <c r="C164" s="3" t="str">
        <f aca="false">Original_Dataset!C161</f>
        <v>North</v>
      </c>
      <c r="D164" s="3" t="str">
        <f aca="false">Original_Dataset!D161</f>
        <v>Mall</v>
      </c>
      <c r="E164" s="3" t="n">
        <f aca="false">Original_Dataset!E161</f>
        <v>23254.57</v>
      </c>
      <c r="F164" s="3" t="n">
        <f aca="false">Original_Dataset!F161</f>
        <v>3847</v>
      </c>
      <c r="G164" s="3" t="n">
        <f aca="false">Original_Dataset!G161</f>
        <v>0.159</v>
      </c>
      <c r="H164" s="3" t="n">
        <f aca="false">Original_Dataset!H161</f>
        <v>12</v>
      </c>
      <c r="I164" s="3" t="n">
        <f aca="false">Original_Dataset!I161</f>
        <v>93</v>
      </c>
      <c r="J164" s="3" t="n">
        <f aca="false">IF(ISBLANK(Original_Dataset!J161),$Q$3,Original_Dataset!J161)</f>
        <v>5.46</v>
      </c>
      <c r="K164" s="3" t="n">
        <f aca="false">Original_Dataset!K161</f>
        <v>0</v>
      </c>
      <c r="L164" s="3" t="n">
        <f aca="false">IF(ISBLANK(Original_Dataset!L161),$Q$4,Original_Dataset!L161)</f>
        <v>3.3</v>
      </c>
      <c r="M164" s="3" t="n">
        <f aca="false">Original_Dataset!M161</f>
        <v>620973.03</v>
      </c>
      <c r="N164" s="3" t="n">
        <f aca="false">Original_Dataset!N161</f>
        <v>72303.85</v>
      </c>
    </row>
    <row r="165" customFormat="false" ht="15" hidden="false" customHeight="true" outlineLevel="0" collapsed="false">
      <c r="A165" s="3" t="str">
        <f aca="false">Original_Dataset!A162</f>
        <v>STR-1041</v>
      </c>
      <c r="B165" s="4" t="n">
        <f aca="false">Original_Dataset!B162</f>
        <v>45658</v>
      </c>
      <c r="C165" s="3" t="str">
        <f aca="false">Original_Dataset!C162</f>
        <v>South</v>
      </c>
      <c r="D165" s="3" t="str">
        <f aca="false">Original_Dataset!D162</f>
        <v>High Street</v>
      </c>
      <c r="E165" s="3" t="n">
        <f aca="false">Original_Dataset!E162</f>
        <v>41443.41</v>
      </c>
      <c r="F165" s="3" t="n">
        <f aca="false">Original_Dataset!F162</f>
        <v>7455</v>
      </c>
      <c r="G165" s="3" t="n">
        <f aca="false">Original_Dataset!G162</f>
        <v>0.175</v>
      </c>
      <c r="H165" s="3" t="n">
        <f aca="false">Original_Dataset!H162</f>
        <v>16</v>
      </c>
      <c r="I165" s="3" t="n">
        <f aca="false">Original_Dataset!I162</f>
        <v>90.1</v>
      </c>
      <c r="J165" s="3" t="n">
        <f aca="false">IF(ISBLANK(Original_Dataset!J162),$Q$3,Original_Dataset!J162)</f>
        <v>4.05</v>
      </c>
      <c r="K165" s="3" t="n">
        <f aca="false">Original_Dataset!K162</f>
        <v>0</v>
      </c>
      <c r="L165" s="3" t="n">
        <f aca="false">IF(ISBLANK(Original_Dataset!L162),$Q$4,Original_Dataset!L162)</f>
        <v>4</v>
      </c>
      <c r="M165" s="3" t="n">
        <f aca="false">Original_Dataset!M162</f>
        <v>650480.06</v>
      </c>
      <c r="N165" s="3" t="n">
        <f aca="false">Original_Dataset!N162</f>
        <v>109012.07</v>
      </c>
    </row>
    <row r="166" customFormat="false" ht="15" hidden="false" customHeight="true" outlineLevel="0" collapsed="false">
      <c r="A166" s="3" t="str">
        <f aca="false">Original_Dataset!A163</f>
        <v>STR-1041</v>
      </c>
      <c r="B166" s="4" t="n">
        <f aca="false">Original_Dataset!B163</f>
        <v>45689</v>
      </c>
      <c r="C166" s="3" t="str">
        <f aca="false">Original_Dataset!C163</f>
        <v>South</v>
      </c>
      <c r="D166" s="3" t="str">
        <f aca="false">Original_Dataset!D163</f>
        <v>High Street</v>
      </c>
      <c r="E166" s="3" t="n">
        <f aca="false">Original_Dataset!E163</f>
        <v>48438.85</v>
      </c>
      <c r="F166" s="3" t="n">
        <f aca="false">Original_Dataset!F163</f>
        <v>6992</v>
      </c>
      <c r="G166" s="3" t="n">
        <f aca="false">Original_Dataset!G163</f>
        <v>0.034</v>
      </c>
      <c r="H166" s="3" t="n">
        <f aca="false">Original_Dataset!H163</f>
        <v>20</v>
      </c>
      <c r="I166" s="3" t="n">
        <f aca="false">Original_Dataset!I163</f>
        <v>91</v>
      </c>
      <c r="J166" s="3" t="n">
        <f aca="false">IF(ISBLANK(Original_Dataset!J163),$Q$3,Original_Dataset!J163)</f>
        <v>4.36</v>
      </c>
      <c r="K166" s="3" t="n">
        <f aca="false">Original_Dataset!K163</f>
        <v>0</v>
      </c>
      <c r="L166" s="3" t="n">
        <f aca="false">IF(ISBLANK(Original_Dataset!L163),$Q$4,Original_Dataset!L163)</f>
        <v>4.2</v>
      </c>
      <c r="M166" s="3" t="n">
        <f aca="false">Original_Dataset!M163</f>
        <v>778298.88</v>
      </c>
      <c r="N166" s="3" t="n">
        <f aca="false">Original_Dataset!N163</f>
        <v>130076.72</v>
      </c>
    </row>
    <row r="167" customFormat="false" ht="15" hidden="false" customHeight="true" outlineLevel="0" collapsed="false">
      <c r="A167" s="3" t="str">
        <f aca="false">Original_Dataset!A164</f>
        <v>STR-1041</v>
      </c>
      <c r="B167" s="4" t="n">
        <f aca="false">Original_Dataset!B164</f>
        <v>45717</v>
      </c>
      <c r="C167" s="3" t="str">
        <f aca="false">Original_Dataset!C164</f>
        <v>South</v>
      </c>
      <c r="D167" s="3" t="str">
        <f aca="false">Original_Dataset!D164</f>
        <v>High Street</v>
      </c>
      <c r="E167" s="3" t="n">
        <f aca="false">Original_Dataset!E164</f>
        <v>57143.3</v>
      </c>
      <c r="F167" s="3" t="n">
        <f aca="false">Original_Dataset!F164</f>
        <v>8038</v>
      </c>
      <c r="G167" s="3" t="n">
        <f aca="false">Original_Dataset!G164</f>
        <v>0.193</v>
      </c>
      <c r="H167" s="3" t="n">
        <f aca="false">Original_Dataset!H164</f>
        <v>17</v>
      </c>
      <c r="I167" s="3" t="n">
        <f aca="false">Original_Dataset!I164</f>
        <v>72.6</v>
      </c>
      <c r="J167" s="3" t="n">
        <f aca="false">IF(ISBLANK(Original_Dataset!J164),$Q$3,Original_Dataset!J164)</f>
        <v>3.365</v>
      </c>
      <c r="K167" s="3" t="n">
        <f aca="false">Original_Dataset!K164</f>
        <v>0</v>
      </c>
      <c r="L167" s="3" t="n">
        <f aca="false">IF(ISBLANK(Original_Dataset!L164),$Q$4,Original_Dataset!L164)</f>
        <v>4.2</v>
      </c>
      <c r="M167" s="3" t="n">
        <f aca="false">Original_Dataset!M164</f>
        <v>677096.71</v>
      </c>
      <c r="N167" s="3" t="n">
        <f aca="false">Original_Dataset!N164</f>
        <v>97174.11</v>
      </c>
    </row>
    <row r="168" customFormat="false" ht="15" hidden="false" customHeight="true" outlineLevel="0" collapsed="false">
      <c r="A168" s="3" t="str">
        <f aca="false">Original_Dataset!A165</f>
        <v>STR-1041</v>
      </c>
      <c r="B168" s="4" t="n">
        <f aca="false">Original_Dataset!B165</f>
        <v>45748</v>
      </c>
      <c r="C168" s="3" t="str">
        <f aca="false">Original_Dataset!C165</f>
        <v>South</v>
      </c>
      <c r="D168" s="3" t="str">
        <f aca="false">Original_Dataset!D165</f>
        <v>High Street</v>
      </c>
      <c r="E168" s="3" t="n">
        <f aca="false">Original_Dataset!E165</f>
        <v>66870.62</v>
      </c>
      <c r="F168" s="3" t="n">
        <f aca="false">Original_Dataset!F165</f>
        <v>6055</v>
      </c>
      <c r="G168" s="3" t="n">
        <f aca="false">Original_Dataset!G165</f>
        <v>0.075</v>
      </c>
      <c r="H168" s="3" t="n">
        <f aca="false">Original_Dataset!H165</f>
        <v>19</v>
      </c>
      <c r="I168" s="3" t="n">
        <f aca="false">Original_Dataset!I165</f>
        <v>93.8</v>
      </c>
      <c r="J168" s="3" t="n">
        <f aca="false">IF(ISBLANK(Original_Dataset!J165),$Q$3,Original_Dataset!J165)</f>
        <v>0.54</v>
      </c>
      <c r="K168" s="3" t="n">
        <f aca="false">Original_Dataset!K165</f>
        <v>0</v>
      </c>
      <c r="L168" s="3" t="n">
        <f aca="false">IF(ISBLANK(Original_Dataset!L165),$Q$4,Original_Dataset!L165)</f>
        <v>4.3</v>
      </c>
      <c r="M168" s="3" t="n">
        <f aca="false">Original_Dataset!M165</f>
        <v>692008.64</v>
      </c>
      <c r="N168" s="3" t="n">
        <f aca="false">Original_Dataset!N165</f>
        <v>116337.87</v>
      </c>
    </row>
    <row r="169" customFormat="false" ht="15" hidden="false" customHeight="true" outlineLevel="0" collapsed="false">
      <c r="A169" s="3" t="str">
        <f aca="false">Original_Dataset!A166</f>
        <v>STR-1042</v>
      </c>
      <c r="B169" s="4" t="n">
        <f aca="false">Original_Dataset!B166</f>
        <v>45658</v>
      </c>
      <c r="C169" s="3" t="str">
        <f aca="false">Original_Dataset!C166</f>
        <v>North</v>
      </c>
      <c r="D169" s="3" t="str">
        <f aca="false">Original_Dataset!D166</f>
        <v>Mall</v>
      </c>
      <c r="E169" s="3" t="n">
        <f aca="false">Original_Dataset!E166</f>
        <v>72150.53</v>
      </c>
      <c r="F169" s="3" t="n">
        <f aca="false">Original_Dataset!F166</f>
        <v>9323</v>
      </c>
      <c r="G169" s="3" t="n">
        <f aca="false">Original_Dataset!G166</f>
        <v>0.157</v>
      </c>
      <c r="H169" s="3" t="n">
        <f aca="false">Original_Dataset!H166</f>
        <v>22</v>
      </c>
      <c r="I169" s="3" t="n">
        <f aca="false">Original_Dataset!I166</f>
        <v>82.9</v>
      </c>
      <c r="J169" s="3" t="n">
        <f aca="false">IF(ISBLANK(Original_Dataset!J166),$Q$3,Original_Dataset!J166)</f>
        <v>11.37</v>
      </c>
      <c r="K169" s="3" t="n">
        <f aca="false">Original_Dataset!K166</f>
        <v>1</v>
      </c>
      <c r="L169" s="3" t="n">
        <f aca="false">IF(ISBLANK(Original_Dataset!L166),$Q$4,Original_Dataset!L166)</f>
        <v>4.3</v>
      </c>
      <c r="M169" s="3" t="n">
        <f aca="false">Original_Dataset!M166</f>
        <v>825797.91</v>
      </c>
      <c r="N169" s="3" t="n">
        <f aca="false">Original_Dataset!N166</f>
        <v>130945.24</v>
      </c>
    </row>
    <row r="170" customFormat="false" ht="15" hidden="false" customHeight="true" outlineLevel="0" collapsed="false">
      <c r="A170" s="3" t="str">
        <f aca="false">Original_Dataset!A167</f>
        <v>STR-1042</v>
      </c>
      <c r="B170" s="4" t="n">
        <f aca="false">Original_Dataset!B167</f>
        <v>45689</v>
      </c>
      <c r="C170" s="3" t="str">
        <f aca="false">Original_Dataset!C167</f>
        <v>North</v>
      </c>
      <c r="D170" s="3" t="str">
        <f aca="false">Original_Dataset!D167</f>
        <v>Mall</v>
      </c>
      <c r="E170" s="3" t="n">
        <f aca="false">Original_Dataset!E167</f>
        <v>35303.3</v>
      </c>
      <c r="F170" s="3" t="n">
        <f aca="false">Original_Dataset!F167</f>
        <v>8789</v>
      </c>
      <c r="G170" s="3" t="n">
        <f aca="false">Original_Dataset!G167</f>
        <v>0.123</v>
      </c>
      <c r="H170" s="3" t="n">
        <f aca="false">Original_Dataset!H167</f>
        <v>22</v>
      </c>
      <c r="I170" s="3" t="n">
        <f aca="false">Original_Dataset!I167</f>
        <v>86.1</v>
      </c>
      <c r="J170" s="3" t="n">
        <f aca="false">IF(ISBLANK(Original_Dataset!J167),$Q$3,Original_Dataset!J167)</f>
        <v>9.43</v>
      </c>
      <c r="K170" s="3" t="n">
        <f aca="false">Original_Dataset!K167</f>
        <v>0</v>
      </c>
      <c r="L170" s="3" t="n">
        <f aca="false">IF(ISBLANK(Original_Dataset!L167),$Q$4,Original_Dataset!L167)</f>
        <v>4.2</v>
      </c>
      <c r="M170" s="3" t="n">
        <f aca="false">Original_Dataset!M167</f>
        <v>706285.52</v>
      </c>
      <c r="N170" s="3" t="n">
        <f aca="false">Original_Dataset!N167</f>
        <v>138014.72</v>
      </c>
    </row>
    <row r="171" customFormat="false" ht="15" hidden="false" customHeight="true" outlineLevel="0" collapsed="false">
      <c r="A171" s="3" t="str">
        <f aca="false">Original_Dataset!A168</f>
        <v>STR-1042</v>
      </c>
      <c r="B171" s="4" t="n">
        <f aca="false">Original_Dataset!B168</f>
        <v>45717</v>
      </c>
      <c r="C171" s="3" t="str">
        <f aca="false">Original_Dataset!C168</f>
        <v>North</v>
      </c>
      <c r="D171" s="3" t="str">
        <f aca="false">Original_Dataset!D168</f>
        <v>Mall</v>
      </c>
      <c r="E171" s="3" t="n">
        <f aca="false">Original_Dataset!E168</f>
        <v>30301.86</v>
      </c>
      <c r="F171" s="3" t="n">
        <f aca="false">Original_Dataset!F168</f>
        <v>6939</v>
      </c>
      <c r="G171" s="3" t="n">
        <f aca="false">Original_Dataset!G168</f>
        <v>0.09</v>
      </c>
      <c r="H171" s="3" t="n">
        <f aca="false">Original_Dataset!H168</f>
        <v>16</v>
      </c>
      <c r="I171" s="3" t="n">
        <f aca="false">Original_Dataset!I168</f>
        <v>90.3</v>
      </c>
      <c r="J171" s="3" t="n">
        <f aca="false">IF(ISBLANK(Original_Dataset!J168),$Q$3,Original_Dataset!J168)</f>
        <v>3.49</v>
      </c>
      <c r="K171" s="3" t="n">
        <f aca="false">Original_Dataset!K168</f>
        <v>0</v>
      </c>
      <c r="L171" s="3" t="n">
        <f aca="false">IF(ISBLANK(Original_Dataset!L168),$Q$4,Original_Dataset!L168)</f>
        <v>4</v>
      </c>
      <c r="M171" s="3" t="n">
        <f aca="false">Original_Dataset!M168</f>
        <v>665534.7</v>
      </c>
      <c r="N171" s="3" t="n">
        <f aca="false">Original_Dataset!N168</f>
        <v>113167.73</v>
      </c>
    </row>
    <row r="172" customFormat="false" ht="15" hidden="false" customHeight="true" outlineLevel="0" collapsed="false">
      <c r="A172" s="3" t="str">
        <f aca="false">Original_Dataset!A169</f>
        <v>STR-1042</v>
      </c>
      <c r="B172" s="4" t="n">
        <f aca="false">Original_Dataset!B169</f>
        <v>45748</v>
      </c>
      <c r="C172" s="3" t="str">
        <f aca="false">Original_Dataset!C169</f>
        <v>North</v>
      </c>
      <c r="D172" s="3" t="str">
        <f aca="false">Original_Dataset!D169</f>
        <v>Mall</v>
      </c>
      <c r="E172" s="3" t="n">
        <f aca="false">Original_Dataset!E169</f>
        <v>78432.14</v>
      </c>
      <c r="F172" s="3" t="n">
        <f aca="false">Original_Dataset!F169</f>
        <v>9440</v>
      </c>
      <c r="G172" s="3" t="n">
        <f aca="false">Original_Dataset!G169</f>
        <v>0.126</v>
      </c>
      <c r="H172" s="3" t="n">
        <f aca="false">Original_Dataset!H169</f>
        <v>23</v>
      </c>
      <c r="I172" s="3" t="n">
        <f aca="false">Original_Dataset!I169</f>
        <v>89.2</v>
      </c>
      <c r="J172" s="3" t="n">
        <f aca="false">IF(ISBLANK(Original_Dataset!J169),$Q$3,Original_Dataset!J169)</f>
        <v>7.86</v>
      </c>
      <c r="K172" s="3" t="n">
        <f aca="false">Original_Dataset!K169</f>
        <v>0</v>
      </c>
      <c r="L172" s="3" t="n">
        <f aca="false">IF(ISBLANK(Original_Dataset!L169),$Q$4,Original_Dataset!L169)</f>
        <v>4.1</v>
      </c>
      <c r="M172" s="3" t="n">
        <f aca="false">Original_Dataset!M169</f>
        <v>820729.29</v>
      </c>
      <c r="N172" s="3" t="n">
        <f aca="false">Original_Dataset!N169</f>
        <v>159325.47</v>
      </c>
    </row>
    <row r="173" customFormat="false" ht="15" hidden="false" customHeight="true" outlineLevel="0" collapsed="false">
      <c r="A173" s="3" t="str">
        <f aca="false">Original_Dataset!A170</f>
        <v>STR-1043</v>
      </c>
      <c r="B173" s="4" t="n">
        <f aca="false">Original_Dataset!B170</f>
        <v>45658</v>
      </c>
      <c r="C173" s="3" t="str">
        <f aca="false">Original_Dataset!C170</f>
        <v>East</v>
      </c>
      <c r="D173" s="3" t="str">
        <f aca="false">Original_Dataset!D170</f>
        <v>Residential</v>
      </c>
      <c r="E173" s="3" t="n">
        <f aca="false">Original_Dataset!E170</f>
        <v>62059.18</v>
      </c>
      <c r="F173" s="3" t="n">
        <f aca="false">Original_Dataset!F170</f>
        <v>9374</v>
      </c>
      <c r="G173" s="3" t="n">
        <f aca="false">Original_Dataset!G170</f>
        <v>0.136</v>
      </c>
      <c r="H173" s="3" t="n">
        <f aca="false">Original_Dataset!H170</f>
        <v>25</v>
      </c>
      <c r="I173" s="3" t="n">
        <f aca="false">Original_Dataset!I170</f>
        <v>87.1</v>
      </c>
      <c r="J173" s="3" t="n">
        <f aca="false">IF(ISBLANK(Original_Dataset!J170),$Q$3,Original_Dataset!J170)</f>
        <v>12.55</v>
      </c>
      <c r="K173" s="3" t="n">
        <f aca="false">Original_Dataset!K170</f>
        <v>0</v>
      </c>
      <c r="L173" s="3" t="n">
        <f aca="false">IF(ISBLANK(Original_Dataset!L170),$Q$4,Original_Dataset!L170)</f>
        <v>4.9</v>
      </c>
      <c r="M173" s="3" t="n">
        <f aca="false">Original_Dataset!M170</f>
        <v>739831.73</v>
      </c>
      <c r="N173" s="3" t="n">
        <f aca="false">Original_Dataset!N170</f>
        <v>119490.21</v>
      </c>
    </row>
    <row r="174" customFormat="false" ht="15" hidden="false" customHeight="true" outlineLevel="0" collapsed="false">
      <c r="A174" s="3" t="str">
        <f aca="false">Original_Dataset!A171</f>
        <v>STR-1043</v>
      </c>
      <c r="B174" s="4" t="n">
        <f aca="false">Original_Dataset!B171</f>
        <v>45689</v>
      </c>
      <c r="C174" s="3" t="str">
        <f aca="false">Original_Dataset!C171</f>
        <v>East</v>
      </c>
      <c r="D174" s="3" t="str">
        <f aca="false">Original_Dataset!D171</f>
        <v>Residential</v>
      </c>
      <c r="E174" s="3" t="n">
        <f aca="false">Original_Dataset!E171</f>
        <v>32834.48</v>
      </c>
      <c r="F174" s="3" t="n">
        <f aca="false">Original_Dataset!F171</f>
        <v>7576</v>
      </c>
      <c r="G174" s="3" t="n">
        <f aca="false">Original_Dataset!G171</f>
        <v>0.099</v>
      </c>
      <c r="H174" s="3" t="n">
        <f aca="false">Original_Dataset!H171</f>
        <v>15</v>
      </c>
      <c r="I174" s="3" t="n">
        <f aca="false">Original_Dataset!I171</f>
        <v>84.1</v>
      </c>
      <c r="J174" s="3" t="n">
        <f aca="false">IF(ISBLANK(Original_Dataset!J171),$Q$3,Original_Dataset!J171)</f>
        <v>3.48</v>
      </c>
      <c r="K174" s="3" t="n">
        <f aca="false">Original_Dataset!K171</f>
        <v>0</v>
      </c>
      <c r="L174" s="3" t="n">
        <f aca="false">IF(ISBLANK(Original_Dataset!L171),$Q$4,Original_Dataset!L171)</f>
        <v>5</v>
      </c>
      <c r="M174" s="3" t="n">
        <f aca="false">Original_Dataset!M171</f>
        <v>593637.14</v>
      </c>
      <c r="N174" s="3" t="n">
        <f aca="false">Original_Dataset!N171</f>
        <v>106648.14</v>
      </c>
    </row>
    <row r="175" customFormat="false" ht="15" hidden="false" customHeight="true" outlineLevel="0" collapsed="false">
      <c r="A175" s="3" t="str">
        <f aca="false">Original_Dataset!A172</f>
        <v>STR-1043</v>
      </c>
      <c r="B175" s="4" t="n">
        <f aca="false">Original_Dataset!B172</f>
        <v>45717</v>
      </c>
      <c r="C175" s="3" t="str">
        <f aca="false">Original_Dataset!C172</f>
        <v>East</v>
      </c>
      <c r="D175" s="3" t="str">
        <f aca="false">Original_Dataset!D172</f>
        <v>Residential</v>
      </c>
      <c r="E175" s="3" t="n">
        <f aca="false">Original_Dataset!E172</f>
        <v>50825.08</v>
      </c>
      <c r="F175" s="3" t="n">
        <f aca="false">Original_Dataset!F172</f>
        <v>8949</v>
      </c>
      <c r="G175" s="3" t="n">
        <f aca="false">Original_Dataset!G172</f>
        <v>0.157</v>
      </c>
      <c r="H175" s="3" t="n">
        <f aca="false">Original_Dataset!H172</f>
        <v>21</v>
      </c>
      <c r="I175" s="3" t="n">
        <f aca="false">Original_Dataset!I172</f>
        <v>84.7</v>
      </c>
      <c r="J175" s="3" t="n">
        <f aca="false">IF(ISBLANK(Original_Dataset!J172),$Q$3,Original_Dataset!J172)</f>
        <v>7.73</v>
      </c>
      <c r="K175" s="3" t="n">
        <f aca="false">Original_Dataset!K172</f>
        <v>0</v>
      </c>
      <c r="L175" s="3" t="n">
        <f aca="false">IF(ISBLANK(Original_Dataset!L172),$Q$4,Original_Dataset!L172)</f>
        <v>4.9</v>
      </c>
      <c r="M175" s="3" t="n">
        <f aca="false">Original_Dataset!M172</f>
        <v>769702.76</v>
      </c>
      <c r="N175" s="3" t="n">
        <f aca="false">Original_Dataset!N172</f>
        <v>158697</v>
      </c>
    </row>
    <row r="176" customFormat="false" ht="15" hidden="false" customHeight="true" outlineLevel="0" collapsed="false">
      <c r="A176" s="3" t="str">
        <f aca="false">Original_Dataset!A173</f>
        <v>STR-1043</v>
      </c>
      <c r="B176" s="4" t="n">
        <f aca="false">Original_Dataset!B173</f>
        <v>45748</v>
      </c>
      <c r="C176" s="3" t="str">
        <f aca="false">Original_Dataset!C173</f>
        <v>East</v>
      </c>
      <c r="D176" s="3" t="str">
        <f aca="false">Original_Dataset!D173</f>
        <v>Residential</v>
      </c>
      <c r="E176" s="3" t="n">
        <f aca="false">Original_Dataset!E173</f>
        <v>36606.51</v>
      </c>
      <c r="F176" s="3" t="n">
        <f aca="false">Original_Dataset!F173</f>
        <v>7671</v>
      </c>
      <c r="G176" s="3" t="n">
        <f aca="false">Original_Dataset!G173</f>
        <v>0.118</v>
      </c>
      <c r="H176" s="3" t="n">
        <f aca="false">Original_Dataset!H173</f>
        <v>18</v>
      </c>
      <c r="I176" s="3" t="n">
        <f aca="false">Original_Dataset!I173</f>
        <v>89.8</v>
      </c>
      <c r="J176" s="3" t="n">
        <f aca="false">IF(ISBLANK(Original_Dataset!J173),$Q$3,Original_Dataset!J173)</f>
        <v>0.25</v>
      </c>
      <c r="K176" s="3" t="n">
        <f aca="false">Original_Dataset!K173</f>
        <v>0</v>
      </c>
      <c r="L176" s="3" t="n">
        <f aca="false">IF(ISBLANK(Original_Dataset!L173),$Q$4,Original_Dataset!L173)</f>
        <v>4.4</v>
      </c>
      <c r="M176" s="3" t="n">
        <f aca="false">Original_Dataset!M173</f>
        <v>679731.57</v>
      </c>
      <c r="N176" s="3" t="n">
        <f aca="false">Original_Dataset!N173</f>
        <v>121546.42</v>
      </c>
    </row>
    <row r="177" customFormat="false" ht="15" hidden="false" customHeight="true" outlineLevel="0" collapsed="false">
      <c r="A177" s="3" t="str">
        <f aca="false">Original_Dataset!A174</f>
        <v>STR-1044</v>
      </c>
      <c r="B177" s="4" t="n">
        <f aca="false">Original_Dataset!B174</f>
        <v>45658</v>
      </c>
      <c r="C177" s="3" t="str">
        <f aca="false">Original_Dataset!C174</f>
        <v>East</v>
      </c>
      <c r="D177" s="3" t="str">
        <f aca="false">Original_Dataset!D174</f>
        <v>Residential</v>
      </c>
      <c r="E177" s="3" t="n">
        <f aca="false">Original_Dataset!E174</f>
        <v>65237.79</v>
      </c>
      <c r="F177" s="3" t="n">
        <f aca="false">Original_Dataset!F174</f>
        <v>8741</v>
      </c>
      <c r="G177" s="3" t="n">
        <f aca="false">Original_Dataset!G174</f>
        <v>0.157</v>
      </c>
      <c r="H177" s="3" t="n">
        <f aca="false">Original_Dataset!H174</f>
        <v>20</v>
      </c>
      <c r="I177" s="3" t="n">
        <f aca="false">Original_Dataset!I174</f>
        <v>94.4</v>
      </c>
      <c r="J177" s="3" t="n">
        <f aca="false">IF(ISBLANK(Original_Dataset!J174),$Q$3,Original_Dataset!J174)</f>
        <v>6.43</v>
      </c>
      <c r="K177" s="3" t="n">
        <f aca="false">Original_Dataset!K174</f>
        <v>0</v>
      </c>
      <c r="L177" s="3" t="n">
        <f aca="false">IF(ISBLANK(Original_Dataset!L174),$Q$4,Original_Dataset!L174)</f>
        <v>3.3</v>
      </c>
      <c r="M177" s="3" t="n">
        <f aca="false">Original_Dataset!M174</f>
        <v>780344.18</v>
      </c>
      <c r="N177" s="3" t="n">
        <f aca="false">Original_Dataset!N174</f>
        <v>118239.09</v>
      </c>
    </row>
    <row r="178" customFormat="false" ht="15" hidden="false" customHeight="true" outlineLevel="0" collapsed="false">
      <c r="A178" s="3" t="str">
        <f aca="false">Original_Dataset!A175</f>
        <v>STR-1044</v>
      </c>
      <c r="B178" s="4" t="n">
        <f aca="false">Original_Dataset!B175</f>
        <v>45689</v>
      </c>
      <c r="C178" s="3" t="str">
        <f aca="false">Original_Dataset!C175</f>
        <v>East</v>
      </c>
      <c r="D178" s="3" t="str">
        <f aca="false">Original_Dataset!D175</f>
        <v>Residential</v>
      </c>
      <c r="E178" s="3" t="n">
        <f aca="false">Original_Dataset!E175</f>
        <v>43645.98</v>
      </c>
      <c r="F178" s="3" t="n">
        <f aca="false">Original_Dataset!F175</f>
        <v>9480</v>
      </c>
      <c r="G178" s="3" t="n">
        <f aca="false">Original_Dataset!G175</f>
        <v>0.109</v>
      </c>
      <c r="H178" s="3" t="n">
        <f aca="false">Original_Dataset!H175</f>
        <v>22</v>
      </c>
      <c r="I178" s="3" t="n">
        <f aca="false">Original_Dataset!I175</f>
        <v>89</v>
      </c>
      <c r="J178" s="3" t="n">
        <f aca="false">IF(ISBLANK(Original_Dataset!J175),$Q$3,Original_Dataset!J175)</f>
        <v>2.11</v>
      </c>
      <c r="K178" s="3" t="n">
        <f aca="false">Original_Dataset!K175</f>
        <v>0</v>
      </c>
      <c r="L178" s="3" t="n">
        <f aca="false">IF(ISBLANK(Original_Dataset!L175),$Q$4,Original_Dataset!L175)</f>
        <v>3.1</v>
      </c>
      <c r="M178" s="3" t="n">
        <f aca="false">Original_Dataset!M175</f>
        <v>721364.11</v>
      </c>
      <c r="N178" s="3" t="n">
        <f aca="false">Original_Dataset!N175</f>
        <v>147272.81</v>
      </c>
    </row>
    <row r="179" customFormat="false" ht="15" hidden="false" customHeight="true" outlineLevel="0" collapsed="false">
      <c r="A179" s="3" t="str">
        <f aca="false">Original_Dataset!A176</f>
        <v>STR-1044</v>
      </c>
      <c r="B179" s="4" t="n">
        <f aca="false">Original_Dataset!B176</f>
        <v>45717</v>
      </c>
      <c r="C179" s="3" t="str">
        <f aca="false">Original_Dataset!C176</f>
        <v>East</v>
      </c>
      <c r="D179" s="3" t="str">
        <f aca="false">Original_Dataset!D176</f>
        <v>Residential</v>
      </c>
      <c r="E179" s="3" t="n">
        <f aca="false">Original_Dataset!E176</f>
        <v>68040.15</v>
      </c>
      <c r="F179" s="3" t="n">
        <f aca="false">Original_Dataset!F176</f>
        <v>9826</v>
      </c>
      <c r="G179" s="3" t="n">
        <f aca="false">Original_Dataset!G176</f>
        <v>0.125</v>
      </c>
      <c r="H179" s="3" t="n">
        <f aca="false">Original_Dataset!H176</f>
        <v>20</v>
      </c>
      <c r="I179" s="3" t="n">
        <f aca="false">Original_Dataset!I176</f>
        <v>83.9</v>
      </c>
      <c r="J179" s="3" t="n">
        <f aca="false">IF(ISBLANK(Original_Dataset!J176),$Q$3,Original_Dataset!J176)</f>
        <v>9.12</v>
      </c>
      <c r="K179" s="3" t="n">
        <f aca="false">Original_Dataset!K176</f>
        <v>0</v>
      </c>
      <c r="L179" s="3" t="n">
        <f aca="false">IF(ISBLANK(Original_Dataset!L176),$Q$4,Original_Dataset!L176)</f>
        <v>3.6</v>
      </c>
      <c r="M179" s="3" t="n">
        <f aca="false">Original_Dataset!M176</f>
        <v>758138.29</v>
      </c>
      <c r="N179" s="3" t="n">
        <f aca="false">Original_Dataset!N176</f>
        <v>132975.26</v>
      </c>
    </row>
    <row r="180" customFormat="false" ht="15" hidden="false" customHeight="true" outlineLevel="0" collapsed="false">
      <c r="A180" s="3" t="str">
        <f aca="false">Original_Dataset!A177</f>
        <v>STR-1044</v>
      </c>
      <c r="B180" s="4" t="n">
        <f aca="false">Original_Dataset!B177</f>
        <v>45748</v>
      </c>
      <c r="C180" s="3" t="str">
        <f aca="false">Original_Dataset!C177</f>
        <v>East</v>
      </c>
      <c r="D180" s="3" t="str">
        <f aca="false">Original_Dataset!D177</f>
        <v>Residential</v>
      </c>
      <c r="E180" s="3" t="n">
        <f aca="false">Original_Dataset!E177</f>
        <v>63043.94</v>
      </c>
      <c r="F180" s="3" t="n">
        <f aca="false">Original_Dataset!F177</f>
        <v>10402</v>
      </c>
      <c r="G180" s="3" t="n">
        <f aca="false">Original_Dataset!G177</f>
        <v>0.159</v>
      </c>
      <c r="H180" s="3" t="n">
        <f aca="false">Original_Dataset!H177</f>
        <v>23</v>
      </c>
      <c r="I180" s="3" t="n">
        <f aca="false">Original_Dataset!I177</f>
        <v>93.9</v>
      </c>
      <c r="J180" s="3" t="n">
        <f aca="false">IF(ISBLANK(Original_Dataset!J177),$Q$3,Original_Dataset!J177)</f>
        <v>2.71</v>
      </c>
      <c r="K180" s="3" t="n">
        <f aca="false">Original_Dataset!K177</f>
        <v>0</v>
      </c>
      <c r="L180" s="3" t="n">
        <f aca="false">IF(ISBLANK(Original_Dataset!L177),$Q$4,Original_Dataset!L177)</f>
        <v>3.1</v>
      </c>
      <c r="M180" s="3" t="n">
        <f aca="false">Original_Dataset!M177</f>
        <v>804264</v>
      </c>
      <c r="N180" s="3" t="n">
        <f aca="false">Original_Dataset!N177</f>
        <v>167117.91</v>
      </c>
    </row>
    <row r="181" customFormat="false" ht="15" hidden="false" customHeight="true" outlineLevel="0" collapsed="false">
      <c r="A181" s="3" t="str">
        <f aca="false">Original_Dataset!A178</f>
        <v>STR-1045</v>
      </c>
      <c r="B181" s="4" t="n">
        <f aca="false">Original_Dataset!B178</f>
        <v>45658</v>
      </c>
      <c r="C181" s="3" t="str">
        <f aca="false">Original_Dataset!C178</f>
        <v>West</v>
      </c>
      <c r="D181" s="3" t="str">
        <f aca="false">Original_Dataset!D178</f>
        <v>Airport</v>
      </c>
      <c r="E181" s="3" t="n">
        <f aca="false">Original_Dataset!E178</f>
        <v>67494.09</v>
      </c>
      <c r="F181" s="3" t="n">
        <f aca="false">Original_Dataset!F178</f>
        <v>12361</v>
      </c>
      <c r="G181" s="3" t="n">
        <f aca="false">Original_Dataset!G178</f>
        <v>0.046</v>
      </c>
      <c r="H181" s="3" t="n">
        <f aca="false">Original_Dataset!H178</f>
        <v>24</v>
      </c>
      <c r="I181" s="3" t="n">
        <f aca="false">Original_Dataset!I178</f>
        <v>76.6</v>
      </c>
      <c r="J181" s="3" t="n">
        <f aca="false">IF(ISBLANK(Original_Dataset!J178),$Q$3,Original_Dataset!J178)</f>
        <v>3.65</v>
      </c>
      <c r="K181" s="3" t="n">
        <f aca="false">Original_Dataset!K178</f>
        <v>1</v>
      </c>
      <c r="L181" s="3" t="n">
        <f aca="false">IF(ISBLANK(Original_Dataset!L178),$Q$4,Original_Dataset!L178)</f>
        <v>3.7</v>
      </c>
      <c r="M181" s="3" t="n">
        <f aca="false">Original_Dataset!M178</f>
        <v>887537.75</v>
      </c>
      <c r="N181" s="3" t="n">
        <f aca="false">Original_Dataset!N178</f>
        <v>160362.92</v>
      </c>
    </row>
    <row r="182" customFormat="false" ht="15" hidden="false" customHeight="true" outlineLevel="0" collapsed="false">
      <c r="A182" s="3" t="str">
        <f aca="false">Original_Dataset!A179</f>
        <v>STR-1045</v>
      </c>
      <c r="B182" s="4" t="n">
        <f aca="false">Original_Dataset!B179</f>
        <v>45689</v>
      </c>
      <c r="C182" s="3" t="str">
        <f aca="false">Original_Dataset!C179</f>
        <v>West</v>
      </c>
      <c r="D182" s="3" t="str">
        <f aca="false">Original_Dataset!D179</f>
        <v>Airport</v>
      </c>
      <c r="E182" s="3" t="n">
        <f aca="false">Original_Dataset!E179</f>
        <v>29389.32</v>
      </c>
      <c r="F182" s="3" t="n">
        <f aca="false">Original_Dataset!F179</f>
        <v>7925</v>
      </c>
      <c r="G182" s="3" t="n">
        <f aca="false">Original_Dataset!G179</f>
        <v>0.177</v>
      </c>
      <c r="H182" s="3" t="n">
        <f aca="false">Original_Dataset!H179</f>
        <v>21</v>
      </c>
      <c r="I182" s="3" t="n">
        <f aca="false">Original_Dataset!I179</f>
        <v>90.9</v>
      </c>
      <c r="J182" s="3" t="n">
        <f aca="false">IF(ISBLANK(Original_Dataset!J179),$Q$3,Original_Dataset!J179)</f>
        <v>7.86</v>
      </c>
      <c r="K182" s="3" t="n">
        <f aca="false">Original_Dataset!K179</f>
        <v>0</v>
      </c>
      <c r="L182" s="3" t="n">
        <f aca="false">IF(ISBLANK(Original_Dataset!L179),$Q$4,Original_Dataset!L179)</f>
        <v>4</v>
      </c>
      <c r="M182" s="3" t="n">
        <f aca="false">Original_Dataset!M179</f>
        <v>783582</v>
      </c>
      <c r="N182" s="3" t="n">
        <f aca="false">Original_Dataset!N179</f>
        <v>130670.93</v>
      </c>
    </row>
    <row r="183" customFormat="false" ht="15" hidden="false" customHeight="true" outlineLevel="0" collapsed="false">
      <c r="A183" s="3" t="str">
        <f aca="false">Original_Dataset!A180</f>
        <v>STR-1045</v>
      </c>
      <c r="B183" s="4" t="n">
        <f aca="false">Original_Dataset!B180</f>
        <v>45717</v>
      </c>
      <c r="C183" s="3" t="str">
        <f aca="false">Original_Dataset!C180</f>
        <v>West</v>
      </c>
      <c r="D183" s="3" t="str">
        <f aca="false">Original_Dataset!D180</f>
        <v>Airport</v>
      </c>
      <c r="E183" s="3" t="n">
        <f aca="false">Original_Dataset!E180</f>
        <v>40535.09</v>
      </c>
      <c r="F183" s="3" t="n">
        <f aca="false">Original_Dataset!F180</f>
        <v>8870</v>
      </c>
      <c r="G183" s="3" t="n">
        <f aca="false">Original_Dataset!G180</f>
        <v>0.041</v>
      </c>
      <c r="H183" s="3" t="n">
        <f aca="false">Original_Dataset!H180</f>
        <v>21</v>
      </c>
      <c r="I183" s="3" t="n">
        <f aca="false">Original_Dataset!I180</f>
        <v>86.6</v>
      </c>
      <c r="J183" s="3" t="n">
        <f aca="false">IF(ISBLANK(Original_Dataset!J180),$Q$3,Original_Dataset!J180)</f>
        <v>0.3</v>
      </c>
      <c r="K183" s="3" t="n">
        <f aca="false">Original_Dataset!K180</f>
        <v>0</v>
      </c>
      <c r="L183" s="3" t="n">
        <f aca="false">IF(ISBLANK(Original_Dataset!L180),$Q$4,Original_Dataset!L180)</f>
        <v>4.1</v>
      </c>
      <c r="M183" s="3" t="n">
        <f aca="false">Original_Dataset!M180</f>
        <v>781955.52</v>
      </c>
      <c r="N183" s="3" t="n">
        <f aca="false">Original_Dataset!N180</f>
        <v>152578.71</v>
      </c>
    </row>
    <row r="184" customFormat="false" ht="15" hidden="false" customHeight="true" outlineLevel="0" collapsed="false">
      <c r="A184" s="3" t="str">
        <f aca="false">Original_Dataset!A181</f>
        <v>STR-1045</v>
      </c>
      <c r="B184" s="4" t="n">
        <f aca="false">Original_Dataset!B181</f>
        <v>45748</v>
      </c>
      <c r="C184" s="3" t="str">
        <f aca="false">Original_Dataset!C181</f>
        <v>West</v>
      </c>
      <c r="D184" s="3" t="str">
        <f aca="false">Original_Dataset!D181</f>
        <v>Airport</v>
      </c>
      <c r="E184" s="3" t="n">
        <f aca="false">Original_Dataset!E181</f>
        <v>74881.56</v>
      </c>
      <c r="F184" s="3" t="n">
        <f aca="false">Original_Dataset!F181</f>
        <v>9999</v>
      </c>
      <c r="G184" s="3" t="n">
        <f aca="false">Original_Dataset!G181</f>
        <v>0.013</v>
      </c>
      <c r="H184" s="3" t="n">
        <f aca="false">Original_Dataset!H181</f>
        <v>20</v>
      </c>
      <c r="I184" s="3" t="n">
        <f aca="false">Original_Dataset!I181</f>
        <v>89.6</v>
      </c>
      <c r="J184" s="3" t="n">
        <f aca="false">IF(ISBLANK(Original_Dataset!J181),$Q$3,Original_Dataset!J181)</f>
        <v>8.44</v>
      </c>
      <c r="K184" s="3" t="n">
        <f aca="false">Original_Dataset!K181</f>
        <v>0</v>
      </c>
      <c r="L184" s="3" t="n">
        <f aca="false">IF(ISBLANK(Original_Dataset!L181),$Q$4,Original_Dataset!L181)</f>
        <v>4.1</v>
      </c>
      <c r="M184" s="3" t="n">
        <f aca="false">Original_Dataset!M181</f>
        <v>898031.04</v>
      </c>
      <c r="N184" s="3" t="n">
        <f aca="false">Original_Dataset!N181</f>
        <v>138666.5</v>
      </c>
    </row>
    <row r="185" customFormat="false" ht="15" hidden="false" customHeight="true" outlineLevel="0" collapsed="false">
      <c r="A185" s="3" t="str">
        <f aca="false">Original_Dataset!A182</f>
        <v>STR-1046</v>
      </c>
      <c r="B185" s="4" t="n">
        <f aca="false">Original_Dataset!B182</f>
        <v>45658</v>
      </c>
      <c r="C185" s="3" t="str">
        <f aca="false">Original_Dataset!C182</f>
        <v>West</v>
      </c>
      <c r="D185" s="3" t="str">
        <f aca="false">Original_Dataset!D182</f>
        <v>Residential</v>
      </c>
      <c r="E185" s="3" t="n">
        <f aca="false">Original_Dataset!E182</f>
        <v>68491.11</v>
      </c>
      <c r="F185" s="3" t="n">
        <f aca="false">Original_Dataset!F182</f>
        <v>11154</v>
      </c>
      <c r="G185" s="3" t="n">
        <f aca="false">Original_Dataset!G182</f>
        <v>0.001</v>
      </c>
      <c r="H185" s="3" t="n">
        <f aca="false">Original_Dataset!H182</f>
        <v>24</v>
      </c>
      <c r="I185" s="3" t="n">
        <f aca="false">Original_Dataset!I182</f>
        <v>89.4</v>
      </c>
      <c r="J185" s="3" t="n">
        <f aca="false">IF(ISBLANK(Original_Dataset!J182),$Q$3,Original_Dataset!J182)</f>
        <v>5.27</v>
      </c>
      <c r="K185" s="3" t="n">
        <f aca="false">Original_Dataset!K182</f>
        <v>1</v>
      </c>
      <c r="L185" s="3" t="n">
        <f aca="false">IF(ISBLANK(Original_Dataset!L182),$Q$4,Original_Dataset!L182)</f>
        <v>3.9</v>
      </c>
      <c r="M185" s="3" t="n">
        <f aca="false">Original_Dataset!M182</f>
        <v>855341.28</v>
      </c>
      <c r="N185" s="3" t="n">
        <f aca="false">Original_Dataset!N182</f>
        <v>175823.8</v>
      </c>
    </row>
    <row r="186" customFormat="false" ht="15" hidden="false" customHeight="true" outlineLevel="0" collapsed="false">
      <c r="A186" s="3" t="str">
        <f aca="false">Original_Dataset!A183</f>
        <v>STR-1046</v>
      </c>
      <c r="B186" s="4" t="n">
        <f aca="false">Original_Dataset!B183</f>
        <v>45689</v>
      </c>
      <c r="C186" s="3" t="str">
        <f aca="false">Original_Dataset!C183</f>
        <v>West</v>
      </c>
      <c r="D186" s="3" t="str">
        <f aca="false">Original_Dataset!D183</f>
        <v>Residential</v>
      </c>
      <c r="E186" s="3" t="n">
        <f aca="false">Original_Dataset!E183</f>
        <v>45209.25</v>
      </c>
      <c r="F186" s="3" t="n">
        <f aca="false">Original_Dataset!F183</f>
        <v>9287</v>
      </c>
      <c r="G186" s="3" t="n">
        <f aca="false">Original_Dataset!G183</f>
        <v>0.141</v>
      </c>
      <c r="H186" s="3" t="n">
        <f aca="false">Original_Dataset!H183</f>
        <v>22</v>
      </c>
      <c r="I186" s="3" t="n">
        <f aca="false">Original_Dataset!I183</f>
        <v>86.4</v>
      </c>
      <c r="J186" s="3" t="n">
        <f aca="false">IF(ISBLANK(Original_Dataset!J183),$Q$3,Original_Dataset!J183)</f>
        <v>13.22</v>
      </c>
      <c r="K186" s="3" t="n">
        <f aca="false">Original_Dataset!K183</f>
        <v>0</v>
      </c>
      <c r="L186" s="3" t="n">
        <f aca="false">IF(ISBLANK(Original_Dataset!L183),$Q$4,Original_Dataset!L183)</f>
        <v>3.6</v>
      </c>
      <c r="M186" s="3" t="n">
        <f aca="false">Original_Dataset!M183</f>
        <v>751393.88</v>
      </c>
      <c r="N186" s="3" t="n">
        <f aca="false">Original_Dataset!N183</f>
        <v>91480.32</v>
      </c>
    </row>
    <row r="187" customFormat="false" ht="15" hidden="false" customHeight="true" outlineLevel="0" collapsed="false">
      <c r="A187" s="3" t="str">
        <f aca="false">Original_Dataset!A184</f>
        <v>STR-1046</v>
      </c>
      <c r="B187" s="4" t="n">
        <f aca="false">Original_Dataset!B184</f>
        <v>45717</v>
      </c>
      <c r="C187" s="3" t="str">
        <f aca="false">Original_Dataset!C184</f>
        <v>West</v>
      </c>
      <c r="D187" s="3" t="str">
        <f aca="false">Original_Dataset!D184</f>
        <v>Residential</v>
      </c>
      <c r="E187" s="3" t="n">
        <f aca="false">Original_Dataset!E184</f>
        <v>63010.23</v>
      </c>
      <c r="F187" s="3" t="n">
        <f aca="false">Original_Dataset!F184</f>
        <v>9812</v>
      </c>
      <c r="G187" s="3" t="n">
        <f aca="false">Original_Dataset!G184</f>
        <v>0.113</v>
      </c>
      <c r="H187" s="3" t="n">
        <f aca="false">Original_Dataset!H184</f>
        <v>24</v>
      </c>
      <c r="I187" s="3" t="n">
        <f aca="false">Original_Dataset!I184</f>
        <v>76.8</v>
      </c>
      <c r="J187" s="3" t="n">
        <f aca="false">IF(ISBLANK(Original_Dataset!J184),$Q$3,Original_Dataset!J184)</f>
        <v>1.02</v>
      </c>
      <c r="K187" s="3" t="n">
        <f aca="false">Original_Dataset!K184</f>
        <v>1</v>
      </c>
      <c r="L187" s="3" t="n">
        <f aca="false">IF(ISBLANK(Original_Dataset!L184),$Q$4,Original_Dataset!L184)</f>
        <v>3.8</v>
      </c>
      <c r="M187" s="3" t="n">
        <f aca="false">Original_Dataset!M184</f>
        <v>761077.08</v>
      </c>
      <c r="N187" s="3" t="n">
        <f aca="false">Original_Dataset!N184</f>
        <v>113605.93</v>
      </c>
    </row>
    <row r="188" customFormat="false" ht="15" hidden="false" customHeight="true" outlineLevel="0" collapsed="false">
      <c r="A188" s="3" t="str">
        <f aca="false">Original_Dataset!A185</f>
        <v>STR-1046</v>
      </c>
      <c r="B188" s="4" t="n">
        <f aca="false">Original_Dataset!B185</f>
        <v>45748</v>
      </c>
      <c r="C188" s="3" t="str">
        <f aca="false">Original_Dataset!C185</f>
        <v>West</v>
      </c>
      <c r="D188" s="3" t="str">
        <f aca="false">Original_Dataset!D185</f>
        <v>Residential</v>
      </c>
      <c r="E188" s="3" t="n">
        <f aca="false">Original_Dataset!E185</f>
        <v>57948.88</v>
      </c>
      <c r="F188" s="3" t="n">
        <f aca="false">Original_Dataset!F185</f>
        <v>10741</v>
      </c>
      <c r="G188" s="3" t="n">
        <f aca="false">Original_Dataset!G185</f>
        <v>0.07</v>
      </c>
      <c r="H188" s="3" t="n">
        <f aca="false">Original_Dataset!H185</f>
        <v>25</v>
      </c>
      <c r="I188" s="3" t="n">
        <f aca="false">Original_Dataset!I185</f>
        <v>90.1</v>
      </c>
      <c r="J188" s="3" t="n">
        <f aca="false">IF(ISBLANK(Original_Dataset!J185),$Q$3,Original_Dataset!J185)</f>
        <v>4.03</v>
      </c>
      <c r="K188" s="3" t="n">
        <f aca="false">Original_Dataset!K185</f>
        <v>0</v>
      </c>
      <c r="L188" s="3" t="n">
        <f aca="false">IF(ISBLANK(Original_Dataset!L185),$Q$4,Original_Dataset!L185)</f>
        <v>3.1</v>
      </c>
      <c r="M188" s="3" t="n">
        <f aca="false">Original_Dataset!M185</f>
        <v>819660.59</v>
      </c>
      <c r="N188" s="3" t="n">
        <f aca="false">Original_Dataset!N185</f>
        <v>172699.95</v>
      </c>
    </row>
    <row r="189" customFormat="false" ht="15" hidden="false" customHeight="true" outlineLevel="0" collapsed="false">
      <c r="A189" s="3" t="str">
        <f aca="false">Original_Dataset!A186</f>
        <v>STR-1047</v>
      </c>
      <c r="B189" s="4" t="n">
        <f aca="false">Original_Dataset!B186</f>
        <v>45658</v>
      </c>
      <c r="C189" s="3" t="str">
        <f aca="false">Original_Dataset!C186</f>
        <v>North</v>
      </c>
      <c r="D189" s="3" t="str">
        <f aca="false">Original_Dataset!D186</f>
        <v>High Street</v>
      </c>
      <c r="E189" s="3" t="n">
        <f aca="false">Original_Dataset!E186</f>
        <v>71941.62</v>
      </c>
      <c r="F189" s="3" t="n">
        <f aca="false">Original_Dataset!F186</f>
        <v>6084</v>
      </c>
      <c r="G189" s="3" t="n">
        <f aca="false">Original_Dataset!G186</f>
        <v>0.072</v>
      </c>
      <c r="H189" s="3" t="n">
        <f aca="false">Original_Dataset!H186</f>
        <v>13</v>
      </c>
      <c r="I189" s="3" t="n">
        <f aca="false">Original_Dataset!I186</f>
        <v>93.7</v>
      </c>
      <c r="J189" s="3" t="n">
        <f aca="false">IF(ISBLANK(Original_Dataset!J186),$Q$3,Original_Dataset!J186)</f>
        <v>2.34</v>
      </c>
      <c r="K189" s="3" t="n">
        <f aca="false">Original_Dataset!K186</f>
        <v>0</v>
      </c>
      <c r="L189" s="3" t="n">
        <f aca="false">IF(ISBLANK(Original_Dataset!L186),$Q$4,Original_Dataset!L186)</f>
        <v>4.4</v>
      </c>
      <c r="M189" s="3" t="n">
        <f aca="false">Original_Dataset!M186</f>
        <v>681855.56</v>
      </c>
      <c r="N189" s="3" t="n">
        <f aca="false">Original_Dataset!N186</f>
        <v>117645.61</v>
      </c>
    </row>
    <row r="190" customFormat="false" ht="15" hidden="false" customHeight="true" outlineLevel="0" collapsed="false">
      <c r="A190" s="3" t="str">
        <f aca="false">Original_Dataset!A187</f>
        <v>STR-1047</v>
      </c>
      <c r="B190" s="4" t="n">
        <f aca="false">Original_Dataset!B187</f>
        <v>45689</v>
      </c>
      <c r="C190" s="3" t="str">
        <f aca="false">Original_Dataset!C187</f>
        <v>North</v>
      </c>
      <c r="D190" s="3" t="str">
        <f aca="false">Original_Dataset!D187</f>
        <v>High Street</v>
      </c>
      <c r="E190" s="3" t="n">
        <f aca="false">Original_Dataset!E187</f>
        <v>57147.88</v>
      </c>
      <c r="F190" s="3" t="n">
        <f aca="false">Original_Dataset!F187</f>
        <v>5252</v>
      </c>
      <c r="G190" s="3" t="n">
        <f aca="false">Original_Dataset!G187</f>
        <v>0.161</v>
      </c>
      <c r="H190" s="3" t="n">
        <f aca="false">Original_Dataset!H187</f>
        <v>15</v>
      </c>
      <c r="I190" s="3" t="n">
        <f aca="false">Original_Dataset!I187</f>
        <v>95.5</v>
      </c>
      <c r="J190" s="3" t="n">
        <f aca="false">IF(ISBLANK(Original_Dataset!J187),$Q$3,Original_Dataset!J187)</f>
        <v>8.51</v>
      </c>
      <c r="K190" s="3" t="n">
        <f aca="false">Original_Dataset!K187</f>
        <v>0</v>
      </c>
      <c r="L190" s="3" t="n">
        <f aca="false">IF(ISBLANK(Original_Dataset!L187),$Q$4,Original_Dataset!L187)</f>
        <v>4.4</v>
      </c>
      <c r="M190" s="3" t="n">
        <f aca="false">Original_Dataset!M187</f>
        <v>678311.17</v>
      </c>
      <c r="N190" s="3" t="n">
        <f aca="false">Original_Dataset!N187</f>
        <v>132029.76</v>
      </c>
    </row>
    <row r="191" customFormat="false" ht="15" hidden="false" customHeight="true" outlineLevel="0" collapsed="false">
      <c r="A191" s="3" t="str">
        <f aca="false">Original_Dataset!A188</f>
        <v>STR-1047</v>
      </c>
      <c r="B191" s="4" t="n">
        <f aca="false">Original_Dataset!B188</f>
        <v>45717</v>
      </c>
      <c r="C191" s="3" t="str">
        <f aca="false">Original_Dataset!C188</f>
        <v>North</v>
      </c>
      <c r="D191" s="3" t="str">
        <f aca="false">Original_Dataset!D188</f>
        <v>High Street</v>
      </c>
      <c r="E191" s="3" t="n">
        <f aca="false">Original_Dataset!E188</f>
        <v>48031.74</v>
      </c>
      <c r="F191" s="3" t="n">
        <f aca="false">Original_Dataset!F188</f>
        <v>6516</v>
      </c>
      <c r="G191" s="3" t="n">
        <f aca="false">Original_Dataset!G188</f>
        <v>0.067</v>
      </c>
      <c r="H191" s="3" t="n">
        <f aca="false">Original_Dataset!H188</f>
        <v>14</v>
      </c>
      <c r="I191" s="3" t="n">
        <f aca="false">Original_Dataset!I188</f>
        <v>99</v>
      </c>
      <c r="J191" s="3" t="n">
        <f aca="false">IF(ISBLANK(Original_Dataset!J188),$Q$3,Original_Dataset!J188)</f>
        <v>0.48</v>
      </c>
      <c r="K191" s="3" t="n">
        <f aca="false">Original_Dataset!K188</f>
        <v>1</v>
      </c>
      <c r="L191" s="3" t="n">
        <f aca="false">IF(ISBLANK(Original_Dataset!L188),$Q$4,Original_Dataset!L188)</f>
        <v>4.3</v>
      </c>
      <c r="M191" s="3" t="n">
        <f aca="false">Original_Dataset!M188</f>
        <v>765906.95</v>
      </c>
      <c r="N191" s="3" t="n">
        <f aca="false">Original_Dataset!N188</f>
        <v>114005.9</v>
      </c>
    </row>
    <row r="192" customFormat="false" ht="15" hidden="false" customHeight="true" outlineLevel="0" collapsed="false">
      <c r="A192" s="3" t="str">
        <f aca="false">Original_Dataset!A189</f>
        <v>STR-1047</v>
      </c>
      <c r="B192" s="4" t="n">
        <f aca="false">Original_Dataset!B189</f>
        <v>45748</v>
      </c>
      <c r="C192" s="3" t="str">
        <f aca="false">Original_Dataset!C189</f>
        <v>North</v>
      </c>
      <c r="D192" s="3" t="str">
        <f aca="false">Original_Dataset!D189</f>
        <v>High Street</v>
      </c>
      <c r="E192" s="3" t="n">
        <f aca="false">Original_Dataset!E189</f>
        <v>72784.8</v>
      </c>
      <c r="F192" s="3" t="n">
        <f aca="false">Original_Dataset!F189</f>
        <v>7932</v>
      </c>
      <c r="G192" s="3" t="n">
        <f aca="false">Original_Dataset!G189</f>
        <v>0.094</v>
      </c>
      <c r="H192" s="3" t="n">
        <f aca="false">Original_Dataset!H189</f>
        <v>20</v>
      </c>
      <c r="I192" s="3" t="n">
        <f aca="false">Original_Dataset!I189</f>
        <v>74.9</v>
      </c>
      <c r="J192" s="3" t="n">
        <f aca="false">IF(ISBLANK(Original_Dataset!J189),$Q$3,Original_Dataset!J189)</f>
        <v>13.62</v>
      </c>
      <c r="K192" s="3" t="n">
        <f aca="false">Original_Dataset!K189</f>
        <v>0</v>
      </c>
      <c r="L192" s="3" t="n">
        <f aca="false">IF(ISBLANK(Original_Dataset!L189),$Q$4,Original_Dataset!L189)</f>
        <v>4.2</v>
      </c>
      <c r="M192" s="3" t="n">
        <f aca="false">Original_Dataset!M189</f>
        <v>712546.38</v>
      </c>
      <c r="N192" s="3" t="n">
        <f aca="false">Original_Dataset!N189</f>
        <v>101480.04</v>
      </c>
    </row>
    <row r="193" customFormat="false" ht="15" hidden="false" customHeight="true" outlineLevel="0" collapsed="false">
      <c r="A193" s="3" t="str">
        <f aca="false">Original_Dataset!A190</f>
        <v>STR-1048</v>
      </c>
      <c r="B193" s="4" t="n">
        <f aca="false">Original_Dataset!B190</f>
        <v>45658</v>
      </c>
      <c r="C193" s="3" t="str">
        <f aca="false">Original_Dataset!C190</f>
        <v>East</v>
      </c>
      <c r="D193" s="3" t="str">
        <f aca="false">Original_Dataset!D190</f>
        <v>High Street</v>
      </c>
      <c r="E193" s="3" t="n">
        <f aca="false">Original_Dataset!E190</f>
        <v>71641.9</v>
      </c>
      <c r="F193" s="3" t="n">
        <f aca="false">Original_Dataset!F190</f>
        <v>3506</v>
      </c>
      <c r="G193" s="3" t="n">
        <f aca="false">Original_Dataset!G190</f>
        <v>0</v>
      </c>
      <c r="H193" s="3" t="n">
        <f aca="false">Original_Dataset!H190</f>
        <v>11</v>
      </c>
      <c r="I193" s="3" t="n">
        <f aca="false">Original_Dataset!I190</f>
        <v>86.4</v>
      </c>
      <c r="J193" s="3" t="n">
        <f aca="false">IF(ISBLANK(Original_Dataset!J190),$Q$3,Original_Dataset!J190)</f>
        <v>7.77</v>
      </c>
      <c r="K193" s="3" t="n">
        <f aca="false">Original_Dataset!K190</f>
        <v>0</v>
      </c>
      <c r="L193" s="3" t="n">
        <f aca="false">IF(ISBLANK(Original_Dataset!L190),$Q$4,Original_Dataset!L190)</f>
        <v>4.1</v>
      </c>
      <c r="M193" s="3" t="n">
        <f aca="false">Original_Dataset!M190</f>
        <v>625993.83</v>
      </c>
      <c r="N193" s="3" t="n">
        <f aca="false">Original_Dataset!N190</f>
        <v>98960.32</v>
      </c>
    </row>
    <row r="194" customFormat="false" ht="15" hidden="false" customHeight="true" outlineLevel="0" collapsed="false">
      <c r="A194" s="3" t="str">
        <f aca="false">Original_Dataset!A191</f>
        <v>STR-1048</v>
      </c>
      <c r="B194" s="4" t="n">
        <f aca="false">Original_Dataset!B191</f>
        <v>45689</v>
      </c>
      <c r="C194" s="3" t="str">
        <f aca="false">Original_Dataset!C191</f>
        <v>East</v>
      </c>
      <c r="D194" s="3" t="str">
        <f aca="false">Original_Dataset!D191</f>
        <v>High Street</v>
      </c>
      <c r="E194" s="3" t="n">
        <f aca="false">Original_Dataset!E191</f>
        <v>55788.61</v>
      </c>
      <c r="F194" s="3" t="n">
        <f aca="false">Original_Dataset!F191</f>
        <v>2312</v>
      </c>
      <c r="G194" s="3" t="n">
        <f aca="false">Original_Dataset!G191</f>
        <v>0.058</v>
      </c>
      <c r="H194" s="3" t="n">
        <f aca="false">Original_Dataset!H191</f>
        <v>10</v>
      </c>
      <c r="I194" s="3" t="n">
        <f aca="false">Original_Dataset!I191</f>
        <v>91.3</v>
      </c>
      <c r="J194" s="3" t="n">
        <f aca="false">IF(ISBLANK(Original_Dataset!J191),$Q$3,Original_Dataset!J191)</f>
        <v>1.99</v>
      </c>
      <c r="K194" s="3" t="n">
        <f aca="false">Original_Dataset!K191</f>
        <v>0</v>
      </c>
      <c r="L194" s="3" t="n">
        <f aca="false">IF(ISBLANK(Original_Dataset!L191),$Q$4,Original_Dataset!L191)</f>
        <v>3.8</v>
      </c>
      <c r="M194" s="3" t="n">
        <f aca="false">Original_Dataset!M191</f>
        <v>550962.93</v>
      </c>
      <c r="N194" s="3" t="n">
        <f aca="false">Original_Dataset!N191</f>
        <v>97144.58</v>
      </c>
    </row>
    <row r="195" customFormat="false" ht="15" hidden="false" customHeight="true" outlineLevel="0" collapsed="false">
      <c r="A195" s="3" t="str">
        <f aca="false">Original_Dataset!A192</f>
        <v>STR-1048</v>
      </c>
      <c r="B195" s="4" t="n">
        <f aca="false">Original_Dataset!B192</f>
        <v>45717</v>
      </c>
      <c r="C195" s="3" t="str">
        <f aca="false">Original_Dataset!C192</f>
        <v>East</v>
      </c>
      <c r="D195" s="3" t="str">
        <f aca="false">Original_Dataset!D192</f>
        <v>High Street</v>
      </c>
      <c r="E195" s="3" t="n">
        <f aca="false">Original_Dataset!E192</f>
        <v>37705.88</v>
      </c>
      <c r="F195" s="3" t="n">
        <f aca="false">Original_Dataset!F192</f>
        <v>1268</v>
      </c>
      <c r="G195" s="3" t="n">
        <f aca="false">Original_Dataset!G192</f>
        <v>0.259</v>
      </c>
      <c r="H195" s="3" t="n">
        <f aca="false">Original_Dataset!H192</f>
        <v>9</v>
      </c>
      <c r="I195" s="3" t="n">
        <f aca="false">Original_Dataset!I192</f>
        <v>84.1</v>
      </c>
      <c r="J195" s="3" t="n">
        <f aca="false">IF(ISBLANK(Original_Dataset!J192),$Q$3,Original_Dataset!J192)</f>
        <v>4.77</v>
      </c>
      <c r="K195" s="3" t="n">
        <f aca="false">Original_Dataset!K192</f>
        <v>0</v>
      </c>
      <c r="L195" s="3" t="n">
        <f aca="false">IF(ISBLANK(Original_Dataset!L192),$Q$4,Original_Dataset!L192)</f>
        <v>3.8</v>
      </c>
      <c r="M195" s="3" t="n">
        <f aca="false">Original_Dataset!M192</f>
        <v>443275.59</v>
      </c>
      <c r="N195" s="3" t="n">
        <f aca="false">Original_Dataset!N192</f>
        <v>53544.36</v>
      </c>
    </row>
    <row r="196" customFormat="false" ht="15" hidden="false" customHeight="true" outlineLevel="0" collapsed="false">
      <c r="A196" s="3" t="str">
        <f aca="false">Original_Dataset!A193</f>
        <v>STR-1048</v>
      </c>
      <c r="B196" s="4" t="n">
        <f aca="false">Original_Dataset!B193</f>
        <v>45748</v>
      </c>
      <c r="C196" s="3" t="str">
        <f aca="false">Original_Dataset!C193</f>
        <v>East</v>
      </c>
      <c r="D196" s="3" t="str">
        <f aca="false">Original_Dataset!D193</f>
        <v>High Street</v>
      </c>
      <c r="E196" s="3" t="n">
        <f aca="false">Original_Dataset!E193</f>
        <v>54966.18</v>
      </c>
      <c r="F196" s="3" t="n">
        <f aca="false">Original_Dataset!F193</f>
        <v>4423</v>
      </c>
      <c r="G196" s="3" t="n">
        <f aca="false">Original_Dataset!G193</f>
        <v>0.186</v>
      </c>
      <c r="H196" s="3" t="n">
        <f aca="false">Original_Dataset!H193</f>
        <v>13</v>
      </c>
      <c r="I196" s="3" t="n">
        <f aca="false">Original_Dataset!I193</f>
        <v>88.7</v>
      </c>
      <c r="J196" s="3" t="n">
        <f aca="false">IF(ISBLANK(Original_Dataset!J193),$Q$3,Original_Dataset!J193)</f>
        <v>0.2</v>
      </c>
      <c r="K196" s="3" t="n">
        <f aca="false">Original_Dataset!K193</f>
        <v>0</v>
      </c>
      <c r="L196" s="3" t="n">
        <f aca="false">IF(ISBLANK(Original_Dataset!L193),$Q$4,Original_Dataset!L193)</f>
        <v>4.4</v>
      </c>
      <c r="M196" s="3" t="n">
        <f aca="false">Original_Dataset!M193</f>
        <v>554012.07</v>
      </c>
      <c r="N196" s="3" t="n">
        <f aca="false">Original_Dataset!N193</f>
        <v>81101.62</v>
      </c>
    </row>
    <row r="197" customFormat="false" ht="15" hidden="false" customHeight="true" outlineLevel="0" collapsed="false">
      <c r="A197" s="3" t="str">
        <f aca="false">Original_Dataset!A194</f>
        <v>STR-1049</v>
      </c>
      <c r="B197" s="4" t="n">
        <f aca="false">Original_Dataset!B194</f>
        <v>45658</v>
      </c>
      <c r="C197" s="3" t="str">
        <f aca="false">Original_Dataset!C194</f>
        <v>West</v>
      </c>
      <c r="D197" s="3" t="str">
        <f aca="false">Original_Dataset!D194</f>
        <v>Residential</v>
      </c>
      <c r="E197" s="3" t="n">
        <f aca="false">Original_Dataset!E194</f>
        <v>81796.74</v>
      </c>
      <c r="F197" s="3" t="n">
        <f aca="false">Original_Dataset!F194</f>
        <v>6177</v>
      </c>
      <c r="G197" s="3" t="n">
        <f aca="false">Original_Dataset!G194</f>
        <v>0.164</v>
      </c>
      <c r="H197" s="3" t="n">
        <f aca="false">Original_Dataset!H194</f>
        <v>14</v>
      </c>
      <c r="I197" s="3" t="n">
        <f aca="false">Original_Dataset!I194</f>
        <v>87.9</v>
      </c>
      <c r="J197" s="3" t="n">
        <f aca="false">IF(ISBLANK(Original_Dataset!J194),$Q$3,Original_Dataset!J194)</f>
        <v>0.53</v>
      </c>
      <c r="K197" s="3" t="n">
        <f aca="false">Original_Dataset!K194</f>
        <v>0</v>
      </c>
      <c r="L197" s="3" t="n">
        <f aca="false">IF(ISBLANK(Original_Dataset!L194),$Q$4,Original_Dataset!L194)</f>
        <v>3.2</v>
      </c>
      <c r="M197" s="3" t="n">
        <f aca="false">Original_Dataset!M194</f>
        <v>643428.85</v>
      </c>
      <c r="N197" s="3" t="n">
        <f aca="false">Original_Dataset!N194</f>
        <v>94477.63</v>
      </c>
    </row>
    <row r="198" customFormat="false" ht="15" hidden="false" customHeight="true" outlineLevel="0" collapsed="false">
      <c r="A198" s="3" t="str">
        <f aca="false">Original_Dataset!A195</f>
        <v>STR-1049</v>
      </c>
      <c r="B198" s="4" t="n">
        <f aca="false">Original_Dataset!B195</f>
        <v>45689</v>
      </c>
      <c r="C198" s="3" t="str">
        <f aca="false">Original_Dataset!C195</f>
        <v>West</v>
      </c>
      <c r="D198" s="3" t="str">
        <f aca="false">Original_Dataset!D195</f>
        <v>Residential</v>
      </c>
      <c r="E198" s="3" t="n">
        <f aca="false">Original_Dataset!E195</f>
        <v>51133.43</v>
      </c>
      <c r="F198" s="3" t="n">
        <f aca="false">Original_Dataset!F195</f>
        <v>5150</v>
      </c>
      <c r="G198" s="3" t="n">
        <f aca="false">Original_Dataset!G195</f>
        <v>0.15</v>
      </c>
      <c r="H198" s="3" t="n">
        <f aca="false">Original_Dataset!H195</f>
        <v>12</v>
      </c>
      <c r="I198" s="3" t="n">
        <f aca="false">Original_Dataset!I195</f>
        <v>88.5</v>
      </c>
      <c r="J198" s="3" t="n">
        <f aca="false">IF(ISBLANK(Original_Dataset!J195),$Q$3,Original_Dataset!J195)</f>
        <v>1.54</v>
      </c>
      <c r="K198" s="3" t="n">
        <f aca="false">Original_Dataset!K195</f>
        <v>0</v>
      </c>
      <c r="L198" s="3" t="n">
        <f aca="false">IF(ISBLANK(Original_Dataset!L195),$Q$4,Original_Dataset!L195)</f>
        <v>3.2</v>
      </c>
      <c r="M198" s="3" t="n">
        <f aca="false">Original_Dataset!M195</f>
        <v>611924.27</v>
      </c>
      <c r="N198" s="3" t="n">
        <f aca="false">Original_Dataset!N195</f>
        <v>115488.75</v>
      </c>
    </row>
    <row r="199" customFormat="false" ht="15" hidden="false" customHeight="true" outlineLevel="0" collapsed="false">
      <c r="A199" s="3" t="str">
        <f aca="false">Original_Dataset!A196</f>
        <v>STR-1049</v>
      </c>
      <c r="B199" s="4" t="n">
        <f aca="false">Original_Dataset!B196</f>
        <v>45717</v>
      </c>
      <c r="C199" s="3" t="str">
        <f aca="false">Original_Dataset!C196</f>
        <v>West</v>
      </c>
      <c r="D199" s="3" t="str">
        <f aca="false">Original_Dataset!D196</f>
        <v>Residential</v>
      </c>
      <c r="E199" s="3" t="n">
        <f aca="false">Original_Dataset!E196</f>
        <v>40220.18</v>
      </c>
      <c r="F199" s="3" t="n">
        <f aca="false">Original_Dataset!F196</f>
        <v>3783</v>
      </c>
      <c r="G199" s="3" t="n">
        <f aca="false">Original_Dataset!G196</f>
        <v>0.089</v>
      </c>
      <c r="H199" s="3" t="n">
        <f aca="false">Original_Dataset!H196</f>
        <v>14</v>
      </c>
      <c r="I199" s="3" t="n">
        <f aca="false">Original_Dataset!I196</f>
        <v>86.6</v>
      </c>
      <c r="J199" s="3" t="n">
        <f aca="false">IF(ISBLANK(Original_Dataset!J196),$Q$3,Original_Dataset!J196)</f>
        <v>3.63</v>
      </c>
      <c r="K199" s="3" t="n">
        <f aca="false">Original_Dataset!K196</f>
        <v>0</v>
      </c>
      <c r="L199" s="3" t="n">
        <f aca="false">IF(ISBLANK(Original_Dataset!L196),$Q$4,Original_Dataset!L196)</f>
        <v>3.7</v>
      </c>
      <c r="M199" s="3" t="n">
        <f aca="false">Original_Dataset!M196</f>
        <v>559422.02</v>
      </c>
      <c r="N199" s="3" t="n">
        <f aca="false">Original_Dataset!N196</f>
        <v>73528.74</v>
      </c>
    </row>
    <row r="200" customFormat="false" ht="15" hidden="false" customHeight="true" outlineLevel="0" collapsed="false">
      <c r="A200" s="3" t="str">
        <f aca="false">Original_Dataset!A197</f>
        <v>STR-1049</v>
      </c>
      <c r="B200" s="4" t="n">
        <f aca="false">Original_Dataset!B197</f>
        <v>45748</v>
      </c>
      <c r="C200" s="3" t="str">
        <f aca="false">Original_Dataset!C197</f>
        <v>West</v>
      </c>
      <c r="D200" s="3" t="str">
        <f aca="false">Original_Dataset!D197</f>
        <v>Residential</v>
      </c>
      <c r="E200" s="3" t="n">
        <f aca="false">Original_Dataset!E197</f>
        <v>41657.64</v>
      </c>
      <c r="F200" s="3" t="n">
        <f aca="false">Original_Dataset!F197</f>
        <v>3135</v>
      </c>
      <c r="G200" s="3" t="n">
        <f aca="false">Original_Dataset!G197</f>
        <v>0.229</v>
      </c>
      <c r="H200" s="3" t="n">
        <f aca="false">Original_Dataset!H197</f>
        <v>7</v>
      </c>
      <c r="I200" s="3" t="n">
        <f aca="false">Original_Dataset!I197</f>
        <v>85.4</v>
      </c>
      <c r="J200" s="3" t="n">
        <f aca="false">IF(ISBLANK(Original_Dataset!J197),$Q$3,Original_Dataset!J197)</f>
        <v>13.48</v>
      </c>
      <c r="K200" s="3" t="n">
        <f aca="false">Original_Dataset!K197</f>
        <v>0</v>
      </c>
      <c r="L200" s="3" t="n">
        <f aca="false">IF(ISBLANK(Original_Dataset!L197),$Q$4,Original_Dataset!L197)</f>
        <v>3.9</v>
      </c>
      <c r="M200" s="3" t="n">
        <f aca="false">Original_Dataset!M197</f>
        <v>449465.06</v>
      </c>
      <c r="N200" s="3" t="n">
        <f aca="false">Original_Dataset!N197</f>
        <v>65694.78</v>
      </c>
    </row>
    <row r="201" customFormat="false" ht="15" hidden="false" customHeight="true" outlineLevel="0" collapsed="false">
      <c r="A201" s="3" t="str">
        <f aca="false">Original_Dataset!A198</f>
        <v>STR-1050</v>
      </c>
      <c r="B201" s="4" t="n">
        <f aca="false">Original_Dataset!B198</f>
        <v>45658</v>
      </c>
      <c r="C201" s="3" t="str">
        <f aca="false">Original_Dataset!C198</f>
        <v>North</v>
      </c>
      <c r="D201" s="3" t="str">
        <f aca="false">Original_Dataset!D198</f>
        <v>Residential</v>
      </c>
      <c r="E201" s="3" t="n">
        <f aca="false">Original_Dataset!E198</f>
        <v>71851.45</v>
      </c>
      <c r="F201" s="3" t="n">
        <f aca="false">Original_Dataset!F198</f>
        <v>4970</v>
      </c>
      <c r="G201" s="3" t="n">
        <f aca="false">Original_Dataset!G198</f>
        <v>0.098</v>
      </c>
      <c r="H201" s="3" t="n">
        <f aca="false">Original_Dataset!H198</f>
        <v>11</v>
      </c>
      <c r="I201" s="3" t="n">
        <f aca="false">Original_Dataset!I198</f>
        <v>89.6</v>
      </c>
      <c r="J201" s="3" t="n">
        <f aca="false">IF(ISBLANK(Original_Dataset!J198),$Q$3,Original_Dataset!J198)</f>
        <v>0.2</v>
      </c>
      <c r="K201" s="3" t="n">
        <f aca="false">Original_Dataset!K198</f>
        <v>0</v>
      </c>
      <c r="L201" s="3" t="n">
        <f aca="false">IF(ISBLANK(Original_Dataset!L198),$Q$4,Original_Dataset!L198)</f>
        <v>4.2</v>
      </c>
      <c r="M201" s="3" t="n">
        <f aca="false">Original_Dataset!M198</f>
        <v>691447.43</v>
      </c>
      <c r="N201" s="3" t="n">
        <f aca="false">Original_Dataset!N198</f>
        <v>114077.69</v>
      </c>
    </row>
    <row r="202" customFormat="false" ht="15" hidden="false" customHeight="true" outlineLevel="0" collapsed="false">
      <c r="A202" s="3" t="str">
        <f aca="false">Original_Dataset!A199</f>
        <v>STR-1050</v>
      </c>
      <c r="B202" s="4" t="n">
        <f aca="false">Original_Dataset!B199</f>
        <v>45689</v>
      </c>
      <c r="C202" s="3" t="str">
        <f aca="false">Original_Dataset!C199</f>
        <v>North</v>
      </c>
      <c r="D202" s="3" t="str">
        <f aca="false">Original_Dataset!D199</f>
        <v>Residential</v>
      </c>
      <c r="E202" s="3" t="n">
        <f aca="false">Original_Dataset!E199</f>
        <v>54002.83</v>
      </c>
      <c r="F202" s="3" t="n">
        <f aca="false">Original_Dataset!F199</f>
        <v>4366</v>
      </c>
      <c r="G202" s="3" t="n">
        <f aca="false">Original_Dataset!G199</f>
        <v>0.027</v>
      </c>
      <c r="H202" s="3" t="n">
        <f aca="false">Original_Dataset!H199</f>
        <v>15</v>
      </c>
      <c r="I202" s="3" t="n">
        <f aca="false">Original_Dataset!I199</f>
        <v>90.6</v>
      </c>
      <c r="J202" s="3" t="n">
        <f aca="false">IF(ISBLANK(Original_Dataset!J199),$Q$3,Original_Dataset!J199)</f>
        <v>12.82</v>
      </c>
      <c r="K202" s="3" t="n">
        <f aca="false">Original_Dataset!K199</f>
        <v>0</v>
      </c>
      <c r="L202" s="3" t="n">
        <f aca="false">IF(ISBLANK(Original_Dataset!L199),$Q$4,Original_Dataset!L199)</f>
        <v>4.6</v>
      </c>
      <c r="M202" s="3" t="n">
        <f aca="false">Original_Dataset!M199</f>
        <v>574066.61</v>
      </c>
      <c r="N202" s="3" t="n">
        <f aca="false">Original_Dataset!N199</f>
        <v>124674.67</v>
      </c>
    </row>
    <row r="203" customFormat="false" ht="15" hidden="false" customHeight="true" outlineLevel="0" collapsed="false">
      <c r="A203" s="3" t="str">
        <f aca="false">Original_Dataset!A200</f>
        <v>STR-1050</v>
      </c>
      <c r="B203" s="4" t="n">
        <f aca="false">Original_Dataset!B200</f>
        <v>45717</v>
      </c>
      <c r="C203" s="3" t="str">
        <f aca="false">Original_Dataset!C200</f>
        <v>North</v>
      </c>
      <c r="D203" s="3" t="str">
        <f aca="false">Original_Dataset!D200</f>
        <v>Residential</v>
      </c>
      <c r="E203" s="3" t="n">
        <f aca="false">Original_Dataset!E200</f>
        <v>54479.33</v>
      </c>
      <c r="F203" s="3" t="n">
        <f aca="false">Original_Dataset!F200</f>
        <v>5012</v>
      </c>
      <c r="G203" s="3" t="n">
        <f aca="false">Original_Dataset!G200</f>
        <v>0.284</v>
      </c>
      <c r="H203" s="3" t="n">
        <f aca="false">Original_Dataset!H200</f>
        <v>13</v>
      </c>
      <c r="I203" s="3" t="n">
        <f aca="false">Original_Dataset!I200</f>
        <v>86</v>
      </c>
      <c r="J203" s="3" t="n">
        <f aca="false">IF(ISBLANK(Original_Dataset!J200),$Q$3,Original_Dataset!J200)</f>
        <v>2.24</v>
      </c>
      <c r="K203" s="3" t="n">
        <f aca="false">Original_Dataset!K200</f>
        <v>1</v>
      </c>
      <c r="L203" s="3" t="n">
        <f aca="false">IF(ISBLANK(Original_Dataset!L200),$Q$4,Original_Dataset!L200)</f>
        <v>4.3</v>
      </c>
      <c r="M203" s="3" t="n">
        <f aca="false">Original_Dataset!M200</f>
        <v>578949.84</v>
      </c>
      <c r="N203" s="3" t="n">
        <f aca="false">Original_Dataset!N200</f>
        <v>80253.65</v>
      </c>
    </row>
    <row r="204" customFormat="false" ht="15" hidden="false" customHeight="true" outlineLevel="0" collapsed="false">
      <c r="A204" s="3" t="str">
        <f aca="false">Original_Dataset!A201</f>
        <v>STR-1050</v>
      </c>
      <c r="B204" s="4" t="n">
        <f aca="false">Original_Dataset!B201</f>
        <v>45748</v>
      </c>
      <c r="C204" s="3" t="str">
        <f aca="false">Original_Dataset!C201</f>
        <v>North</v>
      </c>
      <c r="D204" s="3" t="str">
        <f aca="false">Original_Dataset!D201</f>
        <v>Residential</v>
      </c>
      <c r="E204" s="3" t="n">
        <f aca="false">Original_Dataset!E201</f>
        <v>61391.8</v>
      </c>
      <c r="F204" s="3" t="n">
        <f aca="false">Original_Dataset!F201</f>
        <v>5575</v>
      </c>
      <c r="G204" s="3" t="n">
        <f aca="false">Original_Dataset!G201</f>
        <v>0.189</v>
      </c>
      <c r="H204" s="3" t="n">
        <f aca="false">Original_Dataset!H201</f>
        <v>18</v>
      </c>
      <c r="I204" s="3" t="n">
        <f aca="false">Original_Dataset!I201</f>
        <v>90</v>
      </c>
      <c r="J204" s="3" t="n">
        <f aca="false">IF(ISBLANK(Original_Dataset!J201),$Q$3,Original_Dataset!J201)</f>
        <v>1.8</v>
      </c>
      <c r="K204" s="3" t="n">
        <f aca="false">Original_Dataset!K201</f>
        <v>0</v>
      </c>
      <c r="L204" s="3" t="n">
        <f aca="false">IF(ISBLANK(Original_Dataset!L201),$Q$4,Original_Dataset!L201)</f>
        <v>4.8</v>
      </c>
      <c r="M204" s="3" t="n">
        <f aca="false">Original_Dataset!M201</f>
        <v>735786.64</v>
      </c>
      <c r="N204" s="3" t="n">
        <f aca="false">Original_Dataset!N201</f>
        <v>126540.66</v>
      </c>
    </row>
    <row r="205" customFormat="false" ht="15" hidden="false" customHeight="true" outlineLevel="0" collapsed="false">
      <c r="A205" s="3" t="str">
        <f aca="false">Original_Dataset!A202</f>
        <v>STR-1051</v>
      </c>
      <c r="B205" s="4" t="n">
        <f aca="false">Original_Dataset!B202</f>
        <v>45658</v>
      </c>
      <c r="C205" s="3" t="str">
        <f aca="false">Original_Dataset!C202</f>
        <v>East</v>
      </c>
      <c r="D205" s="3" t="str">
        <f aca="false">Original_Dataset!D202</f>
        <v>Airport</v>
      </c>
      <c r="E205" s="3" t="n">
        <f aca="false">Original_Dataset!E202</f>
        <v>22312.93</v>
      </c>
      <c r="F205" s="3" t="n">
        <f aca="false">Original_Dataset!F202</f>
        <v>5955</v>
      </c>
      <c r="G205" s="3" t="n">
        <f aca="false">Original_Dataset!G202</f>
        <v>0.123</v>
      </c>
      <c r="H205" s="3" t="n">
        <f aca="false">Original_Dataset!H202</f>
        <v>13</v>
      </c>
      <c r="I205" s="3" t="n">
        <f aca="false">Original_Dataset!I202</f>
        <v>84.2</v>
      </c>
      <c r="J205" s="3" t="n">
        <f aca="false">IF(ISBLANK(Original_Dataset!J202),$Q$3,Original_Dataset!J202)</f>
        <v>0.41</v>
      </c>
      <c r="K205" s="3" t="n">
        <f aca="false">Original_Dataset!K202</f>
        <v>1</v>
      </c>
      <c r="L205" s="3" t="n">
        <f aca="false">IF(ISBLANK(Original_Dataset!L202),$Q$4,Original_Dataset!L202)</f>
        <v>4.6</v>
      </c>
      <c r="M205" s="3" t="n">
        <f aca="false">Original_Dataset!M202</f>
        <v>598904.9</v>
      </c>
      <c r="N205" s="3" t="n">
        <f aca="false">Original_Dataset!N202</f>
        <v>72861</v>
      </c>
    </row>
    <row r="206" customFormat="false" ht="15" hidden="false" customHeight="true" outlineLevel="0" collapsed="false">
      <c r="A206" s="3" t="str">
        <f aca="false">Original_Dataset!A203</f>
        <v>STR-1051</v>
      </c>
      <c r="B206" s="4" t="n">
        <f aca="false">Original_Dataset!B203</f>
        <v>45689</v>
      </c>
      <c r="C206" s="3" t="str">
        <f aca="false">Original_Dataset!C203</f>
        <v>East</v>
      </c>
      <c r="D206" s="3" t="str">
        <f aca="false">Original_Dataset!D203</f>
        <v>Airport</v>
      </c>
      <c r="E206" s="3" t="n">
        <f aca="false">Original_Dataset!E203</f>
        <v>78111.97</v>
      </c>
      <c r="F206" s="3" t="n">
        <f aca="false">Original_Dataset!F203</f>
        <v>6389</v>
      </c>
      <c r="G206" s="3" t="n">
        <f aca="false">Original_Dataset!G203</f>
        <v>0.15</v>
      </c>
      <c r="H206" s="3" t="n">
        <f aca="false">Original_Dataset!H203</f>
        <v>13</v>
      </c>
      <c r="I206" s="3" t="n">
        <f aca="false">Original_Dataset!I203</f>
        <v>83.9</v>
      </c>
      <c r="J206" s="3" t="n">
        <f aca="false">IF(ISBLANK(Original_Dataset!J203),$Q$3,Original_Dataset!J203)</f>
        <v>3.05</v>
      </c>
      <c r="K206" s="3" t="n">
        <f aca="false">Original_Dataset!K203</f>
        <v>0</v>
      </c>
      <c r="L206" s="3" t="n">
        <f aca="false">IF(ISBLANK(Original_Dataset!L203),$Q$4,Original_Dataset!L203)</f>
        <v>4.8</v>
      </c>
      <c r="M206" s="3" t="n">
        <f aca="false">Original_Dataset!M203</f>
        <v>787715.51</v>
      </c>
      <c r="N206" s="3" t="n">
        <f aca="false">Original_Dataset!N203</f>
        <v>128969.62</v>
      </c>
    </row>
    <row r="207" customFormat="false" ht="15" hidden="false" customHeight="true" outlineLevel="0" collapsed="false">
      <c r="A207" s="3" t="str">
        <f aca="false">Original_Dataset!A204</f>
        <v>STR-1051</v>
      </c>
      <c r="B207" s="4" t="n">
        <f aca="false">Original_Dataset!B204</f>
        <v>45717</v>
      </c>
      <c r="C207" s="3" t="str">
        <f aca="false">Original_Dataset!C204</f>
        <v>East</v>
      </c>
      <c r="D207" s="3" t="str">
        <f aca="false">Original_Dataset!D204</f>
        <v>Airport</v>
      </c>
      <c r="E207" s="3" t="n">
        <f aca="false">Original_Dataset!E204</f>
        <v>35203.23</v>
      </c>
      <c r="F207" s="3" t="n">
        <f aca="false">Original_Dataset!F204</f>
        <v>6896</v>
      </c>
      <c r="G207" s="3" t="n">
        <f aca="false">Original_Dataset!G204</f>
        <v>0.032</v>
      </c>
      <c r="H207" s="3" t="n">
        <f aca="false">Original_Dataset!H204</f>
        <v>14</v>
      </c>
      <c r="I207" s="3" t="n">
        <f aca="false">Original_Dataset!I204</f>
        <v>80.8</v>
      </c>
      <c r="J207" s="3" t="n">
        <f aca="false">IF(ISBLANK(Original_Dataset!J204),$Q$3,Original_Dataset!J204)</f>
        <v>8.44</v>
      </c>
      <c r="K207" s="3" t="n">
        <f aca="false">Original_Dataset!K204</f>
        <v>1</v>
      </c>
      <c r="L207" s="3" t="n">
        <f aca="false">IF(ISBLANK(Original_Dataset!L204),$Q$4,Original_Dataset!L204)</f>
        <v>5</v>
      </c>
      <c r="M207" s="3" t="n">
        <f aca="false">Original_Dataset!M204</f>
        <v>607084.92</v>
      </c>
      <c r="N207" s="3" t="n">
        <f aca="false">Original_Dataset!N204</f>
        <v>98558.49</v>
      </c>
    </row>
    <row r="208" customFormat="false" ht="15" hidden="false" customHeight="true" outlineLevel="0" collapsed="false">
      <c r="A208" s="3" t="str">
        <f aca="false">Original_Dataset!A205</f>
        <v>STR-1051</v>
      </c>
      <c r="B208" s="4" t="n">
        <f aca="false">Original_Dataset!B205</f>
        <v>45748</v>
      </c>
      <c r="C208" s="3" t="str">
        <f aca="false">Original_Dataset!C205</f>
        <v>East</v>
      </c>
      <c r="D208" s="3" t="str">
        <f aca="false">Original_Dataset!D205</f>
        <v>Airport</v>
      </c>
      <c r="E208" s="3" t="n">
        <f aca="false">Original_Dataset!E205</f>
        <v>64104.28</v>
      </c>
      <c r="F208" s="3" t="n">
        <f aca="false">Original_Dataset!F205</f>
        <v>6015</v>
      </c>
      <c r="G208" s="3" t="n">
        <f aca="false">Original_Dataset!G205</f>
        <v>0.127</v>
      </c>
      <c r="H208" s="3" t="n">
        <f aca="false">Original_Dataset!H205</f>
        <v>15</v>
      </c>
      <c r="I208" s="3" t="n">
        <f aca="false">Original_Dataset!I205</f>
        <v>88.7</v>
      </c>
      <c r="J208" s="3" t="n">
        <f aca="false">IF(ISBLANK(Original_Dataset!J205),$Q$3,Original_Dataset!J205)</f>
        <v>0.78</v>
      </c>
      <c r="K208" s="3" t="n">
        <f aca="false">Original_Dataset!K205</f>
        <v>0</v>
      </c>
      <c r="L208" s="3" t="n">
        <f aca="false">IF(ISBLANK(Original_Dataset!L205),$Q$4,Original_Dataset!L205)</f>
        <v>4</v>
      </c>
      <c r="M208" s="3" t="n">
        <f aca="false">Original_Dataset!M205</f>
        <v>650795.49</v>
      </c>
      <c r="N208" s="3" t="n">
        <f aca="false">Original_Dataset!N205</f>
        <v>103035.89</v>
      </c>
    </row>
    <row r="209" customFormat="false" ht="15" hidden="false" customHeight="true" outlineLevel="0" collapsed="false">
      <c r="A209" s="3" t="str">
        <f aca="false">Original_Dataset!A206</f>
        <v>STR-1052</v>
      </c>
      <c r="B209" s="4" t="n">
        <f aca="false">Original_Dataset!B206</f>
        <v>45658</v>
      </c>
      <c r="C209" s="3" t="str">
        <f aca="false">Original_Dataset!C206</f>
        <v>East</v>
      </c>
      <c r="D209" s="3" t="str">
        <f aca="false">Original_Dataset!D206</f>
        <v>Mall</v>
      </c>
      <c r="E209" s="3" t="n">
        <f aca="false">Original_Dataset!E206</f>
        <v>92090.14</v>
      </c>
      <c r="F209" s="3" t="n">
        <f aca="false">Original_Dataset!F206</f>
        <v>9476</v>
      </c>
      <c r="G209" s="3" t="n">
        <f aca="false">Original_Dataset!G206</f>
        <v>0.07</v>
      </c>
      <c r="H209" s="3" t="n">
        <f aca="false">Original_Dataset!H206</f>
        <v>24</v>
      </c>
      <c r="I209" s="3" t="n">
        <f aca="false">Original_Dataset!I206</f>
        <v>94.3</v>
      </c>
      <c r="J209" s="3" t="n">
        <f aca="false">IF(ISBLANK(Original_Dataset!J206),$Q$3,Original_Dataset!J206)</f>
        <v>0.87</v>
      </c>
      <c r="K209" s="3" t="n">
        <f aca="false">Original_Dataset!K206</f>
        <v>0</v>
      </c>
      <c r="L209" s="3" t="n">
        <f aca="false">IF(ISBLANK(Original_Dataset!L206),$Q$4,Original_Dataset!L206)</f>
        <v>3.7</v>
      </c>
      <c r="M209" s="3" t="n">
        <f aca="false">Original_Dataset!M206</f>
        <v>825060.52</v>
      </c>
      <c r="N209" s="3" t="n">
        <f aca="false">Original_Dataset!N206</f>
        <v>143613.15</v>
      </c>
    </row>
    <row r="210" customFormat="false" ht="15" hidden="false" customHeight="true" outlineLevel="0" collapsed="false">
      <c r="A210" s="3" t="str">
        <f aca="false">Original_Dataset!A207</f>
        <v>STR-1052</v>
      </c>
      <c r="B210" s="4" t="n">
        <f aca="false">Original_Dataset!B207</f>
        <v>45689</v>
      </c>
      <c r="C210" s="3" t="str">
        <f aca="false">Original_Dataset!C207</f>
        <v>East</v>
      </c>
      <c r="D210" s="3" t="str">
        <f aca="false">Original_Dataset!D207</f>
        <v>Mall</v>
      </c>
      <c r="E210" s="3" t="n">
        <f aca="false">Original_Dataset!E207</f>
        <v>54300.87</v>
      </c>
      <c r="F210" s="3" t="n">
        <f aca="false">Original_Dataset!F207</f>
        <v>7875</v>
      </c>
      <c r="G210" s="3" t="n">
        <f aca="false">Original_Dataset!G207</f>
        <v>0.107</v>
      </c>
      <c r="H210" s="3" t="n">
        <f aca="false">Original_Dataset!H207</f>
        <v>19</v>
      </c>
      <c r="I210" s="3" t="n">
        <f aca="false">Original_Dataset!I207</f>
        <v>94.1</v>
      </c>
      <c r="J210" s="3" t="n">
        <f aca="false">IF(ISBLANK(Original_Dataset!J207),$Q$3,Original_Dataset!J207)</f>
        <v>0.95</v>
      </c>
      <c r="K210" s="3" t="n">
        <f aca="false">Original_Dataset!K207</f>
        <v>0</v>
      </c>
      <c r="L210" s="3" t="n">
        <f aca="false">IF(ISBLANK(Original_Dataset!L207),$Q$4,Original_Dataset!L207)</f>
        <v>3.7</v>
      </c>
      <c r="M210" s="3" t="n">
        <f aca="false">Original_Dataset!M207</f>
        <v>795464.47</v>
      </c>
      <c r="N210" s="3" t="n">
        <f aca="false">Original_Dataset!N207</f>
        <v>161150.52</v>
      </c>
    </row>
    <row r="211" customFormat="false" ht="15" hidden="false" customHeight="true" outlineLevel="0" collapsed="false">
      <c r="A211" s="3" t="str">
        <f aca="false">Original_Dataset!A208</f>
        <v>STR-1052</v>
      </c>
      <c r="B211" s="4" t="n">
        <f aca="false">Original_Dataset!B208</f>
        <v>45717</v>
      </c>
      <c r="C211" s="3" t="str">
        <f aca="false">Original_Dataset!C208</f>
        <v>East</v>
      </c>
      <c r="D211" s="3" t="str">
        <f aca="false">Original_Dataset!D208</f>
        <v>Mall</v>
      </c>
      <c r="E211" s="3" t="n">
        <f aca="false">Original_Dataset!E208</f>
        <v>37983.35</v>
      </c>
      <c r="F211" s="3" t="n">
        <f aca="false">Original_Dataset!F208</f>
        <v>9283</v>
      </c>
      <c r="G211" s="3" t="n">
        <f aca="false">Original_Dataset!G208</f>
        <v>0.149</v>
      </c>
      <c r="H211" s="3" t="n">
        <f aca="false">Original_Dataset!H208</f>
        <v>19</v>
      </c>
      <c r="I211" s="3" t="n">
        <f aca="false">Original_Dataset!I208</f>
        <v>83.2</v>
      </c>
      <c r="J211" s="3" t="n">
        <f aca="false">IF(ISBLANK(Original_Dataset!J208),$Q$3,Original_Dataset!J208)</f>
        <v>3.82</v>
      </c>
      <c r="K211" s="3" t="n">
        <f aca="false">Original_Dataset!K208</f>
        <v>0</v>
      </c>
      <c r="L211" s="3" t="n">
        <f aca="false">IF(ISBLANK(Original_Dataset!L208),$Q$4,Original_Dataset!L208)</f>
        <v>3.7</v>
      </c>
      <c r="M211" s="3" t="n">
        <f aca="false">Original_Dataset!M208</f>
        <v>671868.59</v>
      </c>
      <c r="N211" s="3" t="n">
        <f aca="false">Original_Dataset!N208</f>
        <v>71003.28</v>
      </c>
    </row>
    <row r="212" customFormat="false" ht="15" hidden="false" customHeight="true" outlineLevel="0" collapsed="false">
      <c r="A212" s="3" t="str">
        <f aca="false">Original_Dataset!A209</f>
        <v>STR-1052</v>
      </c>
      <c r="B212" s="4" t="n">
        <f aca="false">Original_Dataset!B209</f>
        <v>45748</v>
      </c>
      <c r="C212" s="3" t="str">
        <f aca="false">Original_Dataset!C209</f>
        <v>East</v>
      </c>
      <c r="D212" s="3" t="str">
        <f aca="false">Original_Dataset!D209</f>
        <v>Mall</v>
      </c>
      <c r="E212" s="3" t="n">
        <f aca="false">Original_Dataset!E209</f>
        <v>56413.83</v>
      </c>
      <c r="F212" s="3" t="n">
        <f aca="false">Original_Dataset!F209</f>
        <v>8303</v>
      </c>
      <c r="G212" s="3" t="n">
        <f aca="false">Original_Dataset!G209</f>
        <v>0.116</v>
      </c>
      <c r="H212" s="3" t="n">
        <f aca="false">Original_Dataset!H209</f>
        <v>18</v>
      </c>
      <c r="I212" s="3" t="n">
        <f aca="false">Original_Dataset!I209</f>
        <v>93.6</v>
      </c>
      <c r="J212" s="3" t="n">
        <f aca="false">IF(ISBLANK(Original_Dataset!J209),$Q$3,Original_Dataset!J209)</f>
        <v>2.7</v>
      </c>
      <c r="K212" s="3" t="n">
        <f aca="false">Original_Dataset!K209</f>
        <v>0</v>
      </c>
      <c r="L212" s="3" t="n">
        <f aca="false">IF(ISBLANK(Original_Dataset!L209),$Q$4,Original_Dataset!L209)</f>
        <v>3.7</v>
      </c>
      <c r="M212" s="3" t="n">
        <f aca="false">Original_Dataset!M209</f>
        <v>675917.63</v>
      </c>
      <c r="N212" s="3" t="n">
        <f aca="false">Original_Dataset!N209</f>
        <v>112564.75</v>
      </c>
    </row>
    <row r="213" customFormat="false" ht="15" hidden="false" customHeight="true" outlineLevel="0" collapsed="false">
      <c r="A213" s="3" t="str">
        <f aca="false">Original_Dataset!A210</f>
        <v>STR-1053</v>
      </c>
      <c r="B213" s="4" t="n">
        <f aca="false">Original_Dataset!B210</f>
        <v>45658</v>
      </c>
      <c r="C213" s="3" t="str">
        <f aca="false">Original_Dataset!C210</f>
        <v>East</v>
      </c>
      <c r="D213" s="3" t="str">
        <f aca="false">Original_Dataset!D210</f>
        <v>High Street</v>
      </c>
      <c r="E213" s="3" t="n">
        <f aca="false">Original_Dataset!E210</f>
        <v>63457.19</v>
      </c>
      <c r="F213" s="3" t="n">
        <f aca="false">Original_Dataset!F210</f>
        <v>10125</v>
      </c>
      <c r="G213" s="3" t="n">
        <f aca="false">Original_Dataset!G210</f>
        <v>0.097</v>
      </c>
      <c r="H213" s="3" t="n">
        <f aca="false">Original_Dataset!H210</f>
        <v>24</v>
      </c>
      <c r="I213" s="3" t="n">
        <f aca="false">Original_Dataset!I210</f>
        <v>87</v>
      </c>
      <c r="J213" s="3" t="n">
        <f aca="false">IF(ISBLANK(Original_Dataset!J210),$Q$3,Original_Dataset!J210)</f>
        <v>3.84</v>
      </c>
      <c r="K213" s="3" t="n">
        <f aca="false">Original_Dataset!K210</f>
        <v>1</v>
      </c>
      <c r="L213" s="3" t="n">
        <f aca="false">IF(ISBLANK(Original_Dataset!L210),$Q$4,Original_Dataset!L210)</f>
        <v>3.7</v>
      </c>
      <c r="M213" s="3" t="n">
        <f aca="false">Original_Dataset!M210</f>
        <v>810446.53</v>
      </c>
      <c r="N213" s="3" t="n">
        <f aca="false">Original_Dataset!N210</f>
        <v>200575.34</v>
      </c>
    </row>
    <row r="214" customFormat="false" ht="15" hidden="false" customHeight="true" outlineLevel="0" collapsed="false">
      <c r="A214" s="3" t="str">
        <f aca="false">Original_Dataset!A211</f>
        <v>STR-1053</v>
      </c>
      <c r="B214" s="4" t="n">
        <f aca="false">Original_Dataset!B211</f>
        <v>45689</v>
      </c>
      <c r="C214" s="3" t="str">
        <f aca="false">Original_Dataset!C211</f>
        <v>East</v>
      </c>
      <c r="D214" s="3" t="str">
        <f aca="false">Original_Dataset!D211</f>
        <v>High Street</v>
      </c>
      <c r="E214" s="3" t="n">
        <f aca="false">Original_Dataset!E211</f>
        <v>62949.7</v>
      </c>
      <c r="F214" s="3" t="n">
        <f aca="false">Original_Dataset!F211</f>
        <v>9458</v>
      </c>
      <c r="G214" s="3" t="n">
        <f aca="false">Original_Dataset!G211</f>
        <v>0.171</v>
      </c>
      <c r="H214" s="3" t="n">
        <f aca="false">Original_Dataset!H211</f>
        <v>19</v>
      </c>
      <c r="I214" s="3" t="n">
        <f aca="false">Original_Dataset!I211</f>
        <v>84.9</v>
      </c>
      <c r="J214" s="3" t="n">
        <f aca="false">IF(ISBLANK(Original_Dataset!J211),$Q$3,Original_Dataset!J211)</f>
        <v>5.09</v>
      </c>
      <c r="K214" s="3" t="n">
        <f aca="false">Original_Dataset!K211</f>
        <v>0</v>
      </c>
      <c r="L214" s="3" t="n">
        <f aca="false">IF(ISBLANK(Original_Dataset!L211),$Q$4,Original_Dataset!L211)</f>
        <v>3.3</v>
      </c>
      <c r="M214" s="3" t="n">
        <f aca="false">Original_Dataset!M211</f>
        <v>691288.19</v>
      </c>
      <c r="N214" s="3" t="n">
        <f aca="false">Original_Dataset!N211</f>
        <v>159074.14</v>
      </c>
    </row>
    <row r="215" customFormat="false" ht="15" hidden="false" customHeight="true" outlineLevel="0" collapsed="false">
      <c r="A215" s="3" t="str">
        <f aca="false">Original_Dataset!A212</f>
        <v>STR-1053</v>
      </c>
      <c r="B215" s="4" t="n">
        <f aca="false">Original_Dataset!B212</f>
        <v>45717</v>
      </c>
      <c r="C215" s="3" t="str">
        <f aca="false">Original_Dataset!C212</f>
        <v>East</v>
      </c>
      <c r="D215" s="3" t="str">
        <f aca="false">Original_Dataset!D212</f>
        <v>High Street</v>
      </c>
      <c r="E215" s="3" t="n">
        <f aca="false">Original_Dataset!E212</f>
        <v>107970.19</v>
      </c>
      <c r="F215" s="3" t="n">
        <f aca="false">Original_Dataset!F212</f>
        <v>12870</v>
      </c>
      <c r="G215" s="3" t="n">
        <f aca="false">Original_Dataset!G212</f>
        <v>0.029</v>
      </c>
      <c r="H215" s="3" t="n">
        <f aca="false">Original_Dataset!H212</f>
        <v>31</v>
      </c>
      <c r="I215" s="3" t="n">
        <f aca="false">Original_Dataset!I212</f>
        <v>91.7</v>
      </c>
      <c r="J215" s="3" t="n">
        <f aca="false">IF(ISBLANK(Original_Dataset!J212),$Q$3,Original_Dataset!J212)</f>
        <v>3.82</v>
      </c>
      <c r="K215" s="3" t="n">
        <f aca="false">Original_Dataset!K212</f>
        <v>1</v>
      </c>
      <c r="L215" s="3" t="n">
        <f aca="false">IF(ISBLANK(Original_Dataset!L212),$Q$4,Original_Dataset!L212)</f>
        <v>3.7</v>
      </c>
      <c r="M215" s="3" t="n">
        <f aca="false">Original_Dataset!M212</f>
        <v>946833.54</v>
      </c>
      <c r="N215" s="3" t="n">
        <f aca="false">Original_Dataset!N212</f>
        <v>184540.31</v>
      </c>
    </row>
    <row r="216" customFormat="false" ht="15" hidden="false" customHeight="true" outlineLevel="0" collapsed="false">
      <c r="A216" s="3" t="str">
        <f aca="false">Original_Dataset!A213</f>
        <v>STR-1053</v>
      </c>
      <c r="B216" s="4" t="n">
        <f aca="false">Original_Dataset!B213</f>
        <v>45748</v>
      </c>
      <c r="C216" s="3" t="str">
        <f aca="false">Original_Dataset!C213</f>
        <v>East</v>
      </c>
      <c r="D216" s="3" t="str">
        <f aca="false">Original_Dataset!D213</f>
        <v>High Street</v>
      </c>
      <c r="E216" s="3" t="n">
        <f aca="false">Original_Dataset!E213</f>
        <v>49405.75</v>
      </c>
      <c r="F216" s="3" t="n">
        <f aca="false">Original_Dataset!F213</f>
        <v>9752</v>
      </c>
      <c r="G216" s="3" t="n">
        <f aca="false">Original_Dataset!G213</f>
        <v>0.093</v>
      </c>
      <c r="H216" s="3" t="n">
        <f aca="false">Original_Dataset!H213</f>
        <v>21</v>
      </c>
      <c r="I216" s="3" t="n">
        <f aca="false">Original_Dataset!I213</f>
        <v>87</v>
      </c>
      <c r="J216" s="3" t="n">
        <f aca="false">IF(ISBLANK(Original_Dataset!J213),$Q$3,Original_Dataset!J213)</f>
        <v>12.28</v>
      </c>
      <c r="K216" s="3" t="n">
        <f aca="false">Original_Dataset!K213</f>
        <v>0</v>
      </c>
      <c r="L216" s="3" t="n">
        <f aca="false">IF(ISBLANK(Original_Dataset!L213),$Q$4,Original_Dataset!L213)</f>
        <v>4.1</v>
      </c>
      <c r="M216" s="3" t="n">
        <f aca="false">Original_Dataset!M213</f>
        <v>761963.23</v>
      </c>
      <c r="N216" s="3" t="n">
        <f aca="false">Original_Dataset!N213</f>
        <v>150113.61</v>
      </c>
    </row>
    <row r="217" customFormat="false" ht="15" hidden="false" customHeight="true" outlineLevel="0" collapsed="false">
      <c r="A217" s="3" t="str">
        <f aca="false">Original_Dataset!A214</f>
        <v>STR-1054</v>
      </c>
      <c r="B217" s="4" t="n">
        <f aca="false">Original_Dataset!B214</f>
        <v>45658</v>
      </c>
      <c r="C217" s="3" t="str">
        <f aca="false">Original_Dataset!C214</f>
        <v>West</v>
      </c>
      <c r="D217" s="3" t="str">
        <f aca="false">Original_Dataset!D214</f>
        <v>Residential</v>
      </c>
      <c r="E217" s="3" t="n">
        <f aca="false">Original_Dataset!E214</f>
        <v>50887.46</v>
      </c>
      <c r="F217" s="3" t="n">
        <f aca="false">Original_Dataset!F214</f>
        <v>9505</v>
      </c>
      <c r="G217" s="3" t="n">
        <f aca="false">Original_Dataset!G214</f>
        <v>0.091</v>
      </c>
      <c r="H217" s="3" t="n">
        <f aca="false">Original_Dataset!H214</f>
        <v>25</v>
      </c>
      <c r="I217" s="3" t="n">
        <f aca="false">Original_Dataset!I214</f>
        <v>89.7</v>
      </c>
      <c r="J217" s="3" t="n">
        <f aca="false">IF(ISBLANK(Original_Dataset!J214),$Q$3,Original_Dataset!J214)</f>
        <v>2.8</v>
      </c>
      <c r="K217" s="3" t="n">
        <f aca="false">Original_Dataset!K214</f>
        <v>0</v>
      </c>
      <c r="L217" s="3" t="n">
        <f aca="false">IF(ISBLANK(Original_Dataset!L214),$Q$4,Original_Dataset!L214)</f>
        <v>4.3</v>
      </c>
      <c r="M217" s="3" t="n">
        <f aca="false">Original_Dataset!M214</f>
        <v>812152.6</v>
      </c>
      <c r="N217" s="3" t="n">
        <f aca="false">Original_Dataset!N214</f>
        <v>138419.43</v>
      </c>
    </row>
    <row r="218" customFormat="false" ht="15" hidden="false" customHeight="true" outlineLevel="0" collapsed="false">
      <c r="A218" s="3" t="str">
        <f aca="false">Original_Dataset!A215</f>
        <v>STR-1054</v>
      </c>
      <c r="B218" s="4" t="n">
        <f aca="false">Original_Dataset!B215</f>
        <v>45689</v>
      </c>
      <c r="C218" s="3" t="str">
        <f aca="false">Original_Dataset!C215</f>
        <v>West</v>
      </c>
      <c r="D218" s="3" t="str">
        <f aca="false">Original_Dataset!D215</f>
        <v>Residential</v>
      </c>
      <c r="E218" s="3" t="n">
        <f aca="false">Original_Dataset!E215</f>
        <v>41819.45</v>
      </c>
      <c r="F218" s="3" t="n">
        <f aca="false">Original_Dataset!F215</f>
        <v>9412</v>
      </c>
      <c r="G218" s="3" t="n">
        <f aca="false">Original_Dataset!G215</f>
        <v>0.15</v>
      </c>
      <c r="H218" s="3" t="n">
        <f aca="false">Original_Dataset!H215</f>
        <v>22</v>
      </c>
      <c r="I218" s="3" t="n">
        <f aca="false">Original_Dataset!I215</f>
        <v>91</v>
      </c>
      <c r="J218" s="3" t="n">
        <f aca="false">IF(ISBLANK(Original_Dataset!J215),$Q$3,Original_Dataset!J215)</f>
        <v>3.67</v>
      </c>
      <c r="K218" s="3" t="n">
        <f aca="false">Original_Dataset!K215</f>
        <v>0</v>
      </c>
      <c r="L218" s="3" t="n">
        <f aca="false">IF(ISBLANK(Original_Dataset!L215),$Q$4,Original_Dataset!L215)</f>
        <v>4.2</v>
      </c>
      <c r="M218" s="3" t="n">
        <f aca="false">Original_Dataset!M215</f>
        <v>804975.5</v>
      </c>
      <c r="N218" s="3" t="n">
        <f aca="false">Original_Dataset!N215</f>
        <v>140054.5</v>
      </c>
    </row>
    <row r="219" customFormat="false" ht="15" hidden="false" customHeight="true" outlineLevel="0" collapsed="false">
      <c r="A219" s="3" t="str">
        <f aca="false">Original_Dataset!A216</f>
        <v>STR-1054</v>
      </c>
      <c r="B219" s="4" t="n">
        <f aca="false">Original_Dataset!B216</f>
        <v>45717</v>
      </c>
      <c r="C219" s="3" t="str">
        <f aca="false">Original_Dataset!C216</f>
        <v>West</v>
      </c>
      <c r="D219" s="3" t="str">
        <f aca="false">Original_Dataset!D216</f>
        <v>Residential</v>
      </c>
      <c r="E219" s="3" t="n">
        <f aca="false">Original_Dataset!E216</f>
        <v>35296.54</v>
      </c>
      <c r="F219" s="3" t="n">
        <f aca="false">Original_Dataset!F216</f>
        <v>9644</v>
      </c>
      <c r="G219" s="3" t="n">
        <f aca="false">Original_Dataset!G216</f>
        <v>0</v>
      </c>
      <c r="H219" s="3" t="n">
        <f aca="false">Original_Dataset!H216</f>
        <v>22</v>
      </c>
      <c r="I219" s="3" t="n">
        <f aca="false">Original_Dataset!I216</f>
        <v>88</v>
      </c>
      <c r="J219" s="3" t="n">
        <f aca="false">IF(ISBLANK(Original_Dataset!J216),$Q$3,Original_Dataset!J216)</f>
        <v>2.81</v>
      </c>
      <c r="K219" s="3" t="n">
        <f aca="false">Original_Dataset!K216</f>
        <v>0</v>
      </c>
      <c r="L219" s="3" t="n">
        <f aca="false">IF(ISBLANK(Original_Dataset!L216),$Q$4,Original_Dataset!L216)</f>
        <v>4.7</v>
      </c>
      <c r="M219" s="3" t="n">
        <f aca="false">Original_Dataset!M216</f>
        <v>752321.72</v>
      </c>
      <c r="N219" s="3" t="n">
        <f aca="false">Original_Dataset!N216</f>
        <v>137788.51</v>
      </c>
    </row>
    <row r="220" customFormat="false" ht="15" hidden="false" customHeight="true" outlineLevel="0" collapsed="false">
      <c r="A220" s="3" t="str">
        <f aca="false">Original_Dataset!A217</f>
        <v>STR-1054</v>
      </c>
      <c r="B220" s="4" t="n">
        <f aca="false">Original_Dataset!B217</f>
        <v>45748</v>
      </c>
      <c r="C220" s="3" t="str">
        <f aca="false">Original_Dataset!C217</f>
        <v>West</v>
      </c>
      <c r="D220" s="3" t="str">
        <f aca="false">Original_Dataset!D217</f>
        <v>Residential</v>
      </c>
      <c r="E220" s="3" t="n">
        <f aca="false">Original_Dataset!E217</f>
        <v>47391.09</v>
      </c>
      <c r="F220" s="3" t="n">
        <f aca="false">Original_Dataset!F217</f>
        <v>11224</v>
      </c>
      <c r="G220" s="3" t="n">
        <f aca="false">Original_Dataset!G217</f>
        <v>0.147</v>
      </c>
      <c r="H220" s="3" t="n">
        <f aca="false">Original_Dataset!H217</f>
        <v>25</v>
      </c>
      <c r="I220" s="3" t="n">
        <f aca="false">Original_Dataset!I217</f>
        <v>88.4</v>
      </c>
      <c r="J220" s="3" t="n">
        <f aca="false">IF(ISBLANK(Original_Dataset!J217),$Q$3,Original_Dataset!J217)</f>
        <v>2.44</v>
      </c>
      <c r="K220" s="3" t="n">
        <f aca="false">Original_Dataset!K217</f>
        <v>0</v>
      </c>
      <c r="L220" s="3" t="n">
        <f aca="false">IF(ISBLANK(Original_Dataset!L217),$Q$4,Original_Dataset!L217)</f>
        <v>4.9</v>
      </c>
      <c r="M220" s="3" t="n">
        <f aca="false">Original_Dataset!M217</f>
        <v>836908.24</v>
      </c>
      <c r="N220" s="3" t="n">
        <f aca="false">Original_Dataset!N217</f>
        <v>141090.26</v>
      </c>
    </row>
    <row r="221" customFormat="false" ht="15" hidden="false" customHeight="true" outlineLevel="0" collapsed="false">
      <c r="A221" s="3" t="str">
        <f aca="false">Original_Dataset!A218</f>
        <v>STR-1055</v>
      </c>
      <c r="B221" s="4" t="n">
        <f aca="false">Original_Dataset!B218</f>
        <v>45658</v>
      </c>
      <c r="C221" s="3" t="str">
        <f aca="false">Original_Dataset!C218</f>
        <v>North</v>
      </c>
      <c r="D221" s="3" t="str">
        <f aca="false">Original_Dataset!D218</f>
        <v>Airport</v>
      </c>
      <c r="E221" s="3" t="n">
        <f aca="false">Original_Dataset!E218</f>
        <v>69180.54</v>
      </c>
      <c r="F221" s="3" t="n">
        <f aca="false">Original_Dataset!F218</f>
        <v>5394</v>
      </c>
      <c r="G221" s="3" t="n">
        <f aca="false">Original_Dataset!G218</f>
        <v>0.126</v>
      </c>
      <c r="H221" s="3" t="n">
        <f aca="false">Original_Dataset!H218</f>
        <v>12</v>
      </c>
      <c r="I221" s="3" t="n">
        <f aca="false">Original_Dataset!I218</f>
        <v>82.9</v>
      </c>
      <c r="J221" s="3" t="n">
        <f aca="false">IF(ISBLANK(Original_Dataset!J218),$Q$3,Original_Dataset!J218)</f>
        <v>3.27</v>
      </c>
      <c r="K221" s="3" t="n">
        <f aca="false">Original_Dataset!K218</f>
        <v>0</v>
      </c>
      <c r="L221" s="3" t="n">
        <f aca="false">IF(ISBLANK(Original_Dataset!L218),$Q$4,Original_Dataset!L218)</f>
        <v>3.3</v>
      </c>
      <c r="M221" s="3" t="n">
        <f aca="false">Original_Dataset!M218</f>
        <v>674289.1</v>
      </c>
      <c r="N221" s="3" t="n">
        <f aca="false">Original_Dataset!N218</f>
        <v>117773.79</v>
      </c>
    </row>
    <row r="222" customFormat="false" ht="15" hidden="false" customHeight="true" outlineLevel="0" collapsed="false">
      <c r="A222" s="3" t="str">
        <f aca="false">Original_Dataset!A219</f>
        <v>STR-1055</v>
      </c>
      <c r="B222" s="4" t="n">
        <f aca="false">Original_Dataset!B219</f>
        <v>45689</v>
      </c>
      <c r="C222" s="3" t="str">
        <f aca="false">Original_Dataset!C219</f>
        <v>North</v>
      </c>
      <c r="D222" s="3" t="str">
        <f aca="false">Original_Dataset!D219</f>
        <v>Airport</v>
      </c>
      <c r="E222" s="3" t="n">
        <f aca="false">Original_Dataset!E219</f>
        <v>33987.33</v>
      </c>
      <c r="F222" s="3" t="n">
        <f aca="false">Original_Dataset!F219</f>
        <v>5014</v>
      </c>
      <c r="G222" s="3" t="n">
        <f aca="false">Original_Dataset!G219</f>
        <v>0.246</v>
      </c>
      <c r="H222" s="3" t="n">
        <f aca="false">Original_Dataset!H219</f>
        <v>17</v>
      </c>
      <c r="I222" s="3" t="n">
        <f aca="false">Original_Dataset!I219</f>
        <v>94.3</v>
      </c>
      <c r="J222" s="3" t="n">
        <f aca="false">IF(ISBLANK(Original_Dataset!J219),$Q$3,Original_Dataset!J219)</f>
        <v>10.34</v>
      </c>
      <c r="K222" s="3" t="n">
        <f aca="false">Original_Dataset!K219</f>
        <v>0</v>
      </c>
      <c r="L222" s="3" t="n">
        <f aca="false">IF(ISBLANK(Original_Dataset!L219),$Q$4,Original_Dataset!L219)</f>
        <v>3.9</v>
      </c>
      <c r="M222" s="3" t="n">
        <f aca="false">Original_Dataset!M219</f>
        <v>622892.42</v>
      </c>
      <c r="N222" s="3" t="n">
        <f aca="false">Original_Dataset!N219</f>
        <v>101032.52</v>
      </c>
    </row>
    <row r="223" customFormat="false" ht="15" hidden="false" customHeight="true" outlineLevel="0" collapsed="false">
      <c r="A223" s="3" t="str">
        <f aca="false">Original_Dataset!A220</f>
        <v>STR-1055</v>
      </c>
      <c r="B223" s="4" t="n">
        <f aca="false">Original_Dataset!B220</f>
        <v>45717</v>
      </c>
      <c r="C223" s="3" t="str">
        <f aca="false">Original_Dataset!C220</f>
        <v>North</v>
      </c>
      <c r="D223" s="3" t="str">
        <f aca="false">Original_Dataset!D220</f>
        <v>Airport</v>
      </c>
      <c r="E223" s="3" t="n">
        <f aca="false">Original_Dataset!E220</f>
        <v>58785.33</v>
      </c>
      <c r="F223" s="3" t="n">
        <f aca="false">Original_Dataset!F220</f>
        <v>4467</v>
      </c>
      <c r="G223" s="3" t="n">
        <f aca="false">Original_Dataset!G220</f>
        <v>0.229</v>
      </c>
      <c r="H223" s="3" t="n">
        <f aca="false">Original_Dataset!H220</f>
        <v>14</v>
      </c>
      <c r="I223" s="3" t="n">
        <f aca="false">Original_Dataset!I220</f>
        <v>90.7</v>
      </c>
      <c r="J223" s="3" t="n">
        <f aca="false">IF(ISBLANK(Original_Dataset!J220),$Q$3,Original_Dataset!J220)</f>
        <v>1.92</v>
      </c>
      <c r="K223" s="3" t="n">
        <f aca="false">Original_Dataset!K220</f>
        <v>0</v>
      </c>
      <c r="L223" s="3" t="n">
        <f aca="false">IF(ISBLANK(Original_Dataset!L220),$Q$4,Original_Dataset!L220)</f>
        <v>3.7</v>
      </c>
      <c r="M223" s="3" t="n">
        <f aca="false">Original_Dataset!M220</f>
        <v>673348.56</v>
      </c>
      <c r="N223" s="3" t="n">
        <f aca="false">Original_Dataset!N220</f>
        <v>69464.59</v>
      </c>
    </row>
    <row r="224" customFormat="false" ht="15" hidden="false" customHeight="true" outlineLevel="0" collapsed="false">
      <c r="A224" s="3" t="str">
        <f aca="false">Original_Dataset!A221</f>
        <v>STR-1055</v>
      </c>
      <c r="B224" s="4" t="n">
        <f aca="false">Original_Dataset!B221</f>
        <v>45748</v>
      </c>
      <c r="C224" s="3" t="str">
        <f aca="false">Original_Dataset!C221</f>
        <v>North</v>
      </c>
      <c r="D224" s="3" t="str">
        <f aca="false">Original_Dataset!D221</f>
        <v>Airport</v>
      </c>
      <c r="E224" s="3" t="n">
        <f aca="false">Original_Dataset!E221</f>
        <v>16451.85</v>
      </c>
      <c r="F224" s="3" t="n">
        <f aca="false">Original_Dataset!F221</f>
        <v>4678</v>
      </c>
      <c r="G224" s="3" t="n">
        <f aca="false">Original_Dataset!G221</f>
        <v>0.133</v>
      </c>
      <c r="H224" s="3" t="n">
        <f aca="false">Original_Dataset!H221</f>
        <v>11</v>
      </c>
      <c r="I224" s="3" t="n">
        <f aca="false">Original_Dataset!I221</f>
        <v>95.9</v>
      </c>
      <c r="J224" s="3" t="n">
        <f aca="false">IF(ISBLANK(Original_Dataset!J221),$Q$3,Original_Dataset!J221)</f>
        <v>3.1</v>
      </c>
      <c r="K224" s="3" t="n">
        <f aca="false">Original_Dataset!K221</f>
        <v>0</v>
      </c>
      <c r="L224" s="3" t="n">
        <f aca="false">IF(ISBLANK(Original_Dataset!L221),$Q$4,Original_Dataset!L221)</f>
        <v>3.9</v>
      </c>
      <c r="M224" s="3" t="n">
        <f aca="false">Original_Dataset!M221</f>
        <v>606278.3</v>
      </c>
      <c r="N224" s="3" t="n">
        <f aca="false">Original_Dataset!N221</f>
        <v>102213.26</v>
      </c>
    </row>
    <row r="225" customFormat="false" ht="15" hidden="false" customHeight="true" outlineLevel="0" collapsed="false">
      <c r="A225" s="3" t="str">
        <f aca="false">Original_Dataset!A222</f>
        <v>STR-1056</v>
      </c>
      <c r="B225" s="4" t="n">
        <f aca="false">Original_Dataset!B222</f>
        <v>45658</v>
      </c>
      <c r="C225" s="3" t="str">
        <f aca="false">Original_Dataset!C222</f>
        <v>East</v>
      </c>
      <c r="D225" s="3" t="str">
        <f aca="false">Original_Dataset!D222</f>
        <v>High Street</v>
      </c>
      <c r="E225" s="3" t="n">
        <f aca="false">Original_Dataset!E222</f>
        <v>53367.73</v>
      </c>
      <c r="F225" s="3" t="n">
        <f aca="false">Original_Dataset!F222</f>
        <v>7291</v>
      </c>
      <c r="G225" s="3" t="n">
        <f aca="false">Original_Dataset!G222</f>
        <v>0.146</v>
      </c>
      <c r="H225" s="3" t="n">
        <f aca="false">Original_Dataset!H222</f>
        <v>18</v>
      </c>
      <c r="I225" s="3" t="n">
        <f aca="false">Original_Dataset!I222</f>
        <v>90.6</v>
      </c>
      <c r="J225" s="3" t="n">
        <f aca="false">IF(ISBLANK(Original_Dataset!J222),$Q$3,Original_Dataset!J222)</f>
        <v>6.34</v>
      </c>
      <c r="K225" s="3" t="n">
        <f aca="false">Original_Dataset!K222</f>
        <v>1</v>
      </c>
      <c r="L225" s="3" t="n">
        <f aca="false">IF(ISBLANK(Original_Dataset!L222),$Q$4,Original_Dataset!L222)</f>
        <v>3.8</v>
      </c>
      <c r="M225" s="3" t="n">
        <f aca="false">Original_Dataset!M222</f>
        <v>712219.81</v>
      </c>
      <c r="N225" s="3" t="n">
        <f aca="false">Original_Dataset!N222</f>
        <v>85906.54</v>
      </c>
    </row>
    <row r="226" customFormat="false" ht="15" hidden="false" customHeight="true" outlineLevel="0" collapsed="false">
      <c r="A226" s="3" t="str">
        <f aca="false">Original_Dataset!A223</f>
        <v>STR-1056</v>
      </c>
      <c r="B226" s="4" t="n">
        <f aca="false">Original_Dataset!B223</f>
        <v>45689</v>
      </c>
      <c r="C226" s="3" t="str">
        <f aca="false">Original_Dataset!C223</f>
        <v>East</v>
      </c>
      <c r="D226" s="3" t="str">
        <f aca="false">Original_Dataset!D223</f>
        <v>High Street</v>
      </c>
      <c r="E226" s="3" t="n">
        <f aca="false">Original_Dataset!E223</f>
        <v>27194.64</v>
      </c>
      <c r="F226" s="3" t="n">
        <f aca="false">Original_Dataset!F223</f>
        <v>7404</v>
      </c>
      <c r="G226" s="3" t="n">
        <f aca="false">Original_Dataset!G223</f>
        <v>0.088</v>
      </c>
      <c r="H226" s="3" t="n">
        <f aca="false">Original_Dataset!H223</f>
        <v>18</v>
      </c>
      <c r="I226" s="3" t="n">
        <f aca="false">Original_Dataset!I223</f>
        <v>90.2</v>
      </c>
      <c r="J226" s="3" t="n">
        <f aca="false">IF(ISBLANK(Original_Dataset!J223),$Q$3,Original_Dataset!J223)</f>
        <v>1.2</v>
      </c>
      <c r="K226" s="3" t="n">
        <f aca="false">Original_Dataset!K223</f>
        <v>0</v>
      </c>
      <c r="L226" s="3" t="n">
        <f aca="false">IF(ISBLANK(Original_Dataset!L223),$Q$4,Original_Dataset!L223)</f>
        <v>3.4</v>
      </c>
      <c r="M226" s="3" t="n">
        <f aca="false">Original_Dataset!M223</f>
        <v>672670.54</v>
      </c>
      <c r="N226" s="3" t="n">
        <f aca="false">Original_Dataset!N223</f>
        <v>132684.18</v>
      </c>
    </row>
    <row r="227" customFormat="false" ht="15" hidden="false" customHeight="true" outlineLevel="0" collapsed="false">
      <c r="A227" s="3" t="str">
        <f aca="false">Original_Dataset!A224</f>
        <v>STR-1056</v>
      </c>
      <c r="B227" s="4" t="n">
        <f aca="false">Original_Dataset!B224</f>
        <v>45717</v>
      </c>
      <c r="C227" s="3" t="str">
        <f aca="false">Original_Dataset!C224</f>
        <v>East</v>
      </c>
      <c r="D227" s="3" t="str">
        <f aca="false">Original_Dataset!D224</f>
        <v>High Street</v>
      </c>
      <c r="E227" s="3" t="n">
        <f aca="false">Original_Dataset!E224</f>
        <v>66962.74</v>
      </c>
      <c r="F227" s="3" t="n">
        <f aca="false">Original_Dataset!F224</f>
        <v>7880</v>
      </c>
      <c r="G227" s="3" t="n">
        <f aca="false">Original_Dataset!G224</f>
        <v>0.116</v>
      </c>
      <c r="H227" s="3" t="n">
        <f aca="false">Original_Dataset!H224</f>
        <v>19</v>
      </c>
      <c r="I227" s="3" t="n">
        <f aca="false">Original_Dataset!I224</f>
        <v>90.4</v>
      </c>
      <c r="J227" s="3" t="n">
        <f aca="false">IF(ISBLANK(Original_Dataset!J224),$Q$3,Original_Dataset!J224)</f>
        <v>4.5</v>
      </c>
      <c r="K227" s="3" t="n">
        <f aca="false">Original_Dataset!K224</f>
        <v>0</v>
      </c>
      <c r="L227" s="3" t="n">
        <f aca="false">IF(ISBLANK(Original_Dataset!L224),$Q$4,Original_Dataset!L224)</f>
        <v>3.3</v>
      </c>
      <c r="M227" s="3" t="n">
        <f aca="false">Original_Dataset!M224</f>
        <v>732667.92</v>
      </c>
      <c r="N227" s="3" t="n">
        <f aca="false">Original_Dataset!N224</f>
        <v>128654.46</v>
      </c>
    </row>
    <row r="228" customFormat="false" ht="15" hidden="false" customHeight="true" outlineLevel="0" collapsed="false">
      <c r="A228" s="3" t="str">
        <f aca="false">Original_Dataset!A225</f>
        <v>STR-1056</v>
      </c>
      <c r="B228" s="4" t="n">
        <f aca="false">Original_Dataset!B225</f>
        <v>45748</v>
      </c>
      <c r="C228" s="3" t="str">
        <f aca="false">Original_Dataset!C225</f>
        <v>East</v>
      </c>
      <c r="D228" s="3" t="str">
        <f aca="false">Original_Dataset!D225</f>
        <v>High Street</v>
      </c>
      <c r="E228" s="3" t="n">
        <f aca="false">Original_Dataset!E225</f>
        <v>73540.99</v>
      </c>
      <c r="F228" s="3" t="n">
        <f aca="false">Original_Dataset!F225</f>
        <v>8773</v>
      </c>
      <c r="G228" s="3" t="n">
        <f aca="false">Original_Dataset!G225</f>
        <v>0.035</v>
      </c>
      <c r="H228" s="3" t="n">
        <f aca="false">Original_Dataset!H225</f>
        <v>21</v>
      </c>
      <c r="I228" s="3" t="n">
        <f aca="false">Original_Dataset!I225</f>
        <v>84.4</v>
      </c>
      <c r="J228" s="3" t="n">
        <f aca="false">IF(ISBLANK(Original_Dataset!J225),$Q$3,Original_Dataset!J225)</f>
        <v>6.68</v>
      </c>
      <c r="K228" s="3" t="n">
        <f aca="false">Original_Dataset!K225</f>
        <v>0</v>
      </c>
      <c r="L228" s="3" t="n">
        <f aca="false">IF(ISBLANK(Original_Dataset!L225),$Q$4,Original_Dataset!L225)</f>
        <v>3.6</v>
      </c>
      <c r="M228" s="3" t="n">
        <f aca="false">Original_Dataset!M225</f>
        <v>723531.4</v>
      </c>
      <c r="N228" s="3" t="n">
        <f aca="false">Original_Dataset!N225</f>
        <v>108794.85</v>
      </c>
    </row>
    <row r="229" customFormat="false" ht="15" hidden="false" customHeight="true" outlineLevel="0" collapsed="false">
      <c r="A229" s="3" t="str">
        <f aca="false">Original_Dataset!A226</f>
        <v>STR-1057</v>
      </c>
      <c r="B229" s="4" t="n">
        <f aca="false">Original_Dataset!B226</f>
        <v>45658</v>
      </c>
      <c r="C229" s="3" t="str">
        <f aca="false">Original_Dataset!C226</f>
        <v>East</v>
      </c>
      <c r="D229" s="3" t="str">
        <f aca="false">Original_Dataset!D226</f>
        <v>Mall</v>
      </c>
      <c r="E229" s="3" t="n">
        <f aca="false">Original_Dataset!E226</f>
        <v>68212.29</v>
      </c>
      <c r="F229" s="3" t="n">
        <f aca="false">Original_Dataset!F226</f>
        <v>4713</v>
      </c>
      <c r="G229" s="3" t="n">
        <f aca="false">Original_Dataset!G226</f>
        <v>0.198</v>
      </c>
      <c r="H229" s="3" t="n">
        <f aca="false">Original_Dataset!H226</f>
        <v>15</v>
      </c>
      <c r="I229" s="3" t="n">
        <f aca="false">Original_Dataset!I226</f>
        <v>82.6</v>
      </c>
      <c r="J229" s="3" t="n">
        <f aca="false">IF(ISBLANK(Original_Dataset!J226),$Q$3,Original_Dataset!J226)</f>
        <v>4.07</v>
      </c>
      <c r="K229" s="3" t="n">
        <f aca="false">Original_Dataset!K226</f>
        <v>1</v>
      </c>
      <c r="L229" s="3" t="n">
        <f aca="false">IF(ISBLANK(Original_Dataset!L226),$Q$4,Original_Dataset!L226)</f>
        <v>3</v>
      </c>
      <c r="M229" s="3" t="n">
        <f aca="false">Original_Dataset!M226</f>
        <v>641564.6</v>
      </c>
      <c r="N229" s="3" t="n">
        <f aca="false">Original_Dataset!N226</f>
        <v>90468.96</v>
      </c>
    </row>
    <row r="230" customFormat="false" ht="15" hidden="false" customHeight="true" outlineLevel="0" collapsed="false">
      <c r="A230" s="3" t="str">
        <f aca="false">Original_Dataset!A227</f>
        <v>STR-1057</v>
      </c>
      <c r="B230" s="4" t="n">
        <f aca="false">Original_Dataset!B227</f>
        <v>45689</v>
      </c>
      <c r="C230" s="3" t="str">
        <f aca="false">Original_Dataset!C227</f>
        <v>East</v>
      </c>
      <c r="D230" s="3" t="str">
        <f aca="false">Original_Dataset!D227</f>
        <v>Mall</v>
      </c>
      <c r="E230" s="3" t="n">
        <f aca="false">Original_Dataset!E227</f>
        <v>57225.98</v>
      </c>
      <c r="F230" s="3" t="n">
        <f aca="false">Original_Dataset!F227</f>
        <v>2842</v>
      </c>
      <c r="G230" s="3" t="n">
        <f aca="false">Original_Dataset!G227</f>
        <v>0.112</v>
      </c>
      <c r="H230" s="3" t="n">
        <f aca="false">Original_Dataset!H227</f>
        <v>10</v>
      </c>
      <c r="I230" s="3" t="n">
        <f aca="false">Original_Dataset!I227</f>
        <v>79.5</v>
      </c>
      <c r="J230" s="3" t="n">
        <f aca="false">IF(ISBLANK(Original_Dataset!J227),$Q$3,Original_Dataset!J227)</f>
        <v>5.45</v>
      </c>
      <c r="K230" s="3" t="n">
        <f aca="false">Original_Dataset!K227</f>
        <v>0</v>
      </c>
      <c r="L230" s="3" t="n">
        <f aca="false">IF(ISBLANK(Original_Dataset!L227),$Q$4,Original_Dataset!L227)</f>
        <v>3.4</v>
      </c>
      <c r="M230" s="3" t="n">
        <f aca="false">Original_Dataset!M227</f>
        <v>536545.49</v>
      </c>
      <c r="N230" s="3" t="n">
        <f aca="false">Original_Dataset!N227</f>
        <v>97917.45</v>
      </c>
    </row>
    <row r="231" customFormat="false" ht="15" hidden="false" customHeight="true" outlineLevel="0" collapsed="false">
      <c r="A231" s="3" t="str">
        <f aca="false">Original_Dataset!A228</f>
        <v>STR-1057</v>
      </c>
      <c r="B231" s="4" t="n">
        <f aca="false">Original_Dataset!B228</f>
        <v>45717</v>
      </c>
      <c r="C231" s="3" t="str">
        <f aca="false">Original_Dataset!C228</f>
        <v>East</v>
      </c>
      <c r="D231" s="3" t="str">
        <f aca="false">Original_Dataset!D228</f>
        <v>Mall</v>
      </c>
      <c r="E231" s="3" t="n">
        <f aca="false">Original_Dataset!E228</f>
        <v>42932.02</v>
      </c>
      <c r="F231" s="3" t="n">
        <f aca="false">Original_Dataset!F228</f>
        <v>3872</v>
      </c>
      <c r="G231" s="3" t="n">
        <f aca="false">Original_Dataset!G228</f>
        <v>0.171</v>
      </c>
      <c r="H231" s="3" t="n">
        <f aca="false">Original_Dataset!H228</f>
        <v>12</v>
      </c>
      <c r="I231" s="3" t="n">
        <f aca="false">Original_Dataset!I228</f>
        <v>83.2</v>
      </c>
      <c r="J231" s="3" t="n">
        <f aca="false">IF(ISBLANK(Original_Dataset!J228),$Q$3,Original_Dataset!J228)</f>
        <v>15.58</v>
      </c>
      <c r="K231" s="3" t="n">
        <f aca="false">Original_Dataset!K228</f>
        <v>0</v>
      </c>
      <c r="L231" s="3" t="n">
        <f aca="false">IF(ISBLANK(Original_Dataset!L228),$Q$4,Original_Dataset!L228)</f>
        <v>3.3</v>
      </c>
      <c r="M231" s="3" t="n">
        <f aca="false">Original_Dataset!M228</f>
        <v>527681.56</v>
      </c>
      <c r="N231" s="3" t="n">
        <f aca="false">Original_Dataset!N228</f>
        <v>63153.05</v>
      </c>
    </row>
    <row r="232" customFormat="false" ht="15" hidden="false" customHeight="true" outlineLevel="0" collapsed="false">
      <c r="A232" s="3" t="str">
        <f aca="false">Original_Dataset!A229</f>
        <v>STR-1057</v>
      </c>
      <c r="B232" s="4" t="n">
        <f aca="false">Original_Dataset!B229</f>
        <v>45748</v>
      </c>
      <c r="C232" s="3" t="str">
        <f aca="false">Original_Dataset!C229</f>
        <v>East</v>
      </c>
      <c r="D232" s="3" t="str">
        <f aca="false">Original_Dataset!D229</f>
        <v>Mall</v>
      </c>
      <c r="E232" s="3" t="n">
        <f aca="false">Original_Dataset!E229</f>
        <v>39341.45</v>
      </c>
      <c r="F232" s="3" t="n">
        <f aca="false">Original_Dataset!F229</f>
        <v>1375</v>
      </c>
      <c r="G232" s="3" t="n">
        <f aca="false">Original_Dataset!G229</f>
        <v>0.093</v>
      </c>
      <c r="H232" s="3" t="n">
        <f aca="false">Original_Dataset!H229</f>
        <v>5</v>
      </c>
      <c r="I232" s="3" t="n">
        <f aca="false">Original_Dataset!I229</f>
        <v>95</v>
      </c>
      <c r="J232" s="3" t="n">
        <f aca="false">IF(ISBLANK(Original_Dataset!J229),$Q$3,Original_Dataset!J229)</f>
        <v>5.32</v>
      </c>
      <c r="K232" s="3" t="n">
        <f aca="false">Original_Dataset!K229</f>
        <v>0</v>
      </c>
      <c r="L232" s="3" t="n">
        <f aca="false">IF(ISBLANK(Original_Dataset!L229),$Q$4,Original_Dataset!L229)</f>
        <v>3.9</v>
      </c>
      <c r="M232" s="3" t="n">
        <f aca="false">Original_Dataset!M229</f>
        <v>529598.94</v>
      </c>
      <c r="N232" s="3" t="n">
        <f aca="false">Original_Dataset!N229</f>
        <v>84334.33</v>
      </c>
    </row>
    <row r="233" customFormat="false" ht="15" hidden="false" customHeight="true" outlineLevel="0" collapsed="false">
      <c r="A233" s="3" t="str">
        <f aca="false">Original_Dataset!A230</f>
        <v>STR-1058</v>
      </c>
      <c r="B233" s="4" t="n">
        <f aca="false">Original_Dataset!B230</f>
        <v>45658</v>
      </c>
      <c r="C233" s="3" t="str">
        <f aca="false">Original_Dataset!C230</f>
        <v>East</v>
      </c>
      <c r="D233" s="3" t="str">
        <f aca="false">Original_Dataset!D230</f>
        <v>High Street</v>
      </c>
      <c r="E233" s="3" t="n">
        <f aca="false">Original_Dataset!E230</f>
        <v>37324.23</v>
      </c>
      <c r="F233" s="3" t="n">
        <f aca="false">Original_Dataset!F230</f>
        <v>5957</v>
      </c>
      <c r="G233" s="3" t="n">
        <f aca="false">Original_Dataset!G230</f>
        <v>0.071</v>
      </c>
      <c r="H233" s="3" t="n">
        <f aca="false">Original_Dataset!H230</f>
        <v>12</v>
      </c>
      <c r="I233" s="3" t="n">
        <f aca="false">Original_Dataset!I230</f>
        <v>85.9</v>
      </c>
      <c r="J233" s="3" t="n">
        <f aca="false">IF(ISBLANK(Original_Dataset!J230),$Q$3,Original_Dataset!J230)</f>
        <v>0.37</v>
      </c>
      <c r="K233" s="3" t="n">
        <f aca="false">Original_Dataset!K230</f>
        <v>0</v>
      </c>
      <c r="L233" s="3" t="n">
        <f aca="false">IF(ISBLANK(Original_Dataset!L230),$Q$4,Original_Dataset!L230)</f>
        <v>3.8</v>
      </c>
      <c r="M233" s="3" t="n">
        <f aca="false">Original_Dataset!M230</f>
        <v>570963.31</v>
      </c>
      <c r="N233" s="3" t="n">
        <f aca="false">Original_Dataset!N230</f>
        <v>87342.25</v>
      </c>
    </row>
    <row r="234" customFormat="false" ht="15" hidden="false" customHeight="true" outlineLevel="0" collapsed="false">
      <c r="A234" s="3" t="str">
        <f aca="false">Original_Dataset!A231</f>
        <v>STR-1058</v>
      </c>
      <c r="B234" s="4" t="n">
        <f aca="false">Original_Dataset!B231</f>
        <v>45689</v>
      </c>
      <c r="C234" s="3" t="str">
        <f aca="false">Original_Dataset!C231</f>
        <v>East</v>
      </c>
      <c r="D234" s="3" t="str">
        <f aca="false">Original_Dataset!D231</f>
        <v>High Street</v>
      </c>
      <c r="E234" s="3" t="n">
        <f aca="false">Original_Dataset!E231</f>
        <v>113736</v>
      </c>
      <c r="F234" s="3" t="n">
        <f aca="false">Original_Dataset!F231</f>
        <v>8961</v>
      </c>
      <c r="G234" s="3" t="n">
        <f aca="false">Original_Dataset!G231</f>
        <v>0.202</v>
      </c>
      <c r="H234" s="3" t="n">
        <f aca="false">Original_Dataset!H231</f>
        <v>24</v>
      </c>
      <c r="I234" s="3" t="n">
        <f aca="false">Original_Dataset!I231</f>
        <v>86.2</v>
      </c>
      <c r="J234" s="3" t="n">
        <f aca="false">IF(ISBLANK(Original_Dataset!J231),$Q$3,Original_Dataset!J231)</f>
        <v>21.63</v>
      </c>
      <c r="K234" s="3" t="n">
        <f aca="false">Original_Dataset!K231</f>
        <v>0</v>
      </c>
      <c r="L234" s="3" t="n">
        <f aca="false">IF(ISBLANK(Original_Dataset!L231),$Q$4,Original_Dataset!L231)</f>
        <v>4</v>
      </c>
      <c r="M234" s="3" t="n">
        <f aca="false">Original_Dataset!M231</f>
        <v>870937.4</v>
      </c>
      <c r="N234" s="3" t="n">
        <f aca="false">Original_Dataset!N231</f>
        <v>175282.74</v>
      </c>
    </row>
    <row r="235" customFormat="false" ht="15" hidden="false" customHeight="true" outlineLevel="0" collapsed="false">
      <c r="A235" s="3" t="str">
        <f aca="false">Original_Dataset!A232</f>
        <v>STR-1058</v>
      </c>
      <c r="B235" s="4" t="n">
        <f aca="false">Original_Dataset!B232</f>
        <v>45717</v>
      </c>
      <c r="C235" s="3" t="str">
        <f aca="false">Original_Dataset!C232</f>
        <v>East</v>
      </c>
      <c r="D235" s="3" t="str">
        <f aca="false">Original_Dataset!D232</f>
        <v>High Street</v>
      </c>
      <c r="E235" s="3" t="n">
        <f aca="false">Original_Dataset!E232</f>
        <v>33173.95</v>
      </c>
      <c r="F235" s="3" t="n">
        <f aca="false">Original_Dataset!F232</f>
        <v>6545</v>
      </c>
      <c r="G235" s="3" t="n">
        <f aca="false">Original_Dataset!G232</f>
        <v>0.169</v>
      </c>
      <c r="H235" s="3" t="n">
        <f aca="false">Original_Dataset!H232</f>
        <v>15</v>
      </c>
      <c r="I235" s="3" t="n">
        <f aca="false">Original_Dataset!I232</f>
        <v>84.4</v>
      </c>
      <c r="J235" s="3" t="n">
        <f aca="false">IF(ISBLANK(Original_Dataset!J232),$Q$3,Original_Dataset!J232)</f>
        <v>2.48</v>
      </c>
      <c r="K235" s="3" t="n">
        <f aca="false">Original_Dataset!K232</f>
        <v>0</v>
      </c>
      <c r="L235" s="3" t="n">
        <f aca="false">IF(ISBLANK(Original_Dataset!L232),$Q$4,Original_Dataset!L232)</f>
        <v>3.9</v>
      </c>
      <c r="M235" s="3" t="n">
        <f aca="false">Original_Dataset!M232</f>
        <v>596969.27</v>
      </c>
      <c r="N235" s="3" t="n">
        <f aca="false">Original_Dataset!N232</f>
        <v>105669.51</v>
      </c>
    </row>
    <row r="236" customFormat="false" ht="15" hidden="false" customHeight="true" outlineLevel="0" collapsed="false">
      <c r="A236" s="3" t="str">
        <f aca="false">Original_Dataset!A233</f>
        <v>STR-1058</v>
      </c>
      <c r="B236" s="4" t="n">
        <f aca="false">Original_Dataset!B233</f>
        <v>45748</v>
      </c>
      <c r="C236" s="3" t="str">
        <f aca="false">Original_Dataset!C233</f>
        <v>East</v>
      </c>
      <c r="D236" s="3" t="str">
        <f aca="false">Original_Dataset!D233</f>
        <v>High Street</v>
      </c>
      <c r="E236" s="3" t="n">
        <f aca="false">Original_Dataset!E233</f>
        <v>25818.08</v>
      </c>
      <c r="F236" s="3" t="n">
        <f aca="false">Original_Dataset!F233</f>
        <v>5457</v>
      </c>
      <c r="G236" s="3" t="n">
        <f aca="false">Original_Dataset!G233</f>
        <v>0</v>
      </c>
      <c r="H236" s="3" t="n">
        <f aca="false">Original_Dataset!H233</f>
        <v>11</v>
      </c>
      <c r="I236" s="3" t="n">
        <f aca="false">Original_Dataset!I233</f>
        <v>95.4</v>
      </c>
      <c r="J236" s="3" t="n">
        <f aca="false">IF(ISBLANK(Original_Dataset!J233),$Q$3,Original_Dataset!J233)</f>
        <v>3.365</v>
      </c>
      <c r="K236" s="3" t="n">
        <f aca="false">Original_Dataset!K233</f>
        <v>0</v>
      </c>
      <c r="L236" s="3" t="n">
        <f aca="false">IF(ISBLANK(Original_Dataset!L233),$Q$4,Original_Dataset!L233)</f>
        <v>3.7</v>
      </c>
      <c r="M236" s="3" t="n">
        <f aca="false">Original_Dataset!M233</f>
        <v>647512.85</v>
      </c>
      <c r="N236" s="3" t="n">
        <f aca="false">Original_Dataset!N233</f>
        <v>153835.57</v>
      </c>
    </row>
    <row r="237" customFormat="false" ht="15" hidden="false" customHeight="true" outlineLevel="0" collapsed="false">
      <c r="A237" s="3" t="str">
        <f aca="false">Original_Dataset!A234</f>
        <v>STR-1059</v>
      </c>
      <c r="B237" s="4" t="n">
        <f aca="false">Original_Dataset!B234</f>
        <v>45658</v>
      </c>
      <c r="C237" s="3" t="str">
        <f aca="false">Original_Dataset!C234</f>
        <v>West</v>
      </c>
      <c r="D237" s="3" t="str">
        <f aca="false">Original_Dataset!D234</f>
        <v>Residential</v>
      </c>
      <c r="E237" s="3" t="n">
        <f aca="false">Original_Dataset!E234</f>
        <v>47241.92</v>
      </c>
      <c r="F237" s="3" t="n">
        <f aca="false">Original_Dataset!F234</f>
        <v>4264</v>
      </c>
      <c r="G237" s="3" t="n">
        <f aca="false">Original_Dataset!G234</f>
        <v>0.069</v>
      </c>
      <c r="H237" s="3" t="n">
        <f aca="false">Original_Dataset!H234</f>
        <v>13</v>
      </c>
      <c r="I237" s="3" t="n">
        <f aca="false">Original_Dataset!I234</f>
        <v>95.3</v>
      </c>
      <c r="J237" s="3" t="n">
        <f aca="false">IF(ISBLANK(Original_Dataset!J234),$Q$3,Original_Dataset!J234)</f>
        <v>0.85</v>
      </c>
      <c r="K237" s="3" t="n">
        <f aca="false">Original_Dataset!K234</f>
        <v>0</v>
      </c>
      <c r="L237" s="3" t="n">
        <f aca="false">IF(ISBLANK(Original_Dataset!L234),$Q$4,Original_Dataset!L234)</f>
        <v>4.3</v>
      </c>
      <c r="M237" s="3" t="n">
        <f aca="false">Original_Dataset!M234</f>
        <v>658072.14</v>
      </c>
      <c r="N237" s="3" t="n">
        <f aca="false">Original_Dataset!N234</f>
        <v>110595.89</v>
      </c>
    </row>
    <row r="238" customFormat="false" ht="15" hidden="false" customHeight="true" outlineLevel="0" collapsed="false">
      <c r="A238" s="3" t="str">
        <f aca="false">Original_Dataset!A235</f>
        <v>STR-1059</v>
      </c>
      <c r="B238" s="4" t="n">
        <f aca="false">Original_Dataset!B235</f>
        <v>45689</v>
      </c>
      <c r="C238" s="3" t="str">
        <f aca="false">Original_Dataset!C235</f>
        <v>West</v>
      </c>
      <c r="D238" s="3" t="str">
        <f aca="false">Original_Dataset!D235</f>
        <v>Residential</v>
      </c>
      <c r="E238" s="3" t="n">
        <f aca="false">Original_Dataset!E235</f>
        <v>61650.79</v>
      </c>
      <c r="F238" s="3" t="n">
        <f aca="false">Original_Dataset!F235</f>
        <v>5321</v>
      </c>
      <c r="G238" s="3" t="n">
        <f aca="false">Original_Dataset!G235</f>
        <v>0.126</v>
      </c>
      <c r="H238" s="3" t="n">
        <f aca="false">Original_Dataset!H235</f>
        <v>17</v>
      </c>
      <c r="I238" s="3" t="n">
        <f aca="false">Original_Dataset!I235</f>
        <v>89.2</v>
      </c>
      <c r="J238" s="3" t="n">
        <f aca="false">IF(ISBLANK(Original_Dataset!J235),$Q$3,Original_Dataset!J235)</f>
        <v>2.13</v>
      </c>
      <c r="K238" s="3" t="n">
        <f aca="false">Original_Dataset!K235</f>
        <v>0</v>
      </c>
      <c r="L238" s="3" t="n">
        <f aca="false">IF(ISBLANK(Original_Dataset!L235),$Q$4,Original_Dataset!L235)</f>
        <v>4</v>
      </c>
      <c r="M238" s="3" t="n">
        <f aca="false">Original_Dataset!M235</f>
        <v>723305.11</v>
      </c>
      <c r="N238" s="3" t="n">
        <f aca="false">Original_Dataset!N235</f>
        <v>128468.7</v>
      </c>
    </row>
    <row r="239" customFormat="false" ht="15" hidden="false" customHeight="true" outlineLevel="0" collapsed="false">
      <c r="A239" s="3" t="str">
        <f aca="false">Original_Dataset!A236</f>
        <v>STR-1059</v>
      </c>
      <c r="B239" s="4" t="n">
        <f aca="false">Original_Dataset!B236</f>
        <v>45717</v>
      </c>
      <c r="C239" s="3" t="str">
        <f aca="false">Original_Dataset!C236</f>
        <v>West</v>
      </c>
      <c r="D239" s="3" t="str">
        <f aca="false">Original_Dataset!D236</f>
        <v>Residential</v>
      </c>
      <c r="E239" s="3" t="n">
        <f aca="false">Original_Dataset!E236</f>
        <v>62582.71</v>
      </c>
      <c r="F239" s="3" t="n">
        <f aca="false">Original_Dataset!F236</f>
        <v>5479</v>
      </c>
      <c r="G239" s="3" t="n">
        <f aca="false">Original_Dataset!G236</f>
        <v>0.048</v>
      </c>
      <c r="H239" s="3" t="n">
        <f aca="false">Original_Dataset!H236</f>
        <v>16</v>
      </c>
      <c r="I239" s="3" t="n">
        <f aca="false">Original_Dataset!I236</f>
        <v>81.2</v>
      </c>
      <c r="J239" s="3" t="n">
        <f aca="false">IF(ISBLANK(Original_Dataset!J236),$Q$3,Original_Dataset!J236)</f>
        <v>1.46</v>
      </c>
      <c r="K239" s="3" t="n">
        <f aca="false">Original_Dataset!K236</f>
        <v>0</v>
      </c>
      <c r="L239" s="3" t="n">
        <f aca="false">IF(ISBLANK(Original_Dataset!L236),$Q$4,Original_Dataset!L236)</f>
        <v>4.5</v>
      </c>
      <c r="M239" s="3" t="n">
        <f aca="false">Original_Dataset!M236</f>
        <v>640666.53</v>
      </c>
      <c r="N239" s="3" t="n">
        <f aca="false">Original_Dataset!N236</f>
        <v>134919.16</v>
      </c>
    </row>
    <row r="240" customFormat="false" ht="15" hidden="false" customHeight="true" outlineLevel="0" collapsed="false">
      <c r="A240" s="3" t="str">
        <f aca="false">Original_Dataset!A237</f>
        <v>STR-1059</v>
      </c>
      <c r="B240" s="4" t="n">
        <f aca="false">Original_Dataset!B237</f>
        <v>45748</v>
      </c>
      <c r="C240" s="3" t="str">
        <f aca="false">Original_Dataset!C237</f>
        <v>West</v>
      </c>
      <c r="D240" s="3" t="str">
        <f aca="false">Original_Dataset!D237</f>
        <v>Residential</v>
      </c>
      <c r="E240" s="3" t="n">
        <f aca="false">Original_Dataset!E237</f>
        <v>47944.14</v>
      </c>
      <c r="F240" s="3" t="n">
        <f aca="false">Original_Dataset!F237</f>
        <v>6169</v>
      </c>
      <c r="G240" s="3" t="n">
        <f aca="false">Original_Dataset!G237</f>
        <v>0.119</v>
      </c>
      <c r="H240" s="3" t="n">
        <f aca="false">Original_Dataset!H237</f>
        <v>17</v>
      </c>
      <c r="I240" s="3" t="n">
        <f aca="false">Original_Dataset!I237</f>
        <v>92.2</v>
      </c>
      <c r="J240" s="3" t="n">
        <f aca="false">IF(ISBLANK(Original_Dataset!J237),$Q$3,Original_Dataset!J237)</f>
        <v>3.02</v>
      </c>
      <c r="K240" s="3" t="n">
        <f aca="false">Original_Dataset!K237</f>
        <v>0</v>
      </c>
      <c r="L240" s="3" t="n">
        <f aca="false">IF(ISBLANK(Original_Dataset!L237),$Q$4,Original_Dataset!L237)</f>
        <v>4.1</v>
      </c>
      <c r="M240" s="3" t="n">
        <f aca="false">Original_Dataset!M237</f>
        <v>670629.48</v>
      </c>
      <c r="N240" s="3" t="n">
        <f aca="false">Original_Dataset!N237</f>
        <v>100140.8</v>
      </c>
    </row>
    <row r="241" customFormat="false" ht="15" hidden="false" customHeight="true" outlineLevel="0" collapsed="false">
      <c r="A241" s="3" t="str">
        <f aca="false">Original_Dataset!A238</f>
        <v>STR-1060</v>
      </c>
      <c r="B241" s="4" t="n">
        <f aca="false">Original_Dataset!B238</f>
        <v>45658</v>
      </c>
      <c r="C241" s="3" t="str">
        <f aca="false">Original_Dataset!C238</f>
        <v>West</v>
      </c>
      <c r="D241" s="3" t="str">
        <f aca="false">Original_Dataset!D238</f>
        <v>Mall</v>
      </c>
      <c r="E241" s="3" t="n">
        <f aca="false">Original_Dataset!E238</f>
        <v>46495.4</v>
      </c>
      <c r="F241" s="3" t="n">
        <f aca="false">Original_Dataset!F238</f>
        <v>9908</v>
      </c>
      <c r="G241" s="3" t="n">
        <f aca="false">Original_Dataset!G238</f>
        <v>0.121</v>
      </c>
      <c r="H241" s="3" t="n">
        <f aca="false">Original_Dataset!H238</f>
        <v>22</v>
      </c>
      <c r="I241" s="3" t="n">
        <f aca="false">Original_Dataset!I238</f>
        <v>89.4</v>
      </c>
      <c r="J241" s="3" t="n">
        <f aca="false">IF(ISBLANK(Original_Dataset!J238),$Q$3,Original_Dataset!J238)</f>
        <v>3.22</v>
      </c>
      <c r="K241" s="3" t="n">
        <f aca="false">Original_Dataset!K238</f>
        <v>0</v>
      </c>
      <c r="L241" s="3" t="n">
        <f aca="false">IF(ISBLANK(Original_Dataset!L238),$Q$4,Original_Dataset!L238)</f>
        <v>3.7</v>
      </c>
      <c r="M241" s="3" t="n">
        <f aca="false">Original_Dataset!M238</f>
        <v>721079.35</v>
      </c>
      <c r="N241" s="3" t="n">
        <f aca="false">Original_Dataset!N238</f>
        <v>115295.05</v>
      </c>
    </row>
    <row r="242" customFormat="false" ht="15" hidden="false" customHeight="true" outlineLevel="0" collapsed="false">
      <c r="A242" s="3" t="str">
        <f aca="false">Original_Dataset!A239</f>
        <v>STR-1060</v>
      </c>
      <c r="B242" s="4" t="n">
        <f aca="false">Original_Dataset!B239</f>
        <v>45689</v>
      </c>
      <c r="C242" s="3" t="str">
        <f aca="false">Original_Dataset!C239</f>
        <v>West</v>
      </c>
      <c r="D242" s="3" t="str">
        <f aca="false">Original_Dataset!D239</f>
        <v>Mall</v>
      </c>
      <c r="E242" s="3" t="n">
        <f aca="false">Original_Dataset!E239</f>
        <v>72961.95</v>
      </c>
      <c r="F242" s="3" t="n">
        <f aca="false">Original_Dataset!F239</f>
        <v>9996</v>
      </c>
      <c r="G242" s="3" t="n">
        <f aca="false">Original_Dataset!G239</f>
        <v>0.106</v>
      </c>
      <c r="H242" s="3" t="n">
        <f aca="false">Original_Dataset!H239</f>
        <v>22</v>
      </c>
      <c r="I242" s="3" t="n">
        <f aca="false">Original_Dataset!I239</f>
        <v>89.1</v>
      </c>
      <c r="J242" s="3" t="n">
        <f aca="false">IF(ISBLANK(Original_Dataset!J239),$Q$3,Original_Dataset!J239)</f>
        <v>15.66</v>
      </c>
      <c r="K242" s="3" t="n">
        <f aca="false">Original_Dataset!K239</f>
        <v>0</v>
      </c>
      <c r="L242" s="3" t="n">
        <f aca="false">IF(ISBLANK(Original_Dataset!L239),$Q$4,Original_Dataset!L239)</f>
        <v>3.4</v>
      </c>
      <c r="M242" s="3" t="n">
        <f aca="false">Original_Dataset!M239</f>
        <v>810355.02</v>
      </c>
      <c r="N242" s="3" t="n">
        <f aca="false">Original_Dataset!N239</f>
        <v>131510</v>
      </c>
    </row>
    <row r="243" customFormat="false" ht="15" hidden="false" customHeight="true" outlineLevel="0" collapsed="false">
      <c r="A243" s="3" t="str">
        <f aca="false">Original_Dataset!A240</f>
        <v>STR-1060</v>
      </c>
      <c r="B243" s="4" t="n">
        <f aca="false">Original_Dataset!B240</f>
        <v>45717</v>
      </c>
      <c r="C243" s="3" t="str">
        <f aca="false">Original_Dataset!C240</f>
        <v>West</v>
      </c>
      <c r="D243" s="3" t="str">
        <f aca="false">Original_Dataset!D240</f>
        <v>Mall</v>
      </c>
      <c r="E243" s="3" t="n">
        <f aca="false">Original_Dataset!E240</f>
        <v>59060.05</v>
      </c>
      <c r="F243" s="3" t="n">
        <f aca="false">Original_Dataset!F240</f>
        <v>9702</v>
      </c>
      <c r="G243" s="3" t="n">
        <f aca="false">Original_Dataset!G240</f>
        <v>0.201</v>
      </c>
      <c r="H243" s="3" t="n">
        <f aca="false">Original_Dataset!H240</f>
        <v>23</v>
      </c>
      <c r="I243" s="3" t="n">
        <f aca="false">Original_Dataset!I240</f>
        <v>80.9</v>
      </c>
      <c r="J243" s="3" t="n">
        <f aca="false">IF(ISBLANK(Original_Dataset!J240),$Q$3,Original_Dataset!J240)</f>
        <v>6.96</v>
      </c>
      <c r="K243" s="3" t="n">
        <f aca="false">Original_Dataset!K240</f>
        <v>0</v>
      </c>
      <c r="L243" s="3" t="n">
        <f aca="false">IF(ISBLANK(Original_Dataset!L240),$Q$4,Original_Dataset!L240)</f>
        <v>3.2</v>
      </c>
      <c r="M243" s="3" t="n">
        <f aca="false">Original_Dataset!M240</f>
        <v>761919.25</v>
      </c>
      <c r="N243" s="3" t="n">
        <f aca="false">Original_Dataset!N240</f>
        <v>111893.06</v>
      </c>
    </row>
    <row r="244" customFormat="false" ht="15" hidden="false" customHeight="true" outlineLevel="0" collapsed="false">
      <c r="A244" s="3" t="str">
        <f aca="false">Original_Dataset!A241</f>
        <v>STR-1060</v>
      </c>
      <c r="B244" s="4" t="n">
        <f aca="false">Original_Dataset!B241</f>
        <v>45748</v>
      </c>
      <c r="C244" s="3" t="str">
        <f aca="false">Original_Dataset!C241</f>
        <v>West</v>
      </c>
      <c r="D244" s="3" t="str">
        <f aca="false">Original_Dataset!D241</f>
        <v>Mall</v>
      </c>
      <c r="E244" s="3" t="n">
        <f aca="false">Original_Dataset!E241</f>
        <v>26248.1</v>
      </c>
      <c r="F244" s="3" t="n">
        <f aca="false">Original_Dataset!F241</f>
        <v>9314</v>
      </c>
      <c r="G244" s="3" t="n">
        <f aca="false">Original_Dataset!G241</f>
        <v>0.186</v>
      </c>
      <c r="H244" s="3" t="n">
        <f aca="false">Original_Dataset!H241</f>
        <v>21</v>
      </c>
      <c r="I244" s="3" t="n">
        <f aca="false">Original_Dataset!I241</f>
        <v>83.7</v>
      </c>
      <c r="J244" s="3" t="n">
        <f aca="false">IF(ISBLANK(Original_Dataset!J241),$Q$3,Original_Dataset!J241)</f>
        <v>4.62</v>
      </c>
      <c r="K244" s="3" t="n">
        <f aca="false">Original_Dataset!K241</f>
        <v>0</v>
      </c>
      <c r="L244" s="3" t="n">
        <f aca="false">IF(ISBLANK(Original_Dataset!L241),$Q$4,Original_Dataset!L241)</f>
        <v>3.3</v>
      </c>
      <c r="M244" s="3" t="n">
        <f aca="false">Original_Dataset!M241</f>
        <v>737070.18</v>
      </c>
      <c r="N244" s="3" t="n">
        <f aca="false">Original_Dataset!N241</f>
        <v>117593.97</v>
      </c>
    </row>
    <row r="245" customFormat="false" ht="15" hidden="false" customHeight="true" outlineLevel="0" collapsed="false">
      <c r="A245" s="3" t="str">
        <f aca="false">Original_Dataset!A242</f>
        <v>STR-1061</v>
      </c>
      <c r="B245" s="4" t="n">
        <f aca="false">Original_Dataset!B242</f>
        <v>45658</v>
      </c>
      <c r="C245" s="3" t="str">
        <f aca="false">Original_Dataset!C242</f>
        <v>South</v>
      </c>
      <c r="D245" s="3" t="str">
        <f aca="false">Original_Dataset!D242</f>
        <v>Airport</v>
      </c>
      <c r="E245" s="3" t="n">
        <f aca="false">Original_Dataset!E242</f>
        <v>69900.12</v>
      </c>
      <c r="F245" s="3" t="n">
        <f aca="false">Original_Dataset!F242</f>
        <v>8055</v>
      </c>
      <c r="G245" s="3" t="n">
        <f aca="false">Original_Dataset!G242</f>
        <v>0.281</v>
      </c>
      <c r="H245" s="3" t="n">
        <f aca="false">Original_Dataset!H242</f>
        <v>22</v>
      </c>
      <c r="I245" s="3" t="n">
        <f aca="false">Original_Dataset!I242</f>
        <v>85.6</v>
      </c>
      <c r="J245" s="3" t="n">
        <f aca="false">IF(ISBLANK(Original_Dataset!J242),$Q$3,Original_Dataset!J242)</f>
        <v>10.68</v>
      </c>
      <c r="K245" s="3" t="n">
        <f aca="false">Original_Dataset!K242</f>
        <v>1</v>
      </c>
      <c r="L245" s="3" t="n">
        <f aca="false">IF(ISBLANK(Original_Dataset!L242),$Q$4,Original_Dataset!L242)</f>
        <v>2.9</v>
      </c>
      <c r="M245" s="3" t="n">
        <f aca="false">Original_Dataset!M242</f>
        <v>776992.93</v>
      </c>
      <c r="N245" s="3" t="n">
        <f aca="false">Original_Dataset!N242</f>
        <v>101598.32</v>
      </c>
    </row>
    <row r="246" customFormat="false" ht="15" hidden="false" customHeight="true" outlineLevel="0" collapsed="false">
      <c r="A246" s="3" t="str">
        <f aca="false">Original_Dataset!A243</f>
        <v>STR-1061</v>
      </c>
      <c r="B246" s="4" t="n">
        <f aca="false">Original_Dataset!B243</f>
        <v>45689</v>
      </c>
      <c r="C246" s="3" t="str">
        <f aca="false">Original_Dataset!C243</f>
        <v>South</v>
      </c>
      <c r="D246" s="3" t="str">
        <f aca="false">Original_Dataset!D243</f>
        <v>Airport</v>
      </c>
      <c r="E246" s="3" t="n">
        <f aca="false">Original_Dataset!E243</f>
        <v>51781.6</v>
      </c>
      <c r="F246" s="3" t="n">
        <f aca="false">Original_Dataset!F243</f>
        <v>5648</v>
      </c>
      <c r="G246" s="3" t="n">
        <f aca="false">Original_Dataset!G243</f>
        <v>0.059</v>
      </c>
      <c r="H246" s="3" t="n">
        <f aca="false">Original_Dataset!H243</f>
        <v>13</v>
      </c>
      <c r="I246" s="3" t="n">
        <f aca="false">Original_Dataset!I243</f>
        <v>85.5</v>
      </c>
      <c r="J246" s="3" t="n">
        <f aca="false">IF(ISBLANK(Original_Dataset!J243),$Q$3,Original_Dataset!J243)</f>
        <v>4.04</v>
      </c>
      <c r="K246" s="3" t="n">
        <f aca="false">Original_Dataset!K243</f>
        <v>0</v>
      </c>
      <c r="L246" s="3" t="n">
        <f aca="false">IF(ISBLANK(Original_Dataset!L243),$Q$4,Original_Dataset!L243)</f>
        <v>3.7</v>
      </c>
      <c r="M246" s="3" t="n">
        <f aca="false">Original_Dataset!M243</f>
        <v>676337.41</v>
      </c>
      <c r="N246" s="3" t="n">
        <f aca="false">Original_Dataset!N243</f>
        <v>104355.77</v>
      </c>
    </row>
    <row r="247" customFormat="false" ht="15" hidden="false" customHeight="true" outlineLevel="0" collapsed="false">
      <c r="A247" s="3" t="str">
        <f aca="false">Original_Dataset!A244</f>
        <v>STR-1061</v>
      </c>
      <c r="B247" s="4" t="n">
        <f aca="false">Original_Dataset!B244</f>
        <v>45717</v>
      </c>
      <c r="C247" s="3" t="str">
        <f aca="false">Original_Dataset!C244</f>
        <v>South</v>
      </c>
      <c r="D247" s="3" t="str">
        <f aca="false">Original_Dataset!D244</f>
        <v>Airport</v>
      </c>
      <c r="E247" s="3" t="n">
        <f aca="false">Original_Dataset!E244</f>
        <v>70799.64</v>
      </c>
      <c r="F247" s="3" t="n">
        <f aca="false">Original_Dataset!F244</f>
        <v>10076</v>
      </c>
      <c r="G247" s="3" t="n">
        <f aca="false">Original_Dataset!G244</f>
        <v>0.152</v>
      </c>
      <c r="H247" s="3" t="n">
        <f aca="false">Original_Dataset!H244</f>
        <v>24</v>
      </c>
      <c r="I247" s="3" t="n">
        <f aca="false">Original_Dataset!I244</f>
        <v>84.8</v>
      </c>
      <c r="J247" s="3" t="n">
        <f aca="false">IF(ISBLANK(Original_Dataset!J244),$Q$3,Original_Dataset!J244)</f>
        <v>1.87</v>
      </c>
      <c r="K247" s="3" t="n">
        <f aca="false">Original_Dataset!K244</f>
        <v>0</v>
      </c>
      <c r="L247" s="3" t="n">
        <f aca="false">IF(ISBLANK(Original_Dataset!L244),$Q$4,Original_Dataset!L244)</f>
        <v>3.5</v>
      </c>
      <c r="M247" s="3" t="n">
        <f aca="false">Original_Dataset!M244</f>
        <v>828219.67</v>
      </c>
      <c r="N247" s="3" t="n">
        <f aca="false">Original_Dataset!N244</f>
        <v>179806.87</v>
      </c>
    </row>
    <row r="248" customFormat="false" ht="15" hidden="false" customHeight="true" outlineLevel="0" collapsed="false">
      <c r="A248" s="3" t="str">
        <f aca="false">Original_Dataset!A245</f>
        <v>STR-1061</v>
      </c>
      <c r="B248" s="4" t="n">
        <f aca="false">Original_Dataset!B245</f>
        <v>45748</v>
      </c>
      <c r="C248" s="3" t="str">
        <f aca="false">Original_Dataset!C245</f>
        <v>South</v>
      </c>
      <c r="D248" s="3" t="str">
        <f aca="false">Original_Dataset!D245</f>
        <v>Airport</v>
      </c>
      <c r="E248" s="3" t="n">
        <f aca="false">Original_Dataset!E245</f>
        <v>53546.34</v>
      </c>
      <c r="F248" s="3" t="n">
        <f aca="false">Original_Dataset!F245</f>
        <v>8004</v>
      </c>
      <c r="G248" s="3" t="n">
        <f aca="false">Original_Dataset!G245</f>
        <v>0</v>
      </c>
      <c r="H248" s="3" t="n">
        <f aca="false">Original_Dataset!H245</f>
        <v>21</v>
      </c>
      <c r="I248" s="3" t="n">
        <f aca="false">Original_Dataset!I245</f>
        <v>95.2</v>
      </c>
      <c r="J248" s="3" t="n">
        <f aca="false">IF(ISBLANK(Original_Dataset!J245),$Q$3,Original_Dataset!J245)</f>
        <v>2.83</v>
      </c>
      <c r="K248" s="3" t="n">
        <f aca="false">Original_Dataset!K245</f>
        <v>0</v>
      </c>
      <c r="L248" s="3" t="n">
        <f aca="false">IF(ISBLANK(Original_Dataset!L245),$Q$4,Original_Dataset!L245)</f>
        <v>3</v>
      </c>
      <c r="M248" s="3" t="n">
        <f aca="false">Original_Dataset!M245</f>
        <v>763159.92</v>
      </c>
      <c r="N248" s="3" t="n">
        <f aca="false">Original_Dataset!N245</f>
        <v>177104.87</v>
      </c>
    </row>
    <row r="249" customFormat="false" ht="15" hidden="false" customHeight="true" outlineLevel="0" collapsed="false">
      <c r="A249" s="3" t="str">
        <f aca="false">Original_Dataset!A246</f>
        <v>STR-1062</v>
      </c>
      <c r="B249" s="4" t="n">
        <f aca="false">Original_Dataset!B246</f>
        <v>45658</v>
      </c>
      <c r="C249" s="3" t="str">
        <f aca="false">Original_Dataset!C246</f>
        <v>East</v>
      </c>
      <c r="D249" s="3" t="str">
        <f aca="false">Original_Dataset!D246</f>
        <v>High Street</v>
      </c>
      <c r="E249" s="3" t="n">
        <f aca="false">Original_Dataset!E246</f>
        <v>76942.2</v>
      </c>
      <c r="F249" s="3" t="n">
        <f aca="false">Original_Dataset!F246</f>
        <v>8934</v>
      </c>
      <c r="G249" s="3" t="n">
        <f aca="false">Original_Dataset!G246</f>
        <v>0.084</v>
      </c>
      <c r="H249" s="3" t="n">
        <f aca="false">Original_Dataset!H246</f>
        <v>20</v>
      </c>
      <c r="I249" s="3" t="n">
        <f aca="false">Original_Dataset!I246</f>
        <v>91</v>
      </c>
      <c r="J249" s="3" t="n">
        <f aca="false">IF(ISBLANK(Original_Dataset!J246),$Q$3,Original_Dataset!J246)</f>
        <v>0.95</v>
      </c>
      <c r="K249" s="3" t="n">
        <f aca="false">Original_Dataset!K246</f>
        <v>0</v>
      </c>
      <c r="L249" s="3" t="n">
        <f aca="false">IF(ISBLANK(Original_Dataset!L246),$Q$4,Original_Dataset!L246)</f>
        <v>3.2</v>
      </c>
      <c r="M249" s="3" t="n">
        <f aca="false">Original_Dataset!M246</f>
        <v>802001.68</v>
      </c>
      <c r="N249" s="3" t="n">
        <f aca="false">Original_Dataset!N246</f>
        <v>159715.82</v>
      </c>
    </row>
    <row r="250" customFormat="false" ht="15" hidden="false" customHeight="true" outlineLevel="0" collapsed="false">
      <c r="A250" s="3" t="str">
        <f aca="false">Original_Dataset!A247</f>
        <v>STR-1062</v>
      </c>
      <c r="B250" s="4" t="n">
        <f aca="false">Original_Dataset!B247</f>
        <v>45689</v>
      </c>
      <c r="C250" s="3" t="str">
        <f aca="false">Original_Dataset!C247</f>
        <v>East</v>
      </c>
      <c r="D250" s="3" t="str">
        <f aca="false">Original_Dataset!D247</f>
        <v>High Street</v>
      </c>
      <c r="E250" s="3" t="n">
        <f aca="false">Original_Dataset!E247</f>
        <v>48060.78</v>
      </c>
      <c r="F250" s="3" t="n">
        <f aca="false">Original_Dataset!F247</f>
        <v>8733</v>
      </c>
      <c r="G250" s="3" t="n">
        <f aca="false">Original_Dataset!G247</f>
        <v>0</v>
      </c>
      <c r="H250" s="3" t="n">
        <f aca="false">Original_Dataset!H247</f>
        <v>20</v>
      </c>
      <c r="I250" s="3" t="n">
        <f aca="false">Original_Dataset!I247</f>
        <v>89.9</v>
      </c>
      <c r="J250" s="3" t="n">
        <f aca="false">IF(ISBLANK(Original_Dataset!J247),$Q$3,Original_Dataset!J247)</f>
        <v>0.8</v>
      </c>
      <c r="K250" s="3" t="n">
        <f aca="false">Original_Dataset!K247</f>
        <v>0</v>
      </c>
      <c r="L250" s="3" t="n">
        <f aca="false">IF(ISBLANK(Original_Dataset!L247),$Q$4,Original_Dataset!L247)</f>
        <v>3.4</v>
      </c>
      <c r="M250" s="3" t="n">
        <f aca="false">Original_Dataset!M247</f>
        <v>750471.34</v>
      </c>
      <c r="N250" s="3" t="n">
        <f aca="false">Original_Dataset!N247</f>
        <v>133788.04</v>
      </c>
    </row>
    <row r="251" customFormat="false" ht="15" hidden="false" customHeight="true" outlineLevel="0" collapsed="false">
      <c r="A251" s="3" t="str">
        <f aca="false">Original_Dataset!A248</f>
        <v>STR-1062</v>
      </c>
      <c r="B251" s="4" t="n">
        <f aca="false">Original_Dataset!B248</f>
        <v>45717</v>
      </c>
      <c r="C251" s="3" t="str">
        <f aca="false">Original_Dataset!C248</f>
        <v>East</v>
      </c>
      <c r="D251" s="3" t="str">
        <f aca="false">Original_Dataset!D248</f>
        <v>High Street</v>
      </c>
      <c r="E251" s="3" t="n">
        <f aca="false">Original_Dataset!E248</f>
        <v>57390.04</v>
      </c>
      <c r="F251" s="3" t="n">
        <f aca="false">Original_Dataset!F248</f>
        <v>7374</v>
      </c>
      <c r="G251" s="3" t="n">
        <f aca="false">Original_Dataset!G248</f>
        <v>0.21</v>
      </c>
      <c r="H251" s="3" t="n">
        <f aca="false">Original_Dataset!H248</f>
        <v>21</v>
      </c>
      <c r="I251" s="3" t="n">
        <f aca="false">Original_Dataset!I248</f>
        <v>91.8</v>
      </c>
      <c r="J251" s="3" t="n">
        <f aca="false">IF(ISBLANK(Original_Dataset!J248),$Q$3,Original_Dataset!J248)</f>
        <v>0.2</v>
      </c>
      <c r="K251" s="3" t="n">
        <f aca="false">Original_Dataset!K248</f>
        <v>0</v>
      </c>
      <c r="L251" s="3" t="n">
        <f aca="false">IF(ISBLANK(Original_Dataset!L248),$Q$4,Original_Dataset!L248)</f>
        <v>3.1</v>
      </c>
      <c r="M251" s="3" t="n">
        <f aca="false">Original_Dataset!M248</f>
        <v>679230.86</v>
      </c>
      <c r="N251" s="3" t="n">
        <f aca="false">Original_Dataset!N248</f>
        <v>106927.58</v>
      </c>
    </row>
    <row r="252" customFormat="false" ht="15" hidden="false" customHeight="true" outlineLevel="0" collapsed="false">
      <c r="A252" s="3" t="str">
        <f aca="false">Original_Dataset!A249</f>
        <v>STR-1062</v>
      </c>
      <c r="B252" s="4" t="n">
        <f aca="false">Original_Dataset!B249</f>
        <v>45748</v>
      </c>
      <c r="C252" s="3" t="str">
        <f aca="false">Original_Dataset!C249</f>
        <v>East</v>
      </c>
      <c r="D252" s="3" t="str">
        <f aca="false">Original_Dataset!D249</f>
        <v>High Street</v>
      </c>
      <c r="E252" s="3" t="n">
        <f aca="false">Original_Dataset!E249</f>
        <v>21536.18</v>
      </c>
      <c r="F252" s="3" t="n">
        <f aca="false">Original_Dataset!F249</f>
        <v>8119</v>
      </c>
      <c r="G252" s="3" t="n">
        <f aca="false">Original_Dataset!G249</f>
        <v>0.227</v>
      </c>
      <c r="H252" s="3" t="n">
        <f aca="false">Original_Dataset!H249</f>
        <v>20</v>
      </c>
      <c r="I252" s="3" t="n">
        <f aca="false">Original_Dataset!I249</f>
        <v>90.4</v>
      </c>
      <c r="J252" s="3" t="n">
        <f aca="false">IF(ISBLANK(Original_Dataset!J249),$Q$3,Original_Dataset!J249)</f>
        <v>1.7</v>
      </c>
      <c r="K252" s="3" t="n">
        <f aca="false">Original_Dataset!K249</f>
        <v>0</v>
      </c>
      <c r="L252" s="3" t="n">
        <f aca="false">IF(ISBLANK(Original_Dataset!L249),$Q$4,Original_Dataset!L249)</f>
        <v>3.3</v>
      </c>
      <c r="M252" s="3" t="n">
        <f aca="false">Original_Dataset!M249</f>
        <v>679888.74</v>
      </c>
      <c r="N252" s="3" t="n">
        <f aca="false">Original_Dataset!N249</f>
        <v>83406.89</v>
      </c>
    </row>
    <row r="253" customFormat="false" ht="15" hidden="false" customHeight="true" outlineLevel="0" collapsed="false">
      <c r="A253" s="3" t="str">
        <f aca="false">Original_Dataset!A250</f>
        <v>STR-1063</v>
      </c>
      <c r="B253" s="4" t="n">
        <f aca="false">Original_Dataset!B250</f>
        <v>45658</v>
      </c>
      <c r="C253" s="3" t="str">
        <f aca="false">Original_Dataset!C250</f>
        <v>North</v>
      </c>
      <c r="D253" s="3" t="str">
        <f aca="false">Original_Dataset!D250</f>
        <v>High Street</v>
      </c>
      <c r="E253" s="3" t="n">
        <f aca="false">Original_Dataset!E250</f>
        <v>40923.67</v>
      </c>
      <c r="F253" s="3" t="n">
        <f aca="false">Original_Dataset!F250</f>
        <v>3875</v>
      </c>
      <c r="G253" s="3" t="n">
        <f aca="false">Original_Dataset!G250</f>
        <v>0.15</v>
      </c>
      <c r="H253" s="3" t="n">
        <f aca="false">Original_Dataset!H250</f>
        <v>10</v>
      </c>
      <c r="I253" s="3" t="n">
        <f aca="false">Original_Dataset!I250</f>
        <v>96.1</v>
      </c>
      <c r="J253" s="3" t="n">
        <f aca="false">IF(ISBLANK(Original_Dataset!J250),$Q$3,Original_Dataset!J250)</f>
        <v>3.365</v>
      </c>
      <c r="K253" s="3" t="n">
        <f aca="false">Original_Dataset!K250</f>
        <v>0</v>
      </c>
      <c r="L253" s="3" t="n">
        <f aca="false">IF(ISBLANK(Original_Dataset!L250),$Q$4,Original_Dataset!L250)</f>
        <v>3.8</v>
      </c>
      <c r="M253" s="3" t="n">
        <f aca="false">Original_Dataset!M250</f>
        <v>606783.67</v>
      </c>
      <c r="N253" s="3" t="n">
        <f aca="false">Original_Dataset!N250</f>
        <v>74515.87</v>
      </c>
    </row>
    <row r="254" customFormat="false" ht="15" hidden="false" customHeight="true" outlineLevel="0" collapsed="false">
      <c r="A254" s="3" t="str">
        <f aca="false">Original_Dataset!A251</f>
        <v>STR-1063</v>
      </c>
      <c r="B254" s="4" t="n">
        <f aca="false">Original_Dataset!B251</f>
        <v>45689</v>
      </c>
      <c r="C254" s="3" t="str">
        <f aca="false">Original_Dataset!C251</f>
        <v>North</v>
      </c>
      <c r="D254" s="3" t="str">
        <f aca="false">Original_Dataset!D251</f>
        <v>High Street</v>
      </c>
      <c r="E254" s="3" t="n">
        <f aca="false">Original_Dataset!E251</f>
        <v>72932.55</v>
      </c>
      <c r="F254" s="3" t="n">
        <f aca="false">Original_Dataset!F251</f>
        <v>5765</v>
      </c>
      <c r="G254" s="3" t="n">
        <f aca="false">Original_Dataset!G251</f>
        <v>0.026</v>
      </c>
      <c r="H254" s="3" t="n">
        <f aca="false">Original_Dataset!H251</f>
        <v>17</v>
      </c>
      <c r="I254" s="3" t="n">
        <f aca="false">Original_Dataset!I251</f>
        <v>81.8</v>
      </c>
      <c r="J254" s="3" t="n">
        <f aca="false">IF(ISBLANK(Original_Dataset!J251),$Q$3,Original_Dataset!J251)</f>
        <v>5.1</v>
      </c>
      <c r="K254" s="3" t="n">
        <f aca="false">Original_Dataset!K251</f>
        <v>0</v>
      </c>
      <c r="L254" s="3" t="n">
        <f aca="false">IF(ISBLANK(Original_Dataset!L251),$Q$4,Original_Dataset!L251)</f>
        <v>3.6</v>
      </c>
      <c r="M254" s="3" t="n">
        <f aca="false">Original_Dataset!M251</f>
        <v>642751.42</v>
      </c>
      <c r="N254" s="3" t="n">
        <f aca="false">Original_Dataset!N251</f>
        <v>131942.15</v>
      </c>
    </row>
    <row r="255" customFormat="false" ht="15" hidden="false" customHeight="true" outlineLevel="0" collapsed="false">
      <c r="A255" s="3" t="str">
        <f aca="false">Original_Dataset!A252</f>
        <v>STR-1063</v>
      </c>
      <c r="B255" s="4" t="n">
        <f aca="false">Original_Dataset!B252</f>
        <v>45717</v>
      </c>
      <c r="C255" s="3" t="str">
        <f aca="false">Original_Dataset!C252</f>
        <v>North</v>
      </c>
      <c r="D255" s="3" t="str">
        <f aca="false">Original_Dataset!D252</f>
        <v>High Street</v>
      </c>
      <c r="E255" s="3" t="n">
        <f aca="false">Original_Dataset!E252</f>
        <v>38361.93</v>
      </c>
      <c r="F255" s="3" t="n">
        <f aca="false">Original_Dataset!F252</f>
        <v>6322</v>
      </c>
      <c r="G255" s="3" t="n">
        <f aca="false">Original_Dataset!G252</f>
        <v>0.273</v>
      </c>
      <c r="H255" s="3" t="n">
        <f aca="false">Original_Dataset!H252</f>
        <v>15</v>
      </c>
      <c r="I255" s="3" t="n">
        <f aca="false">Original_Dataset!I252</f>
        <v>88.4</v>
      </c>
      <c r="J255" s="3" t="n">
        <f aca="false">IF(ISBLANK(Original_Dataset!J252),$Q$3,Original_Dataset!J252)</f>
        <v>0.83</v>
      </c>
      <c r="K255" s="3" t="n">
        <f aca="false">Original_Dataset!K252</f>
        <v>0</v>
      </c>
      <c r="L255" s="3" t="n">
        <f aca="false">IF(ISBLANK(Original_Dataset!L252),$Q$4,Original_Dataset!L252)</f>
        <v>4</v>
      </c>
      <c r="M255" s="3" t="n">
        <f aca="false">Original_Dataset!M252</f>
        <v>647953.78</v>
      </c>
      <c r="N255" s="3" t="n">
        <f aca="false">Original_Dataset!N252</f>
        <v>118497.43</v>
      </c>
    </row>
    <row r="256" customFormat="false" ht="15" hidden="false" customHeight="true" outlineLevel="0" collapsed="false">
      <c r="A256" s="3" t="str">
        <f aca="false">Original_Dataset!A253</f>
        <v>STR-1063</v>
      </c>
      <c r="B256" s="4" t="n">
        <f aca="false">Original_Dataset!B253</f>
        <v>45748</v>
      </c>
      <c r="C256" s="3" t="str">
        <f aca="false">Original_Dataset!C253</f>
        <v>North</v>
      </c>
      <c r="D256" s="3" t="str">
        <f aca="false">Original_Dataset!D253</f>
        <v>High Street</v>
      </c>
      <c r="E256" s="3" t="n">
        <f aca="false">Original_Dataset!E253</f>
        <v>97480.94</v>
      </c>
      <c r="F256" s="3" t="n">
        <f aca="false">Original_Dataset!F253</f>
        <v>6840</v>
      </c>
      <c r="G256" s="3" t="n">
        <f aca="false">Original_Dataset!G253</f>
        <v>0.087</v>
      </c>
      <c r="H256" s="3" t="n">
        <f aca="false">Original_Dataset!H253</f>
        <v>14</v>
      </c>
      <c r="I256" s="3" t="n">
        <f aca="false">Original_Dataset!I253</f>
        <v>79.2</v>
      </c>
      <c r="J256" s="3" t="n">
        <f aca="false">IF(ISBLANK(Original_Dataset!J253),$Q$3,Original_Dataset!J253)</f>
        <v>1.14</v>
      </c>
      <c r="K256" s="3" t="n">
        <f aca="false">Original_Dataset!K253</f>
        <v>0</v>
      </c>
      <c r="L256" s="3" t="n">
        <f aca="false">IF(ISBLANK(Original_Dataset!L253),$Q$4,Original_Dataset!L253)</f>
        <v>4</v>
      </c>
      <c r="M256" s="3" t="n">
        <f aca="false">Original_Dataset!M253</f>
        <v>729440.45</v>
      </c>
      <c r="N256" s="3" t="n">
        <f aca="false">Original_Dataset!N253</f>
        <v>87614.29</v>
      </c>
    </row>
    <row r="257" customFormat="false" ht="15" hidden="false" customHeight="true" outlineLevel="0" collapsed="false">
      <c r="A257" s="3" t="str">
        <f aca="false">Original_Dataset!A254</f>
        <v>STR-1064</v>
      </c>
      <c r="B257" s="4" t="n">
        <f aca="false">Original_Dataset!B254</f>
        <v>45658</v>
      </c>
      <c r="C257" s="3" t="str">
        <f aca="false">Original_Dataset!C254</f>
        <v>South</v>
      </c>
      <c r="D257" s="3" t="str">
        <f aca="false">Original_Dataset!D254</f>
        <v>Airport</v>
      </c>
      <c r="E257" s="3" t="n">
        <f aca="false">Original_Dataset!E254</f>
        <v>81801.8</v>
      </c>
      <c r="F257" s="3" t="n">
        <f aca="false">Original_Dataset!F254</f>
        <v>6782</v>
      </c>
      <c r="G257" s="3" t="n">
        <f aca="false">Original_Dataset!G254</f>
        <v>0.05</v>
      </c>
      <c r="H257" s="3" t="n">
        <f aca="false">Original_Dataset!H254</f>
        <v>16</v>
      </c>
      <c r="I257" s="3" t="n">
        <f aca="false">Original_Dataset!I254</f>
        <v>99</v>
      </c>
      <c r="J257" s="3" t="n">
        <f aca="false">IF(ISBLANK(Original_Dataset!J254),$Q$3,Original_Dataset!J254)</f>
        <v>9.54</v>
      </c>
      <c r="K257" s="3" t="n">
        <f aca="false">Original_Dataset!K254</f>
        <v>0</v>
      </c>
      <c r="L257" s="3" t="n">
        <f aca="false">IF(ISBLANK(Original_Dataset!L254),$Q$4,Original_Dataset!L254)</f>
        <v>3.7</v>
      </c>
      <c r="M257" s="3" t="n">
        <f aca="false">Original_Dataset!M254</f>
        <v>764949</v>
      </c>
      <c r="N257" s="3" t="n">
        <f aca="false">Original_Dataset!N254</f>
        <v>148322.43</v>
      </c>
    </row>
    <row r="258" customFormat="false" ht="15" hidden="false" customHeight="true" outlineLevel="0" collapsed="false">
      <c r="A258" s="3" t="str">
        <f aca="false">Original_Dataset!A255</f>
        <v>STR-1064</v>
      </c>
      <c r="B258" s="4" t="n">
        <f aca="false">Original_Dataset!B255</f>
        <v>45689</v>
      </c>
      <c r="C258" s="3" t="str">
        <f aca="false">Original_Dataset!C255</f>
        <v>South</v>
      </c>
      <c r="D258" s="3" t="str">
        <f aca="false">Original_Dataset!D255</f>
        <v>Airport</v>
      </c>
      <c r="E258" s="3" t="n">
        <f aca="false">Original_Dataset!E255</f>
        <v>63582.11</v>
      </c>
      <c r="F258" s="3" t="n">
        <f aca="false">Original_Dataset!F255</f>
        <v>6856</v>
      </c>
      <c r="G258" s="3" t="n">
        <f aca="false">Original_Dataset!G255</f>
        <v>0.074</v>
      </c>
      <c r="H258" s="3" t="n">
        <f aca="false">Original_Dataset!H255</f>
        <v>17</v>
      </c>
      <c r="I258" s="3" t="n">
        <f aca="false">Original_Dataset!I255</f>
        <v>89.5</v>
      </c>
      <c r="J258" s="3" t="n">
        <f aca="false">IF(ISBLANK(Original_Dataset!J255),$Q$3,Original_Dataset!J255)</f>
        <v>5.48</v>
      </c>
      <c r="K258" s="3" t="n">
        <f aca="false">Original_Dataset!K255</f>
        <v>0</v>
      </c>
      <c r="L258" s="3" t="n">
        <f aca="false">IF(ISBLANK(Original_Dataset!L255),$Q$4,Original_Dataset!L255)</f>
        <v>3.2</v>
      </c>
      <c r="M258" s="3" t="n">
        <f aca="false">Original_Dataset!M255</f>
        <v>799046.94</v>
      </c>
      <c r="N258" s="3" t="n">
        <f aca="false">Original_Dataset!N255</f>
        <v>144553.64</v>
      </c>
    </row>
    <row r="259" customFormat="false" ht="15" hidden="false" customHeight="true" outlineLevel="0" collapsed="false">
      <c r="A259" s="3" t="str">
        <f aca="false">Original_Dataset!A256</f>
        <v>STR-1064</v>
      </c>
      <c r="B259" s="4" t="n">
        <f aca="false">Original_Dataset!B256</f>
        <v>45717</v>
      </c>
      <c r="C259" s="3" t="str">
        <f aca="false">Original_Dataset!C256</f>
        <v>South</v>
      </c>
      <c r="D259" s="3" t="str">
        <f aca="false">Original_Dataset!D256</f>
        <v>Airport</v>
      </c>
      <c r="E259" s="3" t="n">
        <f aca="false">Original_Dataset!E256</f>
        <v>75412.74</v>
      </c>
      <c r="F259" s="3" t="n">
        <f aca="false">Original_Dataset!F256</f>
        <v>5641</v>
      </c>
      <c r="G259" s="3" t="n">
        <f aca="false">Original_Dataset!G256</f>
        <v>0.059</v>
      </c>
      <c r="H259" s="3" t="n">
        <f aca="false">Original_Dataset!H256</f>
        <v>13</v>
      </c>
      <c r="I259" s="3" t="n">
        <f aca="false">Original_Dataset!I256</f>
        <v>87.9</v>
      </c>
      <c r="J259" s="3" t="n">
        <f aca="false">IF(ISBLANK(Original_Dataset!J256),$Q$3,Original_Dataset!J256)</f>
        <v>0.84</v>
      </c>
      <c r="K259" s="3" t="n">
        <f aca="false">Original_Dataset!K256</f>
        <v>0</v>
      </c>
      <c r="L259" s="3" t="n">
        <f aca="false">IF(ISBLANK(Original_Dataset!L256),$Q$4,Original_Dataset!L256)</f>
        <v>3.6</v>
      </c>
      <c r="M259" s="3" t="n">
        <f aca="false">Original_Dataset!M256</f>
        <v>720079.54</v>
      </c>
      <c r="N259" s="3" t="n">
        <f aca="false">Original_Dataset!N256</f>
        <v>119499.47</v>
      </c>
    </row>
    <row r="260" customFormat="false" ht="15" hidden="false" customHeight="true" outlineLevel="0" collapsed="false">
      <c r="A260" s="3" t="str">
        <f aca="false">Original_Dataset!A257</f>
        <v>STR-1064</v>
      </c>
      <c r="B260" s="4" t="n">
        <f aca="false">Original_Dataset!B257</f>
        <v>45748</v>
      </c>
      <c r="C260" s="3" t="str">
        <f aca="false">Original_Dataset!C257</f>
        <v>South</v>
      </c>
      <c r="D260" s="3" t="str">
        <f aca="false">Original_Dataset!D257</f>
        <v>Airport</v>
      </c>
      <c r="E260" s="3" t="n">
        <f aca="false">Original_Dataset!E257</f>
        <v>36290.08</v>
      </c>
      <c r="F260" s="3" t="n">
        <f aca="false">Original_Dataset!F257</f>
        <v>5787</v>
      </c>
      <c r="G260" s="3" t="n">
        <f aca="false">Original_Dataset!G257</f>
        <v>0</v>
      </c>
      <c r="H260" s="3" t="n">
        <f aca="false">Original_Dataset!H257</f>
        <v>17</v>
      </c>
      <c r="I260" s="3" t="n">
        <f aca="false">Original_Dataset!I257</f>
        <v>88.3</v>
      </c>
      <c r="J260" s="3" t="n">
        <f aca="false">IF(ISBLANK(Original_Dataset!J257),$Q$3,Original_Dataset!J257)</f>
        <v>4.19</v>
      </c>
      <c r="K260" s="3" t="n">
        <f aca="false">Original_Dataset!K257</f>
        <v>0</v>
      </c>
      <c r="L260" s="3" t="n">
        <f aca="false">IF(ISBLANK(Original_Dataset!L257),$Q$4,Original_Dataset!L257)</f>
        <v>4.1</v>
      </c>
      <c r="M260" s="3" t="n">
        <f aca="false">Original_Dataset!M257</f>
        <v>612390.14</v>
      </c>
      <c r="N260" s="3" t="n">
        <f aca="false">Original_Dataset!N257</f>
        <v>108985.74</v>
      </c>
    </row>
    <row r="261" customFormat="false" ht="15" hidden="false" customHeight="true" outlineLevel="0" collapsed="false">
      <c r="A261" s="3" t="str">
        <f aca="false">Original_Dataset!A258</f>
        <v>STR-1065</v>
      </c>
      <c r="B261" s="4" t="n">
        <f aca="false">Original_Dataset!B258</f>
        <v>45658</v>
      </c>
      <c r="C261" s="3" t="str">
        <f aca="false">Original_Dataset!C258</f>
        <v>South</v>
      </c>
      <c r="D261" s="3" t="str">
        <f aca="false">Original_Dataset!D258</f>
        <v>Mall</v>
      </c>
      <c r="E261" s="3" t="n">
        <f aca="false">Original_Dataset!E258</f>
        <v>65272.58</v>
      </c>
      <c r="F261" s="3" t="n">
        <f aca="false">Original_Dataset!F258</f>
        <v>8165</v>
      </c>
      <c r="G261" s="3" t="n">
        <f aca="false">Original_Dataset!G258</f>
        <v>0.051</v>
      </c>
      <c r="H261" s="3" t="n">
        <f aca="false">Original_Dataset!H258</f>
        <v>19</v>
      </c>
      <c r="I261" s="3" t="n">
        <f aca="false">Original_Dataset!I258</f>
        <v>87.8</v>
      </c>
      <c r="J261" s="3" t="n">
        <f aca="false">IF(ISBLANK(Original_Dataset!J258),$Q$3,Original_Dataset!J258)</f>
        <v>1.26</v>
      </c>
      <c r="K261" s="3" t="n">
        <f aca="false">Original_Dataset!K258</f>
        <v>1</v>
      </c>
      <c r="L261" s="3" t="n">
        <f aca="false">IF(ISBLANK(Original_Dataset!L258),$Q$4,Original_Dataset!L258)</f>
        <v>4.3</v>
      </c>
      <c r="M261" s="3" t="n">
        <f aca="false">Original_Dataset!M258</f>
        <v>840108.12</v>
      </c>
      <c r="N261" s="3" t="n">
        <f aca="false">Original_Dataset!N258</f>
        <v>126587.01</v>
      </c>
    </row>
    <row r="262" customFormat="false" ht="15" hidden="false" customHeight="true" outlineLevel="0" collapsed="false">
      <c r="A262" s="3" t="str">
        <f aca="false">Original_Dataset!A259</f>
        <v>STR-1065</v>
      </c>
      <c r="B262" s="4" t="n">
        <f aca="false">Original_Dataset!B259</f>
        <v>45689</v>
      </c>
      <c r="C262" s="3" t="str">
        <f aca="false">Original_Dataset!C259</f>
        <v>South</v>
      </c>
      <c r="D262" s="3" t="str">
        <f aca="false">Original_Dataset!D259</f>
        <v>Mall</v>
      </c>
      <c r="E262" s="3" t="n">
        <f aca="false">Original_Dataset!E259</f>
        <v>28670.43</v>
      </c>
      <c r="F262" s="3" t="n">
        <f aca="false">Original_Dataset!F259</f>
        <v>7574</v>
      </c>
      <c r="G262" s="3" t="n">
        <f aca="false">Original_Dataset!G259</f>
        <v>0.114</v>
      </c>
      <c r="H262" s="3" t="n">
        <f aca="false">Original_Dataset!H259</f>
        <v>19</v>
      </c>
      <c r="I262" s="3" t="n">
        <f aca="false">Original_Dataset!I259</f>
        <v>82.7</v>
      </c>
      <c r="J262" s="3" t="n">
        <f aca="false">IF(ISBLANK(Original_Dataset!J259),$Q$3,Original_Dataset!J259)</f>
        <v>2.74</v>
      </c>
      <c r="K262" s="3" t="n">
        <f aca="false">Original_Dataset!K259</f>
        <v>0</v>
      </c>
      <c r="L262" s="3" t="n">
        <f aca="false">IF(ISBLANK(Original_Dataset!L259),$Q$4,Original_Dataset!L259)</f>
        <v>4.6</v>
      </c>
      <c r="M262" s="3" t="n">
        <f aca="false">Original_Dataset!M259</f>
        <v>697888.09</v>
      </c>
      <c r="N262" s="3" t="n">
        <f aca="false">Original_Dataset!N259</f>
        <v>116249.87</v>
      </c>
    </row>
    <row r="263" customFormat="false" ht="15" hidden="false" customHeight="true" outlineLevel="0" collapsed="false">
      <c r="A263" s="3" t="str">
        <f aca="false">Original_Dataset!A260</f>
        <v>STR-1065</v>
      </c>
      <c r="B263" s="4" t="n">
        <f aca="false">Original_Dataset!B260</f>
        <v>45717</v>
      </c>
      <c r="C263" s="3" t="str">
        <f aca="false">Original_Dataset!C260</f>
        <v>South</v>
      </c>
      <c r="D263" s="3" t="str">
        <f aca="false">Original_Dataset!D260</f>
        <v>Mall</v>
      </c>
      <c r="E263" s="3" t="n">
        <f aca="false">Original_Dataset!E260</f>
        <v>44189.34</v>
      </c>
      <c r="F263" s="3" t="n">
        <f aca="false">Original_Dataset!F260</f>
        <v>8634</v>
      </c>
      <c r="G263" s="3" t="n">
        <f aca="false">Original_Dataset!G260</f>
        <v>0.143</v>
      </c>
      <c r="H263" s="3" t="n">
        <f aca="false">Original_Dataset!H260</f>
        <v>19</v>
      </c>
      <c r="I263" s="3" t="n">
        <f aca="false">Original_Dataset!I260</f>
        <v>87.5</v>
      </c>
      <c r="J263" s="3" t="n">
        <f aca="false">IF(ISBLANK(Original_Dataset!J260),$Q$3,Original_Dataset!J260)</f>
        <v>3.69</v>
      </c>
      <c r="K263" s="3" t="n">
        <f aca="false">Original_Dataset!K260</f>
        <v>0</v>
      </c>
      <c r="L263" s="3" t="n">
        <f aca="false">IF(ISBLANK(Original_Dataset!L260),$Q$4,Original_Dataset!L260)</f>
        <v>4.4</v>
      </c>
      <c r="M263" s="3" t="n">
        <f aca="false">Original_Dataset!M260</f>
        <v>746115.59</v>
      </c>
      <c r="N263" s="3" t="n">
        <f aca="false">Original_Dataset!N260</f>
        <v>94662.96</v>
      </c>
    </row>
    <row r="264" customFormat="false" ht="15" hidden="false" customHeight="true" outlineLevel="0" collapsed="false">
      <c r="A264" s="3" t="str">
        <f aca="false">Original_Dataset!A261</f>
        <v>STR-1065</v>
      </c>
      <c r="B264" s="4" t="n">
        <f aca="false">Original_Dataset!B261</f>
        <v>45748</v>
      </c>
      <c r="C264" s="3" t="str">
        <f aca="false">Original_Dataset!C261</f>
        <v>South</v>
      </c>
      <c r="D264" s="3" t="str">
        <f aca="false">Original_Dataset!D261</f>
        <v>Mall</v>
      </c>
      <c r="E264" s="3" t="n">
        <f aca="false">Original_Dataset!E261</f>
        <v>38397.82</v>
      </c>
      <c r="F264" s="3" t="n">
        <f aca="false">Original_Dataset!F261</f>
        <v>7836</v>
      </c>
      <c r="G264" s="3" t="n">
        <f aca="false">Original_Dataset!G261</f>
        <v>0.007</v>
      </c>
      <c r="H264" s="3" t="n">
        <f aca="false">Original_Dataset!H261</f>
        <v>21</v>
      </c>
      <c r="I264" s="3" t="n">
        <f aca="false">Original_Dataset!I261</f>
        <v>92.2</v>
      </c>
      <c r="J264" s="3" t="n">
        <f aca="false">IF(ISBLANK(Original_Dataset!J261),$Q$3,Original_Dataset!J261)</f>
        <v>1.82</v>
      </c>
      <c r="K264" s="3" t="n">
        <f aca="false">Original_Dataset!K261</f>
        <v>0</v>
      </c>
      <c r="L264" s="3" t="n">
        <f aca="false">IF(ISBLANK(Original_Dataset!L261),$Q$4,Original_Dataset!L261)</f>
        <v>3.6</v>
      </c>
      <c r="M264" s="3" t="n">
        <f aca="false">Original_Dataset!M261</f>
        <v>776110.32</v>
      </c>
      <c r="N264" s="3" t="n">
        <f aca="false">Original_Dataset!N261</f>
        <v>139676.21</v>
      </c>
    </row>
    <row r="265" customFormat="false" ht="15" hidden="false" customHeight="true" outlineLevel="0" collapsed="false">
      <c r="A265" s="3" t="str">
        <f aca="false">Original_Dataset!A262</f>
        <v>STR-1066</v>
      </c>
      <c r="B265" s="4" t="n">
        <f aca="false">Original_Dataset!B262</f>
        <v>45658</v>
      </c>
      <c r="C265" s="3" t="str">
        <f aca="false">Original_Dataset!C262</f>
        <v>West</v>
      </c>
      <c r="D265" s="3" t="str">
        <f aca="false">Original_Dataset!D262</f>
        <v>High Street</v>
      </c>
      <c r="E265" s="3" t="n">
        <f aca="false">Original_Dataset!E262</f>
        <v>14519.37</v>
      </c>
      <c r="F265" s="3" t="n">
        <f aca="false">Original_Dataset!F262</f>
        <v>3047</v>
      </c>
      <c r="G265" s="3" t="n">
        <f aca="false">Original_Dataset!G262</f>
        <v>0.135</v>
      </c>
      <c r="H265" s="3" t="n">
        <f aca="false">Original_Dataset!H262</f>
        <v>10</v>
      </c>
      <c r="I265" s="3" t="n">
        <f aca="false">Original_Dataset!I262</f>
        <v>90.3</v>
      </c>
      <c r="J265" s="3" t="n">
        <f aca="false">IF(ISBLANK(Original_Dataset!J262),$Q$3,Original_Dataset!J262)</f>
        <v>6.62</v>
      </c>
      <c r="K265" s="3" t="n">
        <f aca="false">Original_Dataset!K262</f>
        <v>0</v>
      </c>
      <c r="L265" s="3" t="n">
        <f aca="false">IF(ISBLANK(Original_Dataset!L262),$Q$4,Original_Dataset!L262)</f>
        <v>4.2</v>
      </c>
      <c r="M265" s="3" t="n">
        <f aca="false">Original_Dataset!M262</f>
        <v>528852.62</v>
      </c>
      <c r="N265" s="3" t="n">
        <f aca="false">Original_Dataset!N262</f>
        <v>68426.21</v>
      </c>
    </row>
    <row r="266" customFormat="false" ht="15" hidden="false" customHeight="true" outlineLevel="0" collapsed="false">
      <c r="A266" s="3" t="str">
        <f aca="false">Original_Dataset!A263</f>
        <v>STR-1066</v>
      </c>
      <c r="B266" s="4" t="n">
        <f aca="false">Original_Dataset!B263</f>
        <v>45689</v>
      </c>
      <c r="C266" s="3" t="str">
        <f aca="false">Original_Dataset!C263</f>
        <v>West</v>
      </c>
      <c r="D266" s="3" t="str">
        <f aca="false">Original_Dataset!D263</f>
        <v>High Street</v>
      </c>
      <c r="E266" s="3" t="n">
        <f aca="false">Original_Dataset!E263</f>
        <v>43288.2</v>
      </c>
      <c r="F266" s="3" t="n">
        <f aca="false">Original_Dataset!F263</f>
        <v>4783</v>
      </c>
      <c r="G266" s="3" t="n">
        <f aca="false">Original_Dataset!G263</f>
        <v>0.169</v>
      </c>
      <c r="H266" s="3" t="n">
        <f aca="false">Original_Dataset!H263</f>
        <v>13</v>
      </c>
      <c r="I266" s="3" t="n">
        <f aca="false">Original_Dataset!I263</f>
        <v>87.3</v>
      </c>
      <c r="J266" s="3" t="n">
        <f aca="false">IF(ISBLANK(Original_Dataset!J263),$Q$3,Original_Dataset!J263)</f>
        <v>3.365</v>
      </c>
      <c r="K266" s="3" t="n">
        <f aca="false">Original_Dataset!K263</f>
        <v>0</v>
      </c>
      <c r="L266" s="3" t="n">
        <f aca="false">IF(ISBLANK(Original_Dataset!L263),$Q$4,Original_Dataset!L263)</f>
        <v>4.2</v>
      </c>
      <c r="M266" s="3" t="n">
        <f aca="false">Original_Dataset!M263</f>
        <v>605751.33</v>
      </c>
      <c r="N266" s="3" t="n">
        <f aca="false">Original_Dataset!N263</f>
        <v>60685.53</v>
      </c>
    </row>
    <row r="267" customFormat="false" ht="15" hidden="false" customHeight="true" outlineLevel="0" collapsed="false">
      <c r="A267" s="3" t="str">
        <f aca="false">Original_Dataset!A264</f>
        <v>STR-1066</v>
      </c>
      <c r="B267" s="4" t="n">
        <f aca="false">Original_Dataset!B264</f>
        <v>45717</v>
      </c>
      <c r="C267" s="3" t="str">
        <f aca="false">Original_Dataset!C264</f>
        <v>West</v>
      </c>
      <c r="D267" s="3" t="str">
        <f aca="false">Original_Dataset!D264</f>
        <v>High Street</v>
      </c>
      <c r="E267" s="3" t="n">
        <f aca="false">Original_Dataset!E264</f>
        <v>51450.55</v>
      </c>
      <c r="F267" s="3" t="n">
        <f aca="false">Original_Dataset!F264</f>
        <v>4902</v>
      </c>
      <c r="G267" s="3" t="n">
        <f aca="false">Original_Dataset!G264</f>
        <v>0.086</v>
      </c>
      <c r="H267" s="3" t="n">
        <f aca="false">Original_Dataset!H264</f>
        <v>11</v>
      </c>
      <c r="I267" s="3" t="n">
        <f aca="false">Original_Dataset!I264</f>
        <v>83.7</v>
      </c>
      <c r="J267" s="3" t="n">
        <f aca="false">IF(ISBLANK(Original_Dataset!J264),$Q$3,Original_Dataset!J264)</f>
        <v>6.92</v>
      </c>
      <c r="K267" s="3" t="n">
        <f aca="false">Original_Dataset!K264</f>
        <v>1</v>
      </c>
      <c r="L267" s="3" t="n">
        <f aca="false">IF(ISBLANK(Original_Dataset!L264),$Q$4,Original_Dataset!L264)</f>
        <v>4.2</v>
      </c>
      <c r="M267" s="3" t="n">
        <f aca="false">Original_Dataset!M264</f>
        <v>677640.65</v>
      </c>
      <c r="N267" s="3" t="n">
        <f aca="false">Original_Dataset!N264</f>
        <v>111610.89</v>
      </c>
    </row>
    <row r="268" customFormat="false" ht="15" hidden="false" customHeight="true" outlineLevel="0" collapsed="false">
      <c r="A268" s="3" t="str">
        <f aca="false">Original_Dataset!A265</f>
        <v>STR-1066</v>
      </c>
      <c r="B268" s="4" t="n">
        <f aca="false">Original_Dataset!B265</f>
        <v>45748</v>
      </c>
      <c r="C268" s="3" t="str">
        <f aca="false">Original_Dataset!C265</f>
        <v>West</v>
      </c>
      <c r="D268" s="3" t="str">
        <f aca="false">Original_Dataset!D265</f>
        <v>High Street</v>
      </c>
      <c r="E268" s="3" t="n">
        <f aca="false">Original_Dataset!E265</f>
        <v>58688.26</v>
      </c>
      <c r="F268" s="3" t="n">
        <f aca="false">Original_Dataset!F265</f>
        <v>4022</v>
      </c>
      <c r="G268" s="3" t="n">
        <f aca="false">Original_Dataset!G265</f>
        <v>0.217</v>
      </c>
      <c r="H268" s="3" t="n">
        <f aca="false">Original_Dataset!H265</f>
        <v>12</v>
      </c>
      <c r="I268" s="3" t="n">
        <f aca="false">Original_Dataset!I265</f>
        <v>93.8</v>
      </c>
      <c r="J268" s="3" t="n">
        <f aca="false">IF(ISBLANK(Original_Dataset!J265),$Q$3,Original_Dataset!J265)</f>
        <v>11.78</v>
      </c>
      <c r="K268" s="3" t="n">
        <f aca="false">Original_Dataset!K265</f>
        <v>0</v>
      </c>
      <c r="L268" s="3" t="n">
        <f aca="false">IF(ISBLANK(Original_Dataset!L265),$Q$4,Original_Dataset!L265)</f>
        <v>3.7</v>
      </c>
      <c r="M268" s="3" t="n">
        <f aca="false">Original_Dataset!M265</f>
        <v>636613.23</v>
      </c>
      <c r="N268" s="3" t="n">
        <f aca="false">Original_Dataset!N265</f>
        <v>78908.35</v>
      </c>
    </row>
    <row r="269" customFormat="false" ht="15" hidden="false" customHeight="true" outlineLevel="0" collapsed="false">
      <c r="A269" s="3" t="str">
        <f aca="false">Original_Dataset!A266</f>
        <v>STR-1067</v>
      </c>
      <c r="B269" s="4" t="n">
        <f aca="false">Original_Dataset!B266</f>
        <v>45658</v>
      </c>
      <c r="C269" s="3" t="str">
        <f aca="false">Original_Dataset!C266</f>
        <v>East</v>
      </c>
      <c r="D269" s="3" t="str">
        <f aca="false">Original_Dataset!D266</f>
        <v>High Street</v>
      </c>
      <c r="E269" s="3" t="n">
        <f aca="false">Original_Dataset!E266</f>
        <v>58981.91</v>
      </c>
      <c r="F269" s="3" t="n">
        <f aca="false">Original_Dataset!F266</f>
        <v>7324</v>
      </c>
      <c r="G269" s="3" t="n">
        <f aca="false">Original_Dataset!G266</f>
        <v>0.094</v>
      </c>
      <c r="H269" s="3" t="n">
        <f aca="false">Original_Dataset!H266</f>
        <v>15</v>
      </c>
      <c r="I269" s="3" t="n">
        <f aca="false">Original_Dataset!I266</f>
        <v>95.8</v>
      </c>
      <c r="J269" s="3" t="n">
        <f aca="false">IF(ISBLANK(Original_Dataset!J266),$Q$3,Original_Dataset!J266)</f>
        <v>0.5</v>
      </c>
      <c r="K269" s="3" t="n">
        <f aca="false">Original_Dataset!K266</f>
        <v>0</v>
      </c>
      <c r="L269" s="3" t="n">
        <f aca="false">IF(ISBLANK(Original_Dataset!L266),$Q$4,Original_Dataset!L266)</f>
        <v>3.5</v>
      </c>
      <c r="M269" s="3" t="n">
        <f aca="false">Original_Dataset!M266</f>
        <v>708985.19</v>
      </c>
      <c r="N269" s="3" t="n">
        <f aca="false">Original_Dataset!N266</f>
        <v>125368.16</v>
      </c>
    </row>
    <row r="270" customFormat="false" ht="15" hidden="false" customHeight="true" outlineLevel="0" collapsed="false">
      <c r="A270" s="3" t="str">
        <f aca="false">Original_Dataset!A267</f>
        <v>STR-1067</v>
      </c>
      <c r="B270" s="4" t="n">
        <f aca="false">Original_Dataset!B267</f>
        <v>45689</v>
      </c>
      <c r="C270" s="3" t="str">
        <f aca="false">Original_Dataset!C267</f>
        <v>East</v>
      </c>
      <c r="D270" s="3" t="str">
        <f aca="false">Original_Dataset!D267</f>
        <v>High Street</v>
      </c>
      <c r="E270" s="3" t="n">
        <f aca="false">Original_Dataset!E267</f>
        <v>73454.54</v>
      </c>
      <c r="F270" s="3" t="n">
        <f aca="false">Original_Dataset!F267</f>
        <v>8129</v>
      </c>
      <c r="G270" s="3" t="n">
        <f aca="false">Original_Dataset!G267</f>
        <v>0.211</v>
      </c>
      <c r="H270" s="3" t="n">
        <f aca="false">Original_Dataset!H267</f>
        <v>20</v>
      </c>
      <c r="I270" s="3" t="n">
        <f aca="false">Original_Dataset!I267</f>
        <v>85.2</v>
      </c>
      <c r="J270" s="3" t="n">
        <f aca="false">IF(ISBLANK(Original_Dataset!J267),$Q$3,Original_Dataset!J267)</f>
        <v>0.88</v>
      </c>
      <c r="K270" s="3" t="n">
        <f aca="false">Original_Dataset!K267</f>
        <v>0</v>
      </c>
      <c r="L270" s="3" t="n">
        <f aca="false">IF(ISBLANK(Original_Dataset!L267),$Q$4,Original_Dataset!L267)</f>
        <v>3.7</v>
      </c>
      <c r="M270" s="3" t="n">
        <f aca="false">Original_Dataset!M267</f>
        <v>767792.94</v>
      </c>
      <c r="N270" s="3" t="n">
        <f aca="false">Original_Dataset!N267</f>
        <v>96235.77</v>
      </c>
    </row>
    <row r="271" customFormat="false" ht="15" hidden="false" customHeight="true" outlineLevel="0" collapsed="false">
      <c r="A271" s="3" t="str">
        <f aca="false">Original_Dataset!A268</f>
        <v>STR-1067</v>
      </c>
      <c r="B271" s="4" t="n">
        <f aca="false">Original_Dataset!B268</f>
        <v>45717</v>
      </c>
      <c r="C271" s="3" t="str">
        <f aca="false">Original_Dataset!C268</f>
        <v>East</v>
      </c>
      <c r="D271" s="3" t="str">
        <f aca="false">Original_Dataset!D268</f>
        <v>High Street</v>
      </c>
      <c r="E271" s="3" t="n">
        <f aca="false">Original_Dataset!E268</f>
        <v>56602.39</v>
      </c>
      <c r="F271" s="3" t="n">
        <f aca="false">Original_Dataset!F268</f>
        <v>7969</v>
      </c>
      <c r="G271" s="3" t="n">
        <f aca="false">Original_Dataset!G268</f>
        <v>0.17</v>
      </c>
      <c r="H271" s="3" t="n">
        <f aca="false">Original_Dataset!H268</f>
        <v>21</v>
      </c>
      <c r="I271" s="3" t="n">
        <f aca="false">Original_Dataset!I268</f>
        <v>88.3</v>
      </c>
      <c r="J271" s="3" t="n">
        <f aca="false">IF(ISBLANK(Original_Dataset!J268),$Q$3,Original_Dataset!J268)</f>
        <v>2.25</v>
      </c>
      <c r="K271" s="3" t="n">
        <f aca="false">Original_Dataset!K268</f>
        <v>0</v>
      </c>
      <c r="L271" s="3" t="n">
        <f aca="false">IF(ISBLANK(Original_Dataset!L268),$Q$4,Original_Dataset!L268)</f>
        <v>3.7</v>
      </c>
      <c r="M271" s="3" t="n">
        <f aca="false">Original_Dataset!M268</f>
        <v>745580.51</v>
      </c>
      <c r="N271" s="3" t="n">
        <f aca="false">Original_Dataset!N268</f>
        <v>116273.68</v>
      </c>
    </row>
    <row r="272" customFormat="false" ht="15" hidden="false" customHeight="true" outlineLevel="0" collapsed="false">
      <c r="A272" s="3" t="str">
        <f aca="false">Original_Dataset!A269</f>
        <v>STR-1067</v>
      </c>
      <c r="B272" s="4" t="n">
        <f aca="false">Original_Dataset!B269</f>
        <v>45748</v>
      </c>
      <c r="C272" s="3" t="str">
        <f aca="false">Original_Dataset!C269</f>
        <v>East</v>
      </c>
      <c r="D272" s="3" t="str">
        <f aca="false">Original_Dataset!D269</f>
        <v>High Street</v>
      </c>
      <c r="E272" s="3" t="n">
        <f aca="false">Original_Dataset!E269</f>
        <v>67722.29</v>
      </c>
      <c r="F272" s="3" t="n">
        <f aca="false">Original_Dataset!F269</f>
        <v>7240</v>
      </c>
      <c r="G272" s="3" t="n">
        <f aca="false">Original_Dataset!G269</f>
        <v>0.026</v>
      </c>
      <c r="H272" s="3" t="n">
        <f aca="false">Original_Dataset!H269</f>
        <v>15</v>
      </c>
      <c r="I272" s="3" t="n">
        <f aca="false">Original_Dataset!I269</f>
        <v>92.9</v>
      </c>
      <c r="J272" s="3" t="n">
        <f aca="false">IF(ISBLANK(Original_Dataset!J269),$Q$3,Original_Dataset!J269)</f>
        <v>0.29</v>
      </c>
      <c r="K272" s="3" t="n">
        <f aca="false">Original_Dataset!K269</f>
        <v>0</v>
      </c>
      <c r="L272" s="3" t="n">
        <f aca="false">IF(ISBLANK(Original_Dataset!L269),$Q$4,Original_Dataset!L269)</f>
        <v>3.5</v>
      </c>
      <c r="M272" s="3" t="n">
        <f aca="false">Original_Dataset!M269</f>
        <v>762328.31</v>
      </c>
      <c r="N272" s="3" t="n">
        <f aca="false">Original_Dataset!N269</f>
        <v>159158.19</v>
      </c>
    </row>
    <row r="273" customFormat="false" ht="15" hidden="false" customHeight="true" outlineLevel="0" collapsed="false">
      <c r="A273" s="3" t="str">
        <f aca="false">Original_Dataset!A270</f>
        <v>STR-1068</v>
      </c>
      <c r="B273" s="4" t="n">
        <f aca="false">Original_Dataset!B270</f>
        <v>45658</v>
      </c>
      <c r="C273" s="3" t="str">
        <f aca="false">Original_Dataset!C270</f>
        <v>East</v>
      </c>
      <c r="D273" s="3" t="str">
        <f aca="false">Original_Dataset!D270</f>
        <v>Mall</v>
      </c>
      <c r="E273" s="3" t="n">
        <f aca="false">Original_Dataset!E270</f>
        <v>48752.92</v>
      </c>
      <c r="F273" s="3" t="n">
        <f aca="false">Original_Dataset!F270</f>
        <v>8052</v>
      </c>
      <c r="G273" s="3" t="n">
        <f aca="false">Original_Dataset!G270</f>
        <v>0.106</v>
      </c>
      <c r="H273" s="3" t="n">
        <f aca="false">Original_Dataset!H270</f>
        <v>16</v>
      </c>
      <c r="I273" s="3" t="n">
        <f aca="false">Original_Dataset!I270</f>
        <v>94.9</v>
      </c>
      <c r="J273" s="3" t="n">
        <f aca="false">IF(ISBLANK(Original_Dataset!J270),$Q$3,Original_Dataset!J270)</f>
        <v>0.65</v>
      </c>
      <c r="K273" s="3" t="n">
        <f aca="false">Original_Dataset!K270</f>
        <v>0</v>
      </c>
      <c r="L273" s="3" t="n">
        <f aca="false">IF(ISBLANK(Original_Dataset!L270),$Q$4,Original_Dataset!L270)</f>
        <v>3.6</v>
      </c>
      <c r="M273" s="3" t="n">
        <f aca="false">Original_Dataset!M270</f>
        <v>660633.99</v>
      </c>
      <c r="N273" s="3" t="n">
        <f aca="false">Original_Dataset!N270</f>
        <v>118768.66</v>
      </c>
    </row>
    <row r="274" customFormat="false" ht="15" hidden="false" customHeight="true" outlineLevel="0" collapsed="false">
      <c r="A274" s="3" t="str">
        <f aca="false">Original_Dataset!A271</f>
        <v>STR-1068</v>
      </c>
      <c r="B274" s="4" t="n">
        <f aca="false">Original_Dataset!B271</f>
        <v>45689</v>
      </c>
      <c r="C274" s="3" t="str">
        <f aca="false">Original_Dataset!C271</f>
        <v>East</v>
      </c>
      <c r="D274" s="3" t="str">
        <f aca="false">Original_Dataset!D271</f>
        <v>Mall</v>
      </c>
      <c r="E274" s="3" t="n">
        <f aca="false">Original_Dataset!E271</f>
        <v>23914.97</v>
      </c>
      <c r="F274" s="3" t="n">
        <f aca="false">Original_Dataset!F271</f>
        <v>8018</v>
      </c>
      <c r="G274" s="3" t="n">
        <f aca="false">Original_Dataset!G271</f>
        <v>0.139</v>
      </c>
      <c r="H274" s="3" t="n">
        <f aca="false">Original_Dataset!H271</f>
        <v>20</v>
      </c>
      <c r="I274" s="3" t="n">
        <f aca="false">Original_Dataset!I271</f>
        <v>89</v>
      </c>
      <c r="J274" s="3" t="n">
        <f aca="false">IF(ISBLANK(Original_Dataset!J271),$Q$3,Original_Dataset!J271)</f>
        <v>0.2</v>
      </c>
      <c r="K274" s="3" t="n">
        <f aca="false">Original_Dataset!K271</f>
        <v>0</v>
      </c>
      <c r="L274" s="3" t="n">
        <f aca="false">IF(ISBLANK(Original_Dataset!L271),$Q$4,Original_Dataset!L271)</f>
        <v>3.5</v>
      </c>
      <c r="M274" s="3" t="n">
        <f aca="false">Original_Dataset!M271</f>
        <v>739374.56</v>
      </c>
      <c r="N274" s="3" t="n">
        <f aca="false">Original_Dataset!N271</f>
        <v>121032.29</v>
      </c>
    </row>
    <row r="275" customFormat="false" ht="15" hidden="false" customHeight="true" outlineLevel="0" collapsed="false">
      <c r="A275" s="3" t="str">
        <f aca="false">Original_Dataset!A272</f>
        <v>STR-1068</v>
      </c>
      <c r="B275" s="4" t="n">
        <f aca="false">Original_Dataset!B272</f>
        <v>45717</v>
      </c>
      <c r="C275" s="3" t="str">
        <f aca="false">Original_Dataset!C272</f>
        <v>East</v>
      </c>
      <c r="D275" s="3" t="str">
        <f aca="false">Original_Dataset!D272</f>
        <v>Mall</v>
      </c>
      <c r="E275" s="3" t="n">
        <f aca="false">Original_Dataset!E272</f>
        <v>61995.3</v>
      </c>
      <c r="F275" s="3" t="n">
        <f aca="false">Original_Dataset!F272</f>
        <v>10192</v>
      </c>
      <c r="G275" s="3" t="n">
        <f aca="false">Original_Dataset!G272</f>
        <v>0.198</v>
      </c>
      <c r="H275" s="3" t="n">
        <f aca="false">Original_Dataset!H272</f>
        <v>21</v>
      </c>
      <c r="I275" s="3" t="n">
        <f aca="false">Original_Dataset!I272</f>
        <v>87.6</v>
      </c>
      <c r="J275" s="3" t="n">
        <f aca="false">IF(ISBLANK(Original_Dataset!J272),$Q$3,Original_Dataset!J272)</f>
        <v>3.63</v>
      </c>
      <c r="K275" s="3" t="n">
        <f aca="false">Original_Dataset!K272</f>
        <v>1</v>
      </c>
      <c r="L275" s="3" t="n">
        <f aca="false">IF(ISBLANK(Original_Dataset!L272),$Q$4,Original_Dataset!L272)</f>
        <v>3.8</v>
      </c>
      <c r="M275" s="3" t="n">
        <f aca="false">Original_Dataset!M272</f>
        <v>799756.46</v>
      </c>
      <c r="N275" s="3" t="n">
        <f aca="false">Original_Dataset!N272</f>
        <v>105052.93</v>
      </c>
    </row>
    <row r="276" customFormat="false" ht="15" hidden="false" customHeight="true" outlineLevel="0" collapsed="false">
      <c r="A276" s="3" t="str">
        <f aca="false">Original_Dataset!A273</f>
        <v>STR-1068</v>
      </c>
      <c r="B276" s="4" t="n">
        <f aca="false">Original_Dataset!B273</f>
        <v>45748</v>
      </c>
      <c r="C276" s="3" t="str">
        <f aca="false">Original_Dataset!C273</f>
        <v>East</v>
      </c>
      <c r="D276" s="3" t="str">
        <f aca="false">Original_Dataset!D273</f>
        <v>Mall</v>
      </c>
      <c r="E276" s="3" t="n">
        <f aca="false">Original_Dataset!E273</f>
        <v>29344.93</v>
      </c>
      <c r="F276" s="3" t="n">
        <f aca="false">Original_Dataset!F273</f>
        <v>7446</v>
      </c>
      <c r="G276" s="3" t="n">
        <f aca="false">Original_Dataset!G273</f>
        <v>0.111</v>
      </c>
      <c r="H276" s="3" t="n">
        <f aca="false">Original_Dataset!H273</f>
        <v>15</v>
      </c>
      <c r="I276" s="3" t="n">
        <f aca="false">Original_Dataset!I273</f>
        <v>86.2</v>
      </c>
      <c r="J276" s="3" t="n">
        <f aca="false">IF(ISBLANK(Original_Dataset!J273),$Q$3,Original_Dataset!J273)</f>
        <v>0.2</v>
      </c>
      <c r="K276" s="3" t="n">
        <f aca="false">Original_Dataset!K273</f>
        <v>0</v>
      </c>
      <c r="L276" s="3" t="n">
        <f aca="false">IF(ISBLANK(Original_Dataset!L273),$Q$4,Original_Dataset!L273)</f>
        <v>3.2</v>
      </c>
      <c r="M276" s="3" t="n">
        <f aca="false">Original_Dataset!M273</f>
        <v>593343</v>
      </c>
      <c r="N276" s="3" t="n">
        <f aca="false">Original_Dataset!N273</f>
        <v>82832.24</v>
      </c>
    </row>
    <row r="277" customFormat="false" ht="15" hidden="false" customHeight="true" outlineLevel="0" collapsed="false">
      <c r="A277" s="3" t="str">
        <f aca="false">Original_Dataset!A274</f>
        <v>STR-1069</v>
      </c>
      <c r="B277" s="4" t="n">
        <f aca="false">Original_Dataset!B274</f>
        <v>45658</v>
      </c>
      <c r="C277" s="3" t="str">
        <f aca="false">Original_Dataset!C274</f>
        <v>West</v>
      </c>
      <c r="D277" s="3" t="str">
        <f aca="false">Original_Dataset!D274</f>
        <v>High Street</v>
      </c>
      <c r="E277" s="3" t="n">
        <f aca="false">Original_Dataset!E274</f>
        <v>50532.17</v>
      </c>
      <c r="F277" s="3" t="n">
        <f aca="false">Original_Dataset!F274</f>
        <v>5689</v>
      </c>
      <c r="G277" s="3" t="n">
        <f aca="false">Original_Dataset!G274</f>
        <v>0.052</v>
      </c>
      <c r="H277" s="3" t="n">
        <f aca="false">Original_Dataset!H274</f>
        <v>17</v>
      </c>
      <c r="I277" s="3" t="n">
        <f aca="false">Original_Dataset!I274</f>
        <v>85.6</v>
      </c>
      <c r="J277" s="3" t="n">
        <f aca="false">IF(ISBLANK(Original_Dataset!J274),$Q$3,Original_Dataset!J274)</f>
        <v>6.23</v>
      </c>
      <c r="K277" s="3" t="n">
        <f aca="false">Original_Dataset!K274</f>
        <v>0</v>
      </c>
      <c r="L277" s="3" t="n">
        <f aca="false">IF(ISBLANK(Original_Dataset!L274),$Q$4,Original_Dataset!L274)</f>
        <v>3.3</v>
      </c>
      <c r="M277" s="3" t="n">
        <f aca="false">Original_Dataset!M274</f>
        <v>645039.97</v>
      </c>
      <c r="N277" s="3" t="n">
        <f aca="false">Original_Dataset!N274</f>
        <v>83093.33</v>
      </c>
    </row>
    <row r="278" customFormat="false" ht="15" hidden="false" customHeight="true" outlineLevel="0" collapsed="false">
      <c r="A278" s="3" t="str">
        <f aca="false">Original_Dataset!A275</f>
        <v>STR-1069</v>
      </c>
      <c r="B278" s="4" t="n">
        <f aca="false">Original_Dataset!B275</f>
        <v>45689</v>
      </c>
      <c r="C278" s="3" t="str">
        <f aca="false">Original_Dataset!C275</f>
        <v>West</v>
      </c>
      <c r="D278" s="3" t="str">
        <f aca="false">Original_Dataset!D275</f>
        <v>High Street</v>
      </c>
      <c r="E278" s="3" t="n">
        <f aca="false">Original_Dataset!E275</f>
        <v>17562.57</v>
      </c>
      <c r="F278" s="3" t="n">
        <f aca="false">Original_Dataset!F275</f>
        <v>3326</v>
      </c>
      <c r="G278" s="3" t="n">
        <f aca="false">Original_Dataset!G275</f>
        <v>0.153</v>
      </c>
      <c r="H278" s="3" t="n">
        <f aca="false">Original_Dataset!H275</f>
        <v>14</v>
      </c>
      <c r="I278" s="3" t="n">
        <f aca="false">Original_Dataset!I275</f>
        <v>88.1</v>
      </c>
      <c r="J278" s="3" t="n">
        <f aca="false">IF(ISBLANK(Original_Dataset!J275),$Q$3,Original_Dataset!J275)</f>
        <v>1.04</v>
      </c>
      <c r="K278" s="3" t="n">
        <f aca="false">Original_Dataset!K275</f>
        <v>0</v>
      </c>
      <c r="L278" s="3" t="n">
        <f aca="false">IF(ISBLANK(Original_Dataset!L275),$Q$4,Original_Dataset!L275)</f>
        <v>3.1</v>
      </c>
      <c r="M278" s="3" t="n">
        <f aca="false">Original_Dataset!M275</f>
        <v>561597.33</v>
      </c>
      <c r="N278" s="3" t="n">
        <f aca="false">Original_Dataset!N275</f>
        <v>75072.75</v>
      </c>
    </row>
    <row r="279" customFormat="false" ht="15" hidden="false" customHeight="true" outlineLevel="0" collapsed="false">
      <c r="A279" s="3" t="str">
        <f aca="false">Original_Dataset!A276</f>
        <v>STR-1069</v>
      </c>
      <c r="B279" s="4" t="n">
        <f aca="false">Original_Dataset!B276</f>
        <v>45717</v>
      </c>
      <c r="C279" s="3" t="str">
        <f aca="false">Original_Dataset!C276</f>
        <v>West</v>
      </c>
      <c r="D279" s="3" t="str">
        <f aca="false">Original_Dataset!D276</f>
        <v>High Street</v>
      </c>
      <c r="E279" s="3" t="n">
        <f aca="false">Original_Dataset!E276</f>
        <v>47648.71</v>
      </c>
      <c r="F279" s="3" t="n">
        <f aca="false">Original_Dataset!F276</f>
        <v>5767</v>
      </c>
      <c r="G279" s="3" t="n">
        <f aca="false">Original_Dataset!G276</f>
        <v>0.141</v>
      </c>
      <c r="H279" s="3" t="n">
        <f aca="false">Original_Dataset!H276</f>
        <v>17</v>
      </c>
      <c r="I279" s="3" t="n">
        <f aca="false">Original_Dataset!I276</f>
        <v>89.8</v>
      </c>
      <c r="J279" s="3" t="n">
        <f aca="false">IF(ISBLANK(Original_Dataset!J276),$Q$3,Original_Dataset!J276)</f>
        <v>1.76</v>
      </c>
      <c r="K279" s="3" t="n">
        <f aca="false">Original_Dataset!K276</f>
        <v>0</v>
      </c>
      <c r="L279" s="3" t="n">
        <f aca="false">IF(ISBLANK(Original_Dataset!L276),$Q$4,Original_Dataset!L276)</f>
        <v>3.1</v>
      </c>
      <c r="M279" s="3" t="n">
        <f aca="false">Original_Dataset!M276</f>
        <v>635837.74</v>
      </c>
      <c r="N279" s="3" t="n">
        <f aca="false">Original_Dataset!N276</f>
        <v>114740.64</v>
      </c>
    </row>
    <row r="280" customFormat="false" ht="15" hidden="false" customHeight="true" outlineLevel="0" collapsed="false">
      <c r="A280" s="3" t="str">
        <f aca="false">Original_Dataset!A277</f>
        <v>STR-1069</v>
      </c>
      <c r="B280" s="4" t="n">
        <f aca="false">Original_Dataset!B277</f>
        <v>45748</v>
      </c>
      <c r="C280" s="3" t="str">
        <f aca="false">Original_Dataset!C277</f>
        <v>West</v>
      </c>
      <c r="D280" s="3" t="str">
        <f aca="false">Original_Dataset!D277</f>
        <v>High Street</v>
      </c>
      <c r="E280" s="3" t="n">
        <f aca="false">Original_Dataset!E277</f>
        <v>38297.58</v>
      </c>
      <c r="F280" s="3" t="n">
        <f aca="false">Original_Dataset!F277</f>
        <v>5893</v>
      </c>
      <c r="G280" s="3" t="n">
        <f aca="false">Original_Dataset!G277</f>
        <v>0.247</v>
      </c>
      <c r="H280" s="3" t="n">
        <f aca="false">Original_Dataset!H277</f>
        <v>18</v>
      </c>
      <c r="I280" s="3" t="n">
        <f aca="false">Original_Dataset!I277</f>
        <v>77.6</v>
      </c>
      <c r="J280" s="3" t="n">
        <f aca="false">IF(ISBLANK(Original_Dataset!J277),$Q$3,Original_Dataset!J277)</f>
        <v>2.86</v>
      </c>
      <c r="K280" s="3" t="n">
        <f aca="false">Original_Dataset!K277</f>
        <v>0</v>
      </c>
      <c r="L280" s="3" t="n">
        <f aca="false">IF(ISBLANK(Original_Dataset!L277),$Q$4,Original_Dataset!L277)</f>
        <v>3</v>
      </c>
      <c r="M280" s="3" t="n">
        <f aca="false">Original_Dataset!M277</f>
        <v>686737.87</v>
      </c>
      <c r="N280" s="3" t="n">
        <f aca="false">Original_Dataset!N277</f>
        <v>83839.67</v>
      </c>
    </row>
    <row r="281" customFormat="false" ht="15" hidden="false" customHeight="true" outlineLevel="0" collapsed="false">
      <c r="A281" s="3" t="str">
        <f aca="false">Original_Dataset!A278</f>
        <v>STR-1070</v>
      </c>
      <c r="B281" s="4" t="n">
        <f aca="false">Original_Dataset!B278</f>
        <v>45658</v>
      </c>
      <c r="C281" s="3" t="str">
        <f aca="false">Original_Dataset!C278</f>
        <v>South</v>
      </c>
      <c r="D281" s="3" t="str">
        <f aca="false">Original_Dataset!D278</f>
        <v>Residential</v>
      </c>
      <c r="E281" s="3" t="n">
        <f aca="false">Original_Dataset!E278</f>
        <v>61784.11</v>
      </c>
      <c r="F281" s="3" t="n">
        <f aca="false">Original_Dataset!F278</f>
        <v>8564</v>
      </c>
      <c r="G281" s="3" t="n">
        <f aca="false">Original_Dataset!G278</f>
        <v>0.13</v>
      </c>
      <c r="H281" s="3" t="n">
        <f aca="false">Original_Dataset!H278</f>
        <v>17</v>
      </c>
      <c r="I281" s="3" t="n">
        <f aca="false">Original_Dataset!I278</f>
        <v>87.4</v>
      </c>
      <c r="J281" s="3" t="n">
        <f aca="false">IF(ISBLANK(Original_Dataset!J278),$Q$3,Original_Dataset!J278)</f>
        <v>18.14</v>
      </c>
      <c r="K281" s="3" t="n">
        <f aca="false">Original_Dataset!K278</f>
        <v>1</v>
      </c>
      <c r="L281" s="3" t="n">
        <f aca="false">IF(ISBLANK(Original_Dataset!L278),$Q$4,Original_Dataset!L278)</f>
        <v>3.4</v>
      </c>
      <c r="M281" s="3" t="n">
        <f aca="false">Original_Dataset!M278</f>
        <v>673076.34</v>
      </c>
      <c r="N281" s="3" t="n">
        <f aca="false">Original_Dataset!N278</f>
        <v>93899.76</v>
      </c>
    </row>
    <row r="282" customFormat="false" ht="15" hidden="false" customHeight="true" outlineLevel="0" collapsed="false">
      <c r="A282" s="3" t="str">
        <f aca="false">Original_Dataset!A279</f>
        <v>STR-1070</v>
      </c>
      <c r="B282" s="4" t="n">
        <f aca="false">Original_Dataset!B279</f>
        <v>45689</v>
      </c>
      <c r="C282" s="3" t="str">
        <f aca="false">Original_Dataset!C279</f>
        <v>South</v>
      </c>
      <c r="D282" s="3" t="str">
        <f aca="false">Original_Dataset!D279</f>
        <v>Residential</v>
      </c>
      <c r="E282" s="3" t="n">
        <f aca="false">Original_Dataset!E279</f>
        <v>36832.33</v>
      </c>
      <c r="F282" s="3" t="n">
        <f aca="false">Original_Dataset!F279</f>
        <v>8001</v>
      </c>
      <c r="G282" s="3" t="n">
        <f aca="false">Original_Dataset!G279</f>
        <v>0</v>
      </c>
      <c r="H282" s="3" t="n">
        <f aca="false">Original_Dataset!H279</f>
        <v>19</v>
      </c>
      <c r="I282" s="3" t="n">
        <f aca="false">Original_Dataset!I279</f>
        <v>88.7</v>
      </c>
      <c r="J282" s="3" t="n">
        <f aca="false">IF(ISBLANK(Original_Dataset!J279),$Q$3,Original_Dataset!J279)</f>
        <v>3.39</v>
      </c>
      <c r="K282" s="3" t="n">
        <f aca="false">Original_Dataset!K279</f>
        <v>0</v>
      </c>
      <c r="L282" s="3" t="n">
        <f aca="false">IF(ISBLANK(Original_Dataset!L279),$Q$4,Original_Dataset!L279)</f>
        <v>4</v>
      </c>
      <c r="M282" s="3" t="n">
        <f aca="false">Original_Dataset!M279</f>
        <v>738548.42</v>
      </c>
      <c r="N282" s="3" t="n">
        <f aca="false">Original_Dataset!N279</f>
        <v>134282.77</v>
      </c>
    </row>
    <row r="283" customFormat="false" ht="15" hidden="false" customHeight="true" outlineLevel="0" collapsed="false">
      <c r="A283" s="3" t="str">
        <f aca="false">Original_Dataset!A280</f>
        <v>STR-1070</v>
      </c>
      <c r="B283" s="4" t="n">
        <f aca="false">Original_Dataset!B280</f>
        <v>45717</v>
      </c>
      <c r="C283" s="3" t="str">
        <f aca="false">Original_Dataset!C280</f>
        <v>South</v>
      </c>
      <c r="D283" s="3" t="str">
        <f aca="false">Original_Dataset!D280</f>
        <v>Residential</v>
      </c>
      <c r="E283" s="3" t="n">
        <f aca="false">Original_Dataset!E280</f>
        <v>48609.41</v>
      </c>
      <c r="F283" s="3" t="n">
        <f aca="false">Original_Dataset!F280</f>
        <v>9324</v>
      </c>
      <c r="G283" s="3" t="n">
        <f aca="false">Original_Dataset!G280</f>
        <v>0.213</v>
      </c>
      <c r="H283" s="3" t="n">
        <f aca="false">Original_Dataset!H280</f>
        <v>18</v>
      </c>
      <c r="I283" s="3" t="n">
        <f aca="false">Original_Dataset!I280</f>
        <v>86.5</v>
      </c>
      <c r="J283" s="3" t="n">
        <f aca="false">IF(ISBLANK(Original_Dataset!J280),$Q$3,Original_Dataset!J280)</f>
        <v>1.44</v>
      </c>
      <c r="K283" s="3" t="n">
        <f aca="false">Original_Dataset!K280</f>
        <v>0</v>
      </c>
      <c r="L283" s="3" t="n">
        <f aca="false">IF(ISBLANK(Original_Dataset!L280),$Q$4,Original_Dataset!L280)</f>
        <v>3.9</v>
      </c>
      <c r="M283" s="3" t="n">
        <f aca="false">Original_Dataset!M280</f>
        <v>756619.77</v>
      </c>
      <c r="N283" s="3" t="n">
        <f aca="false">Original_Dataset!N280</f>
        <v>112057.69</v>
      </c>
    </row>
    <row r="284" customFormat="false" ht="15" hidden="false" customHeight="true" outlineLevel="0" collapsed="false">
      <c r="A284" s="3" t="str">
        <f aca="false">Original_Dataset!A281</f>
        <v>STR-1070</v>
      </c>
      <c r="B284" s="4" t="n">
        <f aca="false">Original_Dataset!B281</f>
        <v>45748</v>
      </c>
      <c r="C284" s="3" t="str">
        <f aca="false">Original_Dataset!C281</f>
        <v>South</v>
      </c>
      <c r="D284" s="3" t="str">
        <f aca="false">Original_Dataset!D281</f>
        <v>Residential</v>
      </c>
      <c r="E284" s="3" t="n">
        <f aca="false">Original_Dataset!E281</f>
        <v>70284.06</v>
      </c>
      <c r="F284" s="3" t="n">
        <f aca="false">Original_Dataset!F281</f>
        <v>9109</v>
      </c>
      <c r="G284" s="3" t="n">
        <f aca="false">Original_Dataset!G281</f>
        <v>0.004</v>
      </c>
      <c r="H284" s="3" t="n">
        <f aca="false">Original_Dataset!H281</f>
        <v>23</v>
      </c>
      <c r="I284" s="3" t="n">
        <f aca="false">Original_Dataset!I281</f>
        <v>87</v>
      </c>
      <c r="J284" s="3" t="n">
        <f aca="false">IF(ISBLANK(Original_Dataset!J281),$Q$3,Original_Dataset!J281)</f>
        <v>3.65</v>
      </c>
      <c r="K284" s="3" t="n">
        <f aca="false">Original_Dataset!K281</f>
        <v>0</v>
      </c>
      <c r="L284" s="3" t="n">
        <f aca="false">IF(ISBLANK(Original_Dataset!L281),$Q$4,Original_Dataset!L281)</f>
        <v>3.7</v>
      </c>
      <c r="M284" s="3" t="n">
        <f aca="false">Original_Dataset!M281</f>
        <v>761122.42</v>
      </c>
      <c r="N284" s="3" t="n">
        <f aca="false">Original_Dataset!N281</f>
        <v>149802.04</v>
      </c>
    </row>
    <row r="285" customFormat="false" ht="15" hidden="false" customHeight="true" outlineLevel="0" collapsed="false">
      <c r="A285" s="3" t="str">
        <f aca="false">Original_Dataset!A282</f>
        <v>STR-1071</v>
      </c>
      <c r="B285" s="4" t="n">
        <f aca="false">Original_Dataset!B282</f>
        <v>45658</v>
      </c>
      <c r="C285" s="3" t="str">
        <f aca="false">Original_Dataset!C282</f>
        <v>South</v>
      </c>
      <c r="D285" s="3" t="str">
        <f aca="false">Original_Dataset!D282</f>
        <v>High Street</v>
      </c>
      <c r="E285" s="3" t="n">
        <f aca="false">Original_Dataset!E282</f>
        <v>45940.39</v>
      </c>
      <c r="F285" s="3" t="n">
        <f aca="false">Original_Dataset!F282</f>
        <v>4022</v>
      </c>
      <c r="G285" s="3" t="n">
        <f aca="false">Original_Dataset!G282</f>
        <v>0.069</v>
      </c>
      <c r="H285" s="3" t="n">
        <f aca="false">Original_Dataset!H282</f>
        <v>10</v>
      </c>
      <c r="I285" s="3" t="n">
        <f aca="false">Original_Dataset!I282</f>
        <v>83</v>
      </c>
      <c r="J285" s="3" t="n">
        <f aca="false">IF(ISBLANK(Original_Dataset!J282),$Q$3,Original_Dataset!J282)</f>
        <v>1.23</v>
      </c>
      <c r="K285" s="3" t="n">
        <f aca="false">Original_Dataset!K282</f>
        <v>1</v>
      </c>
      <c r="L285" s="3" t="n">
        <f aca="false">IF(ISBLANK(Original_Dataset!L282),$Q$4,Original_Dataset!L282)</f>
        <v>3.8</v>
      </c>
      <c r="M285" s="3" t="n">
        <f aca="false">Original_Dataset!M282</f>
        <v>524899.57</v>
      </c>
      <c r="N285" s="3" t="n">
        <f aca="false">Original_Dataset!N282</f>
        <v>63619.98</v>
      </c>
    </row>
    <row r="286" customFormat="false" ht="15" hidden="false" customHeight="true" outlineLevel="0" collapsed="false">
      <c r="A286" s="3" t="str">
        <f aca="false">Original_Dataset!A283</f>
        <v>STR-1071</v>
      </c>
      <c r="B286" s="4" t="n">
        <f aca="false">Original_Dataset!B283</f>
        <v>45689</v>
      </c>
      <c r="C286" s="3" t="str">
        <f aca="false">Original_Dataset!C283</f>
        <v>South</v>
      </c>
      <c r="D286" s="3" t="str">
        <f aca="false">Original_Dataset!D283</f>
        <v>High Street</v>
      </c>
      <c r="E286" s="3" t="n">
        <f aca="false">Original_Dataset!E283</f>
        <v>34771.26</v>
      </c>
      <c r="F286" s="3" t="n">
        <f aca="false">Original_Dataset!F283</f>
        <v>4355</v>
      </c>
      <c r="G286" s="3" t="n">
        <f aca="false">Original_Dataset!G283</f>
        <v>0.051</v>
      </c>
      <c r="H286" s="3" t="n">
        <f aca="false">Original_Dataset!H283</f>
        <v>15</v>
      </c>
      <c r="I286" s="3" t="n">
        <f aca="false">Original_Dataset!I283</f>
        <v>87.9</v>
      </c>
      <c r="J286" s="3" t="n">
        <f aca="false">IF(ISBLANK(Original_Dataset!J283),$Q$3,Original_Dataset!J283)</f>
        <v>3.09</v>
      </c>
      <c r="K286" s="3" t="n">
        <f aca="false">Original_Dataset!K283</f>
        <v>0</v>
      </c>
      <c r="L286" s="3" t="n">
        <f aca="false">IF(ISBLANK(Original_Dataset!L283),$Q$4,Original_Dataset!L283)</f>
        <v>4</v>
      </c>
      <c r="M286" s="3" t="n">
        <f aca="false">Original_Dataset!M283</f>
        <v>555557.77</v>
      </c>
      <c r="N286" s="3" t="n">
        <f aca="false">Original_Dataset!N283</f>
        <v>86475.51</v>
      </c>
    </row>
    <row r="287" customFormat="false" ht="15" hidden="false" customHeight="true" outlineLevel="0" collapsed="false">
      <c r="A287" s="3" t="str">
        <f aca="false">Original_Dataset!A284</f>
        <v>STR-1071</v>
      </c>
      <c r="B287" s="4" t="n">
        <f aca="false">Original_Dataset!B284</f>
        <v>45717</v>
      </c>
      <c r="C287" s="3" t="str">
        <f aca="false">Original_Dataset!C284</f>
        <v>South</v>
      </c>
      <c r="D287" s="3" t="str">
        <f aca="false">Original_Dataset!D284</f>
        <v>High Street</v>
      </c>
      <c r="E287" s="3" t="n">
        <f aca="false">Original_Dataset!E284</f>
        <v>66104.19</v>
      </c>
      <c r="F287" s="3" t="n">
        <f aca="false">Original_Dataset!F284</f>
        <v>5745</v>
      </c>
      <c r="G287" s="3" t="n">
        <f aca="false">Original_Dataset!G284</f>
        <v>0.07</v>
      </c>
      <c r="H287" s="3" t="n">
        <f aca="false">Original_Dataset!H284</f>
        <v>17</v>
      </c>
      <c r="I287" s="3" t="n">
        <f aca="false">Original_Dataset!I284</f>
        <v>95.8</v>
      </c>
      <c r="J287" s="3" t="n">
        <f aca="false">IF(ISBLANK(Original_Dataset!J284),$Q$3,Original_Dataset!J284)</f>
        <v>3.15</v>
      </c>
      <c r="K287" s="3" t="n">
        <f aca="false">Original_Dataset!K284</f>
        <v>0</v>
      </c>
      <c r="L287" s="3" t="n">
        <f aca="false">IF(ISBLANK(Original_Dataset!L284),$Q$4,Original_Dataset!L284)</f>
        <v>4</v>
      </c>
      <c r="M287" s="3" t="n">
        <f aca="false">Original_Dataset!M284</f>
        <v>714083.68</v>
      </c>
      <c r="N287" s="3" t="n">
        <f aca="false">Original_Dataset!N284</f>
        <v>127231.74</v>
      </c>
    </row>
    <row r="288" customFormat="false" ht="15" hidden="false" customHeight="true" outlineLevel="0" collapsed="false">
      <c r="A288" s="3" t="str">
        <f aca="false">Original_Dataset!A285</f>
        <v>STR-1071</v>
      </c>
      <c r="B288" s="4" t="n">
        <f aca="false">Original_Dataset!B285</f>
        <v>45748</v>
      </c>
      <c r="C288" s="3" t="str">
        <f aca="false">Original_Dataset!C285</f>
        <v>South</v>
      </c>
      <c r="D288" s="3" t="str">
        <f aca="false">Original_Dataset!D285</f>
        <v>High Street</v>
      </c>
      <c r="E288" s="3" t="n">
        <f aca="false">Original_Dataset!E285</f>
        <v>18599.21</v>
      </c>
      <c r="F288" s="3" t="n">
        <f aca="false">Original_Dataset!F285</f>
        <v>3027</v>
      </c>
      <c r="G288" s="3" t="n">
        <f aca="false">Original_Dataset!G285</f>
        <v>0.122</v>
      </c>
      <c r="H288" s="3" t="n">
        <f aca="false">Original_Dataset!H285</f>
        <v>11</v>
      </c>
      <c r="I288" s="3" t="n">
        <f aca="false">Original_Dataset!I285</f>
        <v>80.9</v>
      </c>
      <c r="J288" s="3" t="n">
        <f aca="false">IF(ISBLANK(Original_Dataset!J285),$Q$3,Original_Dataset!J285)</f>
        <v>6.44</v>
      </c>
      <c r="K288" s="3" t="n">
        <f aca="false">Original_Dataset!K285</f>
        <v>0</v>
      </c>
      <c r="L288" s="3" t="n">
        <f aca="false">IF(ISBLANK(Original_Dataset!L285),$Q$4,Original_Dataset!L285)</f>
        <v>4.2</v>
      </c>
      <c r="M288" s="3" t="n">
        <f aca="false">Original_Dataset!M285</f>
        <v>497439.82</v>
      </c>
      <c r="N288" s="3" t="n">
        <f aca="false">Original_Dataset!N285</f>
        <v>93372.75</v>
      </c>
    </row>
    <row r="289" customFormat="false" ht="15" hidden="false" customHeight="true" outlineLevel="0" collapsed="false">
      <c r="A289" s="3" t="str">
        <f aca="false">Original_Dataset!A286</f>
        <v>STR-1072</v>
      </c>
      <c r="B289" s="4" t="n">
        <f aca="false">Original_Dataset!B286</f>
        <v>45658</v>
      </c>
      <c r="C289" s="3" t="str">
        <f aca="false">Original_Dataset!C286</f>
        <v>West</v>
      </c>
      <c r="D289" s="3" t="str">
        <f aca="false">Original_Dataset!D286</f>
        <v>Residential</v>
      </c>
      <c r="E289" s="3" t="n">
        <f aca="false">Original_Dataset!E286</f>
        <v>60183.06</v>
      </c>
      <c r="F289" s="3" t="n">
        <f aca="false">Original_Dataset!F286</f>
        <v>5562</v>
      </c>
      <c r="G289" s="3" t="n">
        <f aca="false">Original_Dataset!G286</f>
        <v>0.009</v>
      </c>
      <c r="H289" s="3" t="n">
        <f aca="false">Original_Dataset!H286</f>
        <v>13</v>
      </c>
      <c r="I289" s="3" t="n">
        <f aca="false">Original_Dataset!I286</f>
        <v>86.3</v>
      </c>
      <c r="J289" s="3" t="n">
        <f aca="false">IF(ISBLANK(Original_Dataset!J286),$Q$3,Original_Dataset!J286)</f>
        <v>0.2</v>
      </c>
      <c r="K289" s="3" t="n">
        <f aca="false">Original_Dataset!K286</f>
        <v>1</v>
      </c>
      <c r="L289" s="3" t="n">
        <f aca="false">IF(ISBLANK(Original_Dataset!L286),$Q$4,Original_Dataset!L286)</f>
        <v>4.5</v>
      </c>
      <c r="M289" s="3" t="n">
        <f aca="false">Original_Dataset!M286</f>
        <v>636775.66</v>
      </c>
      <c r="N289" s="3" t="n">
        <f aca="false">Original_Dataset!N286</f>
        <v>122636.86</v>
      </c>
    </row>
    <row r="290" customFormat="false" ht="15" hidden="false" customHeight="true" outlineLevel="0" collapsed="false">
      <c r="A290" s="3" t="str">
        <f aca="false">Original_Dataset!A287</f>
        <v>STR-1072</v>
      </c>
      <c r="B290" s="4" t="n">
        <f aca="false">Original_Dataset!B287</f>
        <v>45689</v>
      </c>
      <c r="C290" s="3" t="str">
        <f aca="false">Original_Dataset!C287</f>
        <v>West</v>
      </c>
      <c r="D290" s="3" t="str">
        <f aca="false">Original_Dataset!D287</f>
        <v>Residential</v>
      </c>
      <c r="E290" s="3" t="n">
        <f aca="false">Original_Dataset!E287</f>
        <v>74539.14</v>
      </c>
      <c r="F290" s="3" t="n">
        <f aca="false">Original_Dataset!F287</f>
        <v>4487</v>
      </c>
      <c r="G290" s="3" t="n">
        <f aca="false">Original_Dataset!G287</f>
        <v>0.14</v>
      </c>
      <c r="H290" s="3" t="n">
        <f aca="false">Original_Dataset!H287</f>
        <v>10</v>
      </c>
      <c r="I290" s="3" t="n">
        <f aca="false">Original_Dataset!I287</f>
        <v>90.4</v>
      </c>
      <c r="J290" s="3" t="n">
        <f aca="false">IF(ISBLANK(Original_Dataset!J287),$Q$3,Original_Dataset!J287)</f>
        <v>0.59</v>
      </c>
      <c r="K290" s="3" t="n">
        <f aca="false">Original_Dataset!K287</f>
        <v>0</v>
      </c>
      <c r="L290" s="3" t="n">
        <f aca="false">IF(ISBLANK(Original_Dataset!L287),$Q$4,Original_Dataset!L287)</f>
        <v>4.5</v>
      </c>
      <c r="M290" s="3" t="n">
        <f aca="false">Original_Dataset!M287</f>
        <v>633009.53</v>
      </c>
      <c r="N290" s="3" t="n">
        <f aca="false">Original_Dataset!N287</f>
        <v>123782.67</v>
      </c>
    </row>
    <row r="291" customFormat="false" ht="15" hidden="false" customHeight="true" outlineLevel="0" collapsed="false">
      <c r="A291" s="3" t="str">
        <f aca="false">Original_Dataset!A288</f>
        <v>STR-1072</v>
      </c>
      <c r="B291" s="4" t="n">
        <f aca="false">Original_Dataset!B288</f>
        <v>45717</v>
      </c>
      <c r="C291" s="3" t="str">
        <f aca="false">Original_Dataset!C288</f>
        <v>West</v>
      </c>
      <c r="D291" s="3" t="str">
        <f aca="false">Original_Dataset!D288</f>
        <v>Residential</v>
      </c>
      <c r="E291" s="3" t="n">
        <f aca="false">Original_Dataset!E288</f>
        <v>55371.97</v>
      </c>
      <c r="F291" s="3" t="n">
        <f aca="false">Original_Dataset!F288</f>
        <v>4162</v>
      </c>
      <c r="G291" s="3" t="n">
        <f aca="false">Original_Dataset!G288</f>
        <v>0.183</v>
      </c>
      <c r="H291" s="3" t="n">
        <f aca="false">Original_Dataset!H288</f>
        <v>11</v>
      </c>
      <c r="I291" s="3" t="n">
        <f aca="false">Original_Dataset!I288</f>
        <v>92</v>
      </c>
      <c r="J291" s="3" t="n">
        <f aca="false">IF(ISBLANK(Original_Dataset!J288),$Q$3,Original_Dataset!J288)</f>
        <v>0.2</v>
      </c>
      <c r="K291" s="3" t="n">
        <f aca="false">Original_Dataset!K288</f>
        <v>1</v>
      </c>
      <c r="L291" s="3" t="n">
        <f aca="false">IF(ISBLANK(Original_Dataset!L288),$Q$4,Original_Dataset!L288)</f>
        <v>4.2</v>
      </c>
      <c r="M291" s="3" t="n">
        <f aca="false">Original_Dataset!M288</f>
        <v>609949</v>
      </c>
      <c r="N291" s="3" t="n">
        <f aca="false">Original_Dataset!N288</f>
        <v>126789.25</v>
      </c>
    </row>
    <row r="292" customFormat="false" ht="15" hidden="false" customHeight="true" outlineLevel="0" collapsed="false">
      <c r="A292" s="3" t="str">
        <f aca="false">Original_Dataset!A289</f>
        <v>STR-1072</v>
      </c>
      <c r="B292" s="4" t="n">
        <f aca="false">Original_Dataset!B289</f>
        <v>45748</v>
      </c>
      <c r="C292" s="3" t="str">
        <f aca="false">Original_Dataset!C289</f>
        <v>West</v>
      </c>
      <c r="D292" s="3" t="str">
        <f aca="false">Original_Dataset!D289</f>
        <v>Residential</v>
      </c>
      <c r="E292" s="3" t="n">
        <f aca="false">Original_Dataset!E289</f>
        <v>40928.69</v>
      </c>
      <c r="F292" s="3" t="n">
        <f aca="false">Original_Dataset!F289</f>
        <v>4094</v>
      </c>
      <c r="G292" s="3" t="n">
        <f aca="false">Original_Dataset!G289</f>
        <v>0.174</v>
      </c>
      <c r="H292" s="3" t="n">
        <f aca="false">Original_Dataset!H289</f>
        <v>13</v>
      </c>
      <c r="I292" s="3" t="n">
        <f aca="false">Original_Dataset!I289</f>
        <v>82.4</v>
      </c>
      <c r="J292" s="3" t="n">
        <f aca="false">IF(ISBLANK(Original_Dataset!J289),$Q$3,Original_Dataset!J289)</f>
        <v>1.36</v>
      </c>
      <c r="K292" s="3" t="n">
        <f aca="false">Original_Dataset!K289</f>
        <v>0</v>
      </c>
      <c r="L292" s="3" t="n">
        <f aca="false">IF(ISBLANK(Original_Dataset!L289),$Q$4,Original_Dataset!L289)</f>
        <v>4.8</v>
      </c>
      <c r="M292" s="3" t="n">
        <f aca="false">Original_Dataset!M289</f>
        <v>548103.7</v>
      </c>
      <c r="N292" s="3" t="n">
        <f aca="false">Original_Dataset!N289</f>
        <v>99905.52</v>
      </c>
    </row>
    <row r="293" customFormat="false" ht="15" hidden="false" customHeight="true" outlineLevel="0" collapsed="false">
      <c r="A293" s="3" t="str">
        <f aca="false">Original_Dataset!A290</f>
        <v>STR-1073</v>
      </c>
      <c r="B293" s="4" t="n">
        <f aca="false">Original_Dataset!B290</f>
        <v>45658</v>
      </c>
      <c r="C293" s="3" t="str">
        <f aca="false">Original_Dataset!C290</f>
        <v>East</v>
      </c>
      <c r="D293" s="3" t="str">
        <f aca="false">Original_Dataset!D290</f>
        <v>Residential</v>
      </c>
      <c r="E293" s="3" t="n">
        <f aca="false">Original_Dataset!E290</f>
        <v>70012.41</v>
      </c>
      <c r="F293" s="3" t="n">
        <f aca="false">Original_Dataset!F290</f>
        <v>8484</v>
      </c>
      <c r="G293" s="3" t="n">
        <f aca="false">Original_Dataset!G290</f>
        <v>0.273</v>
      </c>
      <c r="H293" s="3" t="n">
        <f aca="false">Original_Dataset!H290</f>
        <v>23</v>
      </c>
      <c r="I293" s="3" t="n">
        <f aca="false">Original_Dataset!I290</f>
        <v>72.9</v>
      </c>
      <c r="J293" s="3" t="n">
        <f aca="false">IF(ISBLANK(Original_Dataset!J290),$Q$3,Original_Dataset!J290)</f>
        <v>3.34</v>
      </c>
      <c r="K293" s="3" t="n">
        <f aca="false">Original_Dataset!K290</f>
        <v>0</v>
      </c>
      <c r="L293" s="3" t="n">
        <f aca="false">IF(ISBLANK(Original_Dataset!L290),$Q$4,Original_Dataset!L290)</f>
        <v>3.7</v>
      </c>
      <c r="M293" s="3" t="n">
        <f aca="false">Original_Dataset!M290</f>
        <v>729424.42</v>
      </c>
      <c r="N293" s="3" t="n">
        <f aca="false">Original_Dataset!N290</f>
        <v>75592.28</v>
      </c>
    </row>
    <row r="294" customFormat="false" ht="15" hidden="false" customHeight="true" outlineLevel="0" collapsed="false">
      <c r="A294" s="3" t="str">
        <f aca="false">Original_Dataset!A291</f>
        <v>STR-1073</v>
      </c>
      <c r="B294" s="4" t="n">
        <f aca="false">Original_Dataset!B291</f>
        <v>45689</v>
      </c>
      <c r="C294" s="3" t="str">
        <f aca="false">Original_Dataset!C291</f>
        <v>East</v>
      </c>
      <c r="D294" s="3" t="str">
        <f aca="false">Original_Dataset!D291</f>
        <v>Residential</v>
      </c>
      <c r="E294" s="3" t="n">
        <f aca="false">Original_Dataset!E291</f>
        <v>68909.26</v>
      </c>
      <c r="F294" s="3" t="n">
        <f aca="false">Original_Dataset!F291</f>
        <v>7794</v>
      </c>
      <c r="G294" s="3" t="n">
        <f aca="false">Original_Dataset!G291</f>
        <v>0.284</v>
      </c>
      <c r="H294" s="3" t="n">
        <f aca="false">Original_Dataset!H291</f>
        <v>22</v>
      </c>
      <c r="I294" s="3" t="n">
        <f aca="false">Original_Dataset!I291</f>
        <v>89</v>
      </c>
      <c r="J294" s="3" t="n">
        <f aca="false">IF(ISBLANK(Original_Dataset!J291),$Q$3,Original_Dataset!J291)</f>
        <v>0.33</v>
      </c>
      <c r="K294" s="3" t="n">
        <f aca="false">Original_Dataset!K291</f>
        <v>0</v>
      </c>
      <c r="L294" s="3" t="n">
        <f aca="false">IF(ISBLANK(Original_Dataset!L291),$Q$4,Original_Dataset!L291)</f>
        <v>4</v>
      </c>
      <c r="M294" s="3" t="n">
        <f aca="false">Original_Dataset!M291</f>
        <v>696261.49</v>
      </c>
      <c r="N294" s="3" t="n">
        <f aca="false">Original_Dataset!N291</f>
        <v>72455.35</v>
      </c>
    </row>
    <row r="295" customFormat="false" ht="15" hidden="false" customHeight="true" outlineLevel="0" collapsed="false">
      <c r="A295" s="3" t="str">
        <f aca="false">Original_Dataset!A292</f>
        <v>STR-1073</v>
      </c>
      <c r="B295" s="4" t="n">
        <f aca="false">Original_Dataset!B292</f>
        <v>45717</v>
      </c>
      <c r="C295" s="3" t="str">
        <f aca="false">Original_Dataset!C292</f>
        <v>East</v>
      </c>
      <c r="D295" s="3" t="str">
        <f aca="false">Original_Dataset!D292</f>
        <v>Residential</v>
      </c>
      <c r="E295" s="3" t="n">
        <f aca="false">Original_Dataset!E292</f>
        <v>56737.3</v>
      </c>
      <c r="F295" s="3" t="n">
        <f aca="false">Original_Dataset!F292</f>
        <v>8300</v>
      </c>
      <c r="G295" s="3" t="n">
        <f aca="false">Original_Dataset!G292</f>
        <v>0.032</v>
      </c>
      <c r="H295" s="3" t="n">
        <f aca="false">Original_Dataset!H292</f>
        <v>21</v>
      </c>
      <c r="I295" s="3" t="n">
        <f aca="false">Original_Dataset!I292</f>
        <v>83.2</v>
      </c>
      <c r="J295" s="3" t="n">
        <f aca="false">IF(ISBLANK(Original_Dataset!J292),$Q$3,Original_Dataset!J292)</f>
        <v>3.44</v>
      </c>
      <c r="K295" s="3" t="n">
        <f aca="false">Original_Dataset!K292</f>
        <v>1</v>
      </c>
      <c r="L295" s="3" t="n">
        <f aca="false">IF(ISBLANK(Original_Dataset!L292),$Q$4,Original_Dataset!L292)</f>
        <v>4.3</v>
      </c>
      <c r="M295" s="3" t="n">
        <f aca="false">Original_Dataset!M292</f>
        <v>813316.71</v>
      </c>
      <c r="N295" s="3" t="n">
        <f aca="false">Original_Dataset!N292</f>
        <v>110077.42</v>
      </c>
    </row>
    <row r="296" customFormat="false" ht="15" hidden="false" customHeight="true" outlineLevel="0" collapsed="false">
      <c r="A296" s="3" t="str">
        <f aca="false">Original_Dataset!A293</f>
        <v>STR-1073</v>
      </c>
      <c r="B296" s="4" t="n">
        <f aca="false">Original_Dataset!B293</f>
        <v>45748</v>
      </c>
      <c r="C296" s="3" t="str">
        <f aca="false">Original_Dataset!C293</f>
        <v>East</v>
      </c>
      <c r="D296" s="3" t="str">
        <f aca="false">Original_Dataset!D293</f>
        <v>Residential</v>
      </c>
      <c r="E296" s="3" t="n">
        <f aca="false">Original_Dataset!E293</f>
        <v>54080.91</v>
      </c>
      <c r="F296" s="3" t="n">
        <f aca="false">Original_Dataset!F293</f>
        <v>7083</v>
      </c>
      <c r="G296" s="3" t="n">
        <f aca="false">Original_Dataset!G293</f>
        <v>0</v>
      </c>
      <c r="H296" s="3" t="n">
        <f aca="false">Original_Dataset!H293</f>
        <v>15</v>
      </c>
      <c r="I296" s="3" t="n">
        <f aca="false">Original_Dataset!I293</f>
        <v>97</v>
      </c>
      <c r="J296" s="3" t="n">
        <f aca="false">IF(ISBLANK(Original_Dataset!J293),$Q$3,Original_Dataset!J293)</f>
        <v>5.33</v>
      </c>
      <c r="K296" s="3" t="n">
        <f aca="false">Original_Dataset!K293</f>
        <v>0</v>
      </c>
      <c r="L296" s="3" t="n">
        <f aca="false">IF(ISBLANK(Original_Dataset!L293),$Q$4,Original_Dataset!L293)</f>
        <v>4.1</v>
      </c>
      <c r="M296" s="3" t="n">
        <f aca="false">Original_Dataset!M293</f>
        <v>702068.92</v>
      </c>
      <c r="N296" s="3" t="n">
        <f aca="false">Original_Dataset!N293</f>
        <v>111266.63</v>
      </c>
    </row>
    <row r="297" customFormat="false" ht="15" hidden="false" customHeight="true" outlineLevel="0" collapsed="false">
      <c r="A297" s="3" t="str">
        <f aca="false">Original_Dataset!A294</f>
        <v>STR-1074</v>
      </c>
      <c r="B297" s="4" t="n">
        <f aca="false">Original_Dataset!B294</f>
        <v>45658</v>
      </c>
      <c r="C297" s="3" t="str">
        <f aca="false">Original_Dataset!C294</f>
        <v>West</v>
      </c>
      <c r="D297" s="3" t="str">
        <f aca="false">Original_Dataset!D294</f>
        <v>High Street</v>
      </c>
      <c r="E297" s="3" t="n">
        <f aca="false">Original_Dataset!E294</f>
        <v>51996.32</v>
      </c>
      <c r="F297" s="3" t="n">
        <f aca="false">Original_Dataset!F294</f>
        <v>3834</v>
      </c>
      <c r="G297" s="3" t="n">
        <f aca="false">Original_Dataset!G294</f>
        <v>0.096</v>
      </c>
      <c r="H297" s="3" t="n">
        <f aca="false">Original_Dataset!H294</f>
        <v>8</v>
      </c>
      <c r="I297" s="3" t="n">
        <f aca="false">Original_Dataset!I294</f>
        <v>86.7</v>
      </c>
      <c r="J297" s="3" t="n">
        <f aca="false">IF(ISBLANK(Original_Dataset!J294),$Q$3,Original_Dataset!J294)</f>
        <v>6.04</v>
      </c>
      <c r="K297" s="3" t="n">
        <f aca="false">Original_Dataset!K294</f>
        <v>0</v>
      </c>
      <c r="L297" s="3" t="n">
        <f aca="false">IF(ISBLANK(Original_Dataset!L294),$Q$4,Original_Dataset!L294)</f>
        <v>4.5</v>
      </c>
      <c r="M297" s="3" t="n">
        <f aca="false">Original_Dataset!M294</f>
        <v>546223.7</v>
      </c>
      <c r="N297" s="3" t="n">
        <f aca="false">Original_Dataset!N294</f>
        <v>100769.17</v>
      </c>
    </row>
    <row r="298" customFormat="false" ht="15" hidden="false" customHeight="true" outlineLevel="0" collapsed="false">
      <c r="A298" s="3" t="str">
        <f aca="false">Original_Dataset!A295</f>
        <v>STR-1074</v>
      </c>
      <c r="B298" s="4" t="n">
        <f aca="false">Original_Dataset!B295</f>
        <v>45689</v>
      </c>
      <c r="C298" s="3" t="str">
        <f aca="false">Original_Dataset!C295</f>
        <v>West</v>
      </c>
      <c r="D298" s="3" t="str">
        <f aca="false">Original_Dataset!D295</f>
        <v>High Street</v>
      </c>
      <c r="E298" s="3" t="n">
        <f aca="false">Original_Dataset!E295</f>
        <v>40102.88</v>
      </c>
      <c r="F298" s="3" t="n">
        <f aca="false">Original_Dataset!F295</f>
        <v>2358</v>
      </c>
      <c r="G298" s="3" t="n">
        <f aca="false">Original_Dataset!G295</f>
        <v>0.119</v>
      </c>
      <c r="H298" s="3" t="n">
        <f aca="false">Original_Dataset!H295</f>
        <v>9</v>
      </c>
      <c r="I298" s="3" t="n">
        <f aca="false">Original_Dataset!I295</f>
        <v>88.7</v>
      </c>
      <c r="J298" s="3" t="n">
        <f aca="false">IF(ISBLANK(Original_Dataset!J295),$Q$3,Original_Dataset!J295)</f>
        <v>1.6</v>
      </c>
      <c r="K298" s="3" t="n">
        <f aca="false">Original_Dataset!K295</f>
        <v>0</v>
      </c>
      <c r="L298" s="3" t="n">
        <f aca="false">IF(ISBLANK(Original_Dataset!L295),$Q$4,Original_Dataset!L295)</f>
        <v>4.2</v>
      </c>
      <c r="M298" s="3" t="n">
        <f aca="false">Original_Dataset!M295</f>
        <v>533121.26</v>
      </c>
      <c r="N298" s="3" t="n">
        <f aca="false">Original_Dataset!N295</f>
        <v>55063.39</v>
      </c>
    </row>
    <row r="299" customFormat="false" ht="15" hidden="false" customHeight="true" outlineLevel="0" collapsed="false">
      <c r="A299" s="3" t="str">
        <f aca="false">Original_Dataset!A296</f>
        <v>STR-1074</v>
      </c>
      <c r="B299" s="4" t="n">
        <f aca="false">Original_Dataset!B296</f>
        <v>45717</v>
      </c>
      <c r="C299" s="3" t="str">
        <f aca="false">Original_Dataset!C296</f>
        <v>West</v>
      </c>
      <c r="D299" s="3" t="str">
        <f aca="false">Original_Dataset!D296</f>
        <v>High Street</v>
      </c>
      <c r="E299" s="3" t="n">
        <f aca="false">Original_Dataset!E296</f>
        <v>59825.51</v>
      </c>
      <c r="F299" s="3" t="n">
        <f aca="false">Original_Dataset!F296</f>
        <v>1231</v>
      </c>
      <c r="G299" s="3" t="n">
        <f aca="false">Original_Dataset!G296</f>
        <v>0.214</v>
      </c>
      <c r="H299" s="3" t="n">
        <f aca="false">Original_Dataset!H296</f>
        <v>10</v>
      </c>
      <c r="I299" s="3" t="n">
        <f aca="false">Original_Dataset!I296</f>
        <v>84.8</v>
      </c>
      <c r="J299" s="3" t="n">
        <f aca="false">IF(ISBLANK(Original_Dataset!J296),$Q$3,Original_Dataset!J296)</f>
        <v>8.96</v>
      </c>
      <c r="K299" s="3" t="n">
        <f aca="false">Original_Dataset!K296</f>
        <v>0</v>
      </c>
      <c r="L299" s="3" t="n">
        <f aca="false">IF(ISBLANK(Original_Dataset!L296),$Q$4,Original_Dataset!L296)</f>
        <v>4.7</v>
      </c>
      <c r="M299" s="3" t="n">
        <f aca="false">Original_Dataset!M296</f>
        <v>498970.32</v>
      </c>
      <c r="N299" s="3" t="n">
        <f aca="false">Original_Dataset!N296</f>
        <v>69656.7</v>
      </c>
    </row>
    <row r="300" customFormat="false" ht="15" hidden="false" customHeight="true" outlineLevel="0" collapsed="false">
      <c r="A300" s="3" t="str">
        <f aca="false">Original_Dataset!A297</f>
        <v>STR-1074</v>
      </c>
      <c r="B300" s="4" t="n">
        <f aca="false">Original_Dataset!B297</f>
        <v>45748</v>
      </c>
      <c r="C300" s="3" t="str">
        <f aca="false">Original_Dataset!C297</f>
        <v>West</v>
      </c>
      <c r="D300" s="3" t="str">
        <f aca="false">Original_Dataset!D297</f>
        <v>High Street</v>
      </c>
      <c r="E300" s="3" t="n">
        <f aca="false">Original_Dataset!E297</f>
        <v>27398.28</v>
      </c>
      <c r="F300" s="3" t="n">
        <f aca="false">Original_Dataset!F297</f>
        <v>1723</v>
      </c>
      <c r="G300" s="3" t="n">
        <f aca="false">Original_Dataset!G297</f>
        <v>0.171</v>
      </c>
      <c r="H300" s="3" t="n">
        <f aca="false">Original_Dataset!H297</f>
        <v>9</v>
      </c>
      <c r="I300" s="3" t="n">
        <f aca="false">Original_Dataset!I297</f>
        <v>81</v>
      </c>
      <c r="J300" s="3" t="n">
        <f aca="false">IF(ISBLANK(Original_Dataset!J297),$Q$3,Original_Dataset!J297)</f>
        <v>0.74</v>
      </c>
      <c r="K300" s="3" t="n">
        <f aca="false">Original_Dataset!K297</f>
        <v>0</v>
      </c>
      <c r="L300" s="3" t="n">
        <f aca="false">IF(ISBLANK(Original_Dataset!L297),$Q$4,Original_Dataset!L297)</f>
        <v>4.6</v>
      </c>
      <c r="M300" s="3" t="n">
        <f aca="false">Original_Dataset!M297</f>
        <v>487738.26</v>
      </c>
      <c r="N300" s="3" t="n">
        <f aca="false">Original_Dataset!N297</f>
        <v>96435.6</v>
      </c>
    </row>
    <row r="301" customFormat="false" ht="15" hidden="false" customHeight="true" outlineLevel="0" collapsed="false">
      <c r="A301" s="3" t="str">
        <f aca="false">Original_Dataset!A298</f>
        <v>STR-1075</v>
      </c>
      <c r="B301" s="4" t="n">
        <f aca="false">Original_Dataset!B298</f>
        <v>45658</v>
      </c>
      <c r="C301" s="3" t="str">
        <f aca="false">Original_Dataset!C298</f>
        <v>West</v>
      </c>
      <c r="D301" s="3" t="str">
        <f aca="false">Original_Dataset!D298</f>
        <v>High Street</v>
      </c>
      <c r="E301" s="3" t="n">
        <f aca="false">Original_Dataset!E298</f>
        <v>55599.56</v>
      </c>
      <c r="F301" s="3" t="n">
        <f aca="false">Original_Dataset!F298</f>
        <v>5896</v>
      </c>
      <c r="G301" s="3" t="n">
        <f aca="false">Original_Dataset!G298</f>
        <v>0.036</v>
      </c>
      <c r="H301" s="3" t="n">
        <f aca="false">Original_Dataset!H298</f>
        <v>12</v>
      </c>
      <c r="I301" s="3" t="n">
        <f aca="false">Original_Dataset!I298</f>
        <v>93.1</v>
      </c>
      <c r="J301" s="3" t="n">
        <f aca="false">IF(ISBLANK(Original_Dataset!J298),$Q$3,Original_Dataset!J298)</f>
        <v>6.13</v>
      </c>
      <c r="K301" s="3" t="n">
        <f aca="false">Original_Dataset!K298</f>
        <v>0</v>
      </c>
      <c r="L301" s="3" t="n">
        <f aca="false">IF(ISBLANK(Original_Dataset!L298),$Q$4,Original_Dataset!L298)</f>
        <v>3.3</v>
      </c>
      <c r="M301" s="3" t="n">
        <f aca="false">Original_Dataset!M298</f>
        <v>668459.37</v>
      </c>
      <c r="N301" s="3" t="n">
        <f aca="false">Original_Dataset!N298</f>
        <v>126435.42</v>
      </c>
    </row>
    <row r="302" customFormat="false" ht="15" hidden="false" customHeight="true" outlineLevel="0" collapsed="false">
      <c r="A302" s="3" t="str">
        <f aca="false">Original_Dataset!A299</f>
        <v>STR-1075</v>
      </c>
      <c r="B302" s="4" t="n">
        <f aca="false">Original_Dataset!B299</f>
        <v>45689</v>
      </c>
      <c r="C302" s="3" t="str">
        <f aca="false">Original_Dataset!C299</f>
        <v>West</v>
      </c>
      <c r="D302" s="3" t="str">
        <f aca="false">Original_Dataset!D299</f>
        <v>High Street</v>
      </c>
      <c r="E302" s="3" t="n">
        <f aca="false">Original_Dataset!E299</f>
        <v>55477.61</v>
      </c>
      <c r="F302" s="3" t="n">
        <f aca="false">Original_Dataset!F299</f>
        <v>5903</v>
      </c>
      <c r="G302" s="3" t="n">
        <f aca="false">Original_Dataset!G299</f>
        <v>0.102</v>
      </c>
      <c r="H302" s="3" t="n">
        <f aca="false">Original_Dataset!H299</f>
        <v>14</v>
      </c>
      <c r="I302" s="3" t="n">
        <f aca="false">Original_Dataset!I299</f>
        <v>96.2</v>
      </c>
      <c r="J302" s="3" t="n">
        <f aca="false">IF(ISBLANK(Original_Dataset!J299),$Q$3,Original_Dataset!J299)</f>
        <v>1.41</v>
      </c>
      <c r="K302" s="3" t="n">
        <f aca="false">Original_Dataset!K299</f>
        <v>0</v>
      </c>
      <c r="L302" s="3" t="n">
        <f aca="false">IF(ISBLANK(Original_Dataset!L299),$Q$4,Original_Dataset!L299)</f>
        <v>3.3</v>
      </c>
      <c r="M302" s="3" t="n">
        <f aca="false">Original_Dataset!M299</f>
        <v>763162.45</v>
      </c>
      <c r="N302" s="3" t="n">
        <f aca="false">Original_Dataset!N299</f>
        <v>162524.05</v>
      </c>
    </row>
    <row r="303" customFormat="false" ht="15" hidden="false" customHeight="true" outlineLevel="0" collapsed="false">
      <c r="A303" s="3" t="str">
        <f aca="false">Original_Dataset!A300</f>
        <v>STR-1075</v>
      </c>
      <c r="B303" s="4" t="n">
        <f aca="false">Original_Dataset!B300</f>
        <v>45717</v>
      </c>
      <c r="C303" s="3" t="str">
        <f aca="false">Original_Dataset!C300</f>
        <v>West</v>
      </c>
      <c r="D303" s="3" t="str">
        <f aca="false">Original_Dataset!D300</f>
        <v>High Street</v>
      </c>
      <c r="E303" s="3" t="n">
        <f aca="false">Original_Dataset!E300</f>
        <v>46174.7</v>
      </c>
      <c r="F303" s="3" t="n">
        <f aca="false">Original_Dataset!F300</f>
        <v>4898</v>
      </c>
      <c r="G303" s="3" t="n">
        <f aca="false">Original_Dataset!G300</f>
        <v>0.114</v>
      </c>
      <c r="H303" s="3" t="n">
        <f aca="false">Original_Dataset!H300</f>
        <v>11</v>
      </c>
      <c r="I303" s="3" t="n">
        <f aca="false">Original_Dataset!I300</f>
        <v>91.7</v>
      </c>
      <c r="J303" s="3" t="n">
        <f aca="false">IF(ISBLANK(Original_Dataset!J300),$Q$3,Original_Dataset!J300)</f>
        <v>3.75</v>
      </c>
      <c r="K303" s="3" t="n">
        <f aca="false">Original_Dataset!K300</f>
        <v>0</v>
      </c>
      <c r="L303" s="3" t="n">
        <f aca="false">IF(ISBLANK(Original_Dataset!L300),$Q$4,Original_Dataset!L300)</f>
        <v>3.1</v>
      </c>
      <c r="M303" s="3" t="n">
        <f aca="false">Original_Dataset!M300</f>
        <v>599017.33</v>
      </c>
      <c r="N303" s="3" t="n">
        <f aca="false">Original_Dataset!N300</f>
        <v>134009.92</v>
      </c>
    </row>
    <row r="304" customFormat="false" ht="15" hidden="false" customHeight="true" outlineLevel="0" collapsed="false">
      <c r="A304" s="3" t="str">
        <f aca="false">Original_Dataset!A301</f>
        <v>STR-1075</v>
      </c>
      <c r="B304" s="4" t="n">
        <f aca="false">Original_Dataset!B301</f>
        <v>45748</v>
      </c>
      <c r="C304" s="3" t="str">
        <f aca="false">Original_Dataset!C301</f>
        <v>West</v>
      </c>
      <c r="D304" s="3" t="str">
        <f aca="false">Original_Dataset!D301</f>
        <v>High Street</v>
      </c>
      <c r="E304" s="3" t="n">
        <f aca="false">Original_Dataset!E301</f>
        <v>24362.98</v>
      </c>
      <c r="F304" s="3" t="n">
        <f aca="false">Original_Dataset!F301</f>
        <v>1462</v>
      </c>
      <c r="G304" s="3" t="n">
        <f aca="false">Original_Dataset!G301</f>
        <v>0.117</v>
      </c>
      <c r="H304" s="3" t="n">
        <f aca="false">Original_Dataset!H301</f>
        <v>6</v>
      </c>
      <c r="I304" s="3" t="n">
        <f aca="false">Original_Dataset!I301</f>
        <v>89.3</v>
      </c>
      <c r="J304" s="3" t="n">
        <f aca="false">IF(ISBLANK(Original_Dataset!J301),$Q$3,Original_Dataset!J301)</f>
        <v>15.06</v>
      </c>
      <c r="K304" s="3" t="n">
        <f aca="false">Original_Dataset!K301</f>
        <v>0</v>
      </c>
      <c r="L304" s="3" t="n">
        <f aca="false">IF(ISBLANK(Original_Dataset!L301),$Q$4,Original_Dataset!L301)</f>
        <v>3.2</v>
      </c>
      <c r="M304" s="3" t="n">
        <f aca="false">Original_Dataset!M301</f>
        <v>401582.58</v>
      </c>
      <c r="N304" s="3" t="n">
        <f aca="false">Original_Dataset!N301</f>
        <v>68454.93</v>
      </c>
    </row>
    <row r="305" customFormat="false" ht="15" hidden="false" customHeight="true" outlineLevel="0" collapsed="false">
      <c r="A305" s="3" t="str">
        <f aca="false">Original_Dataset!A302</f>
        <v>STR-1076</v>
      </c>
      <c r="B305" s="4" t="n">
        <f aca="false">Original_Dataset!B302</f>
        <v>45658</v>
      </c>
      <c r="C305" s="3" t="str">
        <f aca="false">Original_Dataset!C302</f>
        <v>North</v>
      </c>
      <c r="D305" s="3" t="str">
        <f aca="false">Original_Dataset!D302</f>
        <v>Mall</v>
      </c>
      <c r="E305" s="3" t="n">
        <f aca="false">Original_Dataset!E302</f>
        <v>40647.67</v>
      </c>
      <c r="F305" s="3" t="n">
        <f aca="false">Original_Dataset!F302</f>
        <v>8252</v>
      </c>
      <c r="G305" s="3" t="n">
        <f aca="false">Original_Dataset!G302</f>
        <v>0.141</v>
      </c>
      <c r="H305" s="3" t="n">
        <f aca="false">Original_Dataset!H302</f>
        <v>22</v>
      </c>
      <c r="I305" s="3" t="n">
        <f aca="false">Original_Dataset!I302</f>
        <v>88.2</v>
      </c>
      <c r="J305" s="3" t="n">
        <f aca="false">IF(ISBLANK(Original_Dataset!J302),$Q$3,Original_Dataset!J302)</f>
        <v>5.07</v>
      </c>
      <c r="K305" s="3" t="n">
        <f aca="false">Original_Dataset!K302</f>
        <v>1</v>
      </c>
      <c r="L305" s="3" t="n">
        <f aca="false">IF(ISBLANK(Original_Dataset!L302),$Q$4,Original_Dataset!L302)</f>
        <v>4.1</v>
      </c>
      <c r="M305" s="3" t="n">
        <f aca="false">Original_Dataset!M302</f>
        <v>703812.99</v>
      </c>
      <c r="N305" s="3" t="n">
        <f aca="false">Original_Dataset!N302</f>
        <v>133577.98</v>
      </c>
    </row>
    <row r="306" customFormat="false" ht="15" hidden="false" customHeight="true" outlineLevel="0" collapsed="false">
      <c r="A306" s="3" t="str">
        <f aca="false">Original_Dataset!A303</f>
        <v>STR-1076</v>
      </c>
      <c r="B306" s="4" t="n">
        <f aca="false">Original_Dataset!B303</f>
        <v>45689</v>
      </c>
      <c r="C306" s="3" t="str">
        <f aca="false">Original_Dataset!C303</f>
        <v>North</v>
      </c>
      <c r="D306" s="3" t="str">
        <f aca="false">Original_Dataset!D303</f>
        <v>Mall</v>
      </c>
      <c r="E306" s="3" t="n">
        <f aca="false">Original_Dataset!E303</f>
        <v>63986.98</v>
      </c>
      <c r="F306" s="3" t="n">
        <f aca="false">Original_Dataset!F303</f>
        <v>7989</v>
      </c>
      <c r="G306" s="3" t="n">
        <f aca="false">Original_Dataset!G303</f>
        <v>0.074</v>
      </c>
      <c r="H306" s="3" t="n">
        <f aca="false">Original_Dataset!H303</f>
        <v>20</v>
      </c>
      <c r="I306" s="3" t="n">
        <f aca="false">Original_Dataset!I303</f>
        <v>83.3</v>
      </c>
      <c r="J306" s="3" t="n">
        <f aca="false">IF(ISBLANK(Original_Dataset!J303),$Q$3,Original_Dataset!J303)</f>
        <v>3.6</v>
      </c>
      <c r="K306" s="3" t="n">
        <f aca="false">Original_Dataset!K303</f>
        <v>0</v>
      </c>
      <c r="L306" s="3" t="n">
        <f aca="false">IF(ISBLANK(Original_Dataset!L303),$Q$4,Original_Dataset!L303)</f>
        <v>3.7</v>
      </c>
      <c r="M306" s="3" t="n">
        <f aca="false">Original_Dataset!M303</f>
        <v>724346.73</v>
      </c>
      <c r="N306" s="3" t="n">
        <f aca="false">Original_Dataset!N303</f>
        <v>155013.91</v>
      </c>
    </row>
    <row r="307" customFormat="false" ht="15" hidden="false" customHeight="true" outlineLevel="0" collapsed="false">
      <c r="A307" s="3" t="str">
        <f aca="false">Original_Dataset!A304</f>
        <v>STR-1076</v>
      </c>
      <c r="B307" s="4" t="n">
        <f aca="false">Original_Dataset!B304</f>
        <v>45717</v>
      </c>
      <c r="C307" s="3" t="str">
        <f aca="false">Original_Dataset!C304</f>
        <v>North</v>
      </c>
      <c r="D307" s="3" t="str">
        <f aca="false">Original_Dataset!D304</f>
        <v>Mall</v>
      </c>
      <c r="E307" s="3" t="n">
        <f aca="false">Original_Dataset!E304</f>
        <v>52843.75</v>
      </c>
      <c r="F307" s="3" t="n">
        <f aca="false">Original_Dataset!F304</f>
        <v>8268</v>
      </c>
      <c r="G307" s="3" t="n">
        <f aca="false">Original_Dataset!G304</f>
        <v>0.138</v>
      </c>
      <c r="H307" s="3" t="n">
        <f aca="false">Original_Dataset!H304</f>
        <v>19</v>
      </c>
      <c r="I307" s="3" t="n">
        <f aca="false">Original_Dataset!I304</f>
        <v>87.3</v>
      </c>
      <c r="J307" s="3" t="n">
        <f aca="false">IF(ISBLANK(Original_Dataset!J304),$Q$3,Original_Dataset!J304)</f>
        <v>4.39</v>
      </c>
      <c r="K307" s="3" t="n">
        <f aca="false">Original_Dataset!K304</f>
        <v>1</v>
      </c>
      <c r="L307" s="3" t="n">
        <f aca="false">IF(ISBLANK(Original_Dataset!L304),$Q$4,Original_Dataset!L304)</f>
        <v>4.7</v>
      </c>
      <c r="M307" s="3" t="n">
        <f aca="false">Original_Dataset!M304</f>
        <v>730890.01</v>
      </c>
      <c r="N307" s="3" t="n">
        <f aca="false">Original_Dataset!N304</f>
        <v>105502.56</v>
      </c>
    </row>
    <row r="308" customFormat="false" ht="15" hidden="false" customHeight="true" outlineLevel="0" collapsed="false">
      <c r="A308" s="3" t="str">
        <f aca="false">Original_Dataset!A305</f>
        <v>STR-1076</v>
      </c>
      <c r="B308" s="4" t="n">
        <f aca="false">Original_Dataset!B305</f>
        <v>45748</v>
      </c>
      <c r="C308" s="3" t="str">
        <f aca="false">Original_Dataset!C305</f>
        <v>North</v>
      </c>
      <c r="D308" s="3" t="str">
        <f aca="false">Original_Dataset!D305</f>
        <v>Mall</v>
      </c>
      <c r="E308" s="3" t="n">
        <f aca="false">Original_Dataset!E305</f>
        <v>31997.25</v>
      </c>
      <c r="F308" s="3" t="n">
        <f aca="false">Original_Dataset!F305</f>
        <v>8183</v>
      </c>
      <c r="G308" s="3" t="n">
        <f aca="false">Original_Dataset!G305</f>
        <v>0.198</v>
      </c>
      <c r="H308" s="3" t="n">
        <f aca="false">Original_Dataset!H305</f>
        <v>18</v>
      </c>
      <c r="I308" s="3" t="n">
        <f aca="false">Original_Dataset!I305</f>
        <v>93</v>
      </c>
      <c r="J308" s="3" t="n">
        <f aca="false">IF(ISBLANK(Original_Dataset!J305),$Q$3,Original_Dataset!J305)</f>
        <v>2.79</v>
      </c>
      <c r="K308" s="3" t="n">
        <f aca="false">Original_Dataset!K305</f>
        <v>0</v>
      </c>
      <c r="L308" s="3" t="n">
        <f aca="false">IF(ISBLANK(Original_Dataset!L305),$Q$4,Original_Dataset!L305)</f>
        <v>4.2</v>
      </c>
      <c r="M308" s="3" t="n">
        <f aca="false">Original_Dataset!M305</f>
        <v>780580.95</v>
      </c>
      <c r="N308" s="3" t="n">
        <f aca="false">Original_Dataset!N305</f>
        <v>138144.46</v>
      </c>
    </row>
    <row r="309" customFormat="false" ht="15" hidden="false" customHeight="true" outlineLevel="0" collapsed="false">
      <c r="A309" s="3" t="str">
        <f aca="false">Original_Dataset!A306</f>
        <v>STR-1077</v>
      </c>
      <c r="B309" s="4" t="n">
        <f aca="false">Original_Dataset!B306</f>
        <v>45658</v>
      </c>
      <c r="C309" s="3" t="str">
        <f aca="false">Original_Dataset!C306</f>
        <v>South</v>
      </c>
      <c r="D309" s="3" t="str">
        <f aca="false">Original_Dataset!D306</f>
        <v>Residential</v>
      </c>
      <c r="E309" s="3" t="n">
        <f aca="false">Original_Dataset!E306</f>
        <v>54948.02</v>
      </c>
      <c r="F309" s="3" t="n">
        <f aca="false">Original_Dataset!F306</f>
        <v>6534</v>
      </c>
      <c r="G309" s="3" t="n">
        <f aca="false">Original_Dataset!G306</f>
        <v>0.183</v>
      </c>
      <c r="H309" s="3" t="n">
        <f aca="false">Original_Dataset!H306</f>
        <v>14</v>
      </c>
      <c r="I309" s="3" t="n">
        <f aca="false">Original_Dataset!I306</f>
        <v>94.5</v>
      </c>
      <c r="J309" s="3" t="n">
        <f aca="false">IF(ISBLANK(Original_Dataset!J306),$Q$3,Original_Dataset!J306)</f>
        <v>1.56</v>
      </c>
      <c r="K309" s="3" t="n">
        <f aca="false">Original_Dataset!K306</f>
        <v>0</v>
      </c>
      <c r="L309" s="3" t="n">
        <f aca="false">IF(ISBLANK(Original_Dataset!L306),$Q$4,Original_Dataset!L306)</f>
        <v>4</v>
      </c>
      <c r="M309" s="3" t="n">
        <f aca="false">Original_Dataset!M306</f>
        <v>727957.48</v>
      </c>
      <c r="N309" s="3" t="n">
        <f aca="false">Original_Dataset!N306</f>
        <v>74805.23</v>
      </c>
    </row>
    <row r="310" customFormat="false" ht="15" hidden="false" customHeight="true" outlineLevel="0" collapsed="false">
      <c r="A310" s="3" t="str">
        <f aca="false">Original_Dataset!A307</f>
        <v>STR-1077</v>
      </c>
      <c r="B310" s="4" t="n">
        <f aca="false">Original_Dataset!B307</f>
        <v>45689</v>
      </c>
      <c r="C310" s="3" t="str">
        <f aca="false">Original_Dataset!C307</f>
        <v>South</v>
      </c>
      <c r="D310" s="3" t="str">
        <f aca="false">Original_Dataset!D307</f>
        <v>Residential</v>
      </c>
      <c r="E310" s="3" t="n">
        <f aca="false">Original_Dataset!E307</f>
        <v>46146.24</v>
      </c>
      <c r="F310" s="3" t="n">
        <f aca="false">Original_Dataset!F307</f>
        <v>5804</v>
      </c>
      <c r="G310" s="3" t="n">
        <f aca="false">Original_Dataset!G307</f>
        <v>0.047</v>
      </c>
      <c r="H310" s="3" t="n">
        <f aca="false">Original_Dataset!H307</f>
        <v>16</v>
      </c>
      <c r="I310" s="3" t="n">
        <f aca="false">Original_Dataset!I307</f>
        <v>86.9</v>
      </c>
      <c r="J310" s="3" t="n">
        <f aca="false">IF(ISBLANK(Original_Dataset!J307),$Q$3,Original_Dataset!J307)</f>
        <v>15.82</v>
      </c>
      <c r="K310" s="3" t="n">
        <f aca="false">Original_Dataset!K307</f>
        <v>0</v>
      </c>
      <c r="L310" s="3" t="n">
        <f aca="false">IF(ISBLANK(Original_Dataset!L307),$Q$4,Original_Dataset!L307)</f>
        <v>3.8</v>
      </c>
      <c r="M310" s="3" t="n">
        <f aca="false">Original_Dataset!M307</f>
        <v>538376</v>
      </c>
      <c r="N310" s="3" t="n">
        <f aca="false">Original_Dataset!N307</f>
        <v>87605.62</v>
      </c>
    </row>
    <row r="311" customFormat="false" ht="15" hidden="false" customHeight="true" outlineLevel="0" collapsed="false">
      <c r="A311" s="3" t="str">
        <f aca="false">Original_Dataset!A308</f>
        <v>STR-1077</v>
      </c>
      <c r="B311" s="4" t="n">
        <f aca="false">Original_Dataset!B308</f>
        <v>45717</v>
      </c>
      <c r="C311" s="3" t="str">
        <f aca="false">Original_Dataset!C308</f>
        <v>South</v>
      </c>
      <c r="D311" s="3" t="str">
        <f aca="false">Original_Dataset!D308</f>
        <v>Residential</v>
      </c>
      <c r="E311" s="3" t="n">
        <f aca="false">Original_Dataset!E308</f>
        <v>22387.26</v>
      </c>
      <c r="F311" s="3" t="n">
        <f aca="false">Original_Dataset!F308</f>
        <v>6301</v>
      </c>
      <c r="G311" s="3" t="n">
        <f aca="false">Original_Dataset!G308</f>
        <v>0.146</v>
      </c>
      <c r="H311" s="3" t="n">
        <f aca="false">Original_Dataset!H308</f>
        <v>14</v>
      </c>
      <c r="I311" s="3" t="n">
        <f aca="false">Original_Dataset!I308</f>
        <v>85.9</v>
      </c>
      <c r="J311" s="3" t="n">
        <f aca="false">IF(ISBLANK(Original_Dataset!J308),$Q$3,Original_Dataset!J308)</f>
        <v>1.17</v>
      </c>
      <c r="K311" s="3" t="n">
        <f aca="false">Original_Dataset!K308</f>
        <v>1</v>
      </c>
      <c r="L311" s="3" t="n">
        <f aca="false">IF(ISBLANK(Original_Dataset!L308),$Q$4,Original_Dataset!L308)</f>
        <v>3.7</v>
      </c>
      <c r="M311" s="3" t="n">
        <f aca="false">Original_Dataset!M308</f>
        <v>665342.49</v>
      </c>
      <c r="N311" s="3" t="n">
        <f aca="false">Original_Dataset!N308</f>
        <v>93441.81</v>
      </c>
    </row>
    <row r="312" customFormat="false" ht="15" hidden="false" customHeight="true" outlineLevel="0" collapsed="false">
      <c r="A312" s="3" t="str">
        <f aca="false">Original_Dataset!A309</f>
        <v>STR-1077</v>
      </c>
      <c r="B312" s="4" t="n">
        <f aca="false">Original_Dataset!B309</f>
        <v>45748</v>
      </c>
      <c r="C312" s="3" t="str">
        <f aca="false">Original_Dataset!C309</f>
        <v>South</v>
      </c>
      <c r="D312" s="3" t="str">
        <f aca="false">Original_Dataset!D309</f>
        <v>Residential</v>
      </c>
      <c r="E312" s="3" t="n">
        <f aca="false">Original_Dataset!E309</f>
        <v>60684.05</v>
      </c>
      <c r="F312" s="3" t="n">
        <f aca="false">Original_Dataset!F309</f>
        <v>6399</v>
      </c>
      <c r="G312" s="3" t="n">
        <f aca="false">Original_Dataset!G309</f>
        <v>0.075</v>
      </c>
      <c r="H312" s="3" t="n">
        <f aca="false">Original_Dataset!H309</f>
        <v>16</v>
      </c>
      <c r="I312" s="3" t="n">
        <f aca="false">Original_Dataset!I309</f>
        <v>99</v>
      </c>
      <c r="J312" s="3" t="n">
        <f aca="false">IF(ISBLANK(Original_Dataset!J309),$Q$3,Original_Dataset!J309)</f>
        <v>3.82</v>
      </c>
      <c r="K312" s="3" t="n">
        <f aca="false">Original_Dataset!K309</f>
        <v>0</v>
      </c>
      <c r="L312" s="3" t="n">
        <f aca="false">IF(ISBLANK(Original_Dataset!L309),$Q$4,Original_Dataset!L309)</f>
        <v>3.5</v>
      </c>
      <c r="M312" s="3" t="n">
        <f aca="false">Original_Dataset!M309</f>
        <v>651164.18</v>
      </c>
      <c r="N312" s="3" t="n">
        <f aca="false">Original_Dataset!N309</f>
        <v>109466.5</v>
      </c>
    </row>
    <row r="313" customFormat="false" ht="15" hidden="false" customHeight="true" outlineLevel="0" collapsed="false">
      <c r="A313" s="3" t="str">
        <f aca="false">Original_Dataset!A310</f>
        <v>STR-1078</v>
      </c>
      <c r="B313" s="4" t="n">
        <f aca="false">Original_Dataset!B310</f>
        <v>45658</v>
      </c>
      <c r="C313" s="3" t="str">
        <f aca="false">Original_Dataset!C310</f>
        <v>South</v>
      </c>
      <c r="D313" s="3" t="str">
        <f aca="false">Original_Dataset!D310</f>
        <v>High Street</v>
      </c>
      <c r="E313" s="3" t="n">
        <f aca="false">Original_Dataset!E310</f>
        <v>48465.6</v>
      </c>
      <c r="F313" s="3" t="n">
        <f aca="false">Original_Dataset!F310</f>
        <v>5759</v>
      </c>
      <c r="G313" s="3" t="n">
        <f aca="false">Original_Dataset!G310</f>
        <v>0.154</v>
      </c>
      <c r="H313" s="3" t="n">
        <f aca="false">Original_Dataset!H310</f>
        <v>13</v>
      </c>
      <c r="I313" s="3" t="n">
        <f aca="false">Original_Dataset!I310</f>
        <v>87.5</v>
      </c>
      <c r="J313" s="3" t="n">
        <f aca="false">IF(ISBLANK(Original_Dataset!J310),$Q$3,Original_Dataset!J310)</f>
        <v>4.14</v>
      </c>
      <c r="K313" s="3" t="n">
        <f aca="false">Original_Dataset!K310</f>
        <v>0</v>
      </c>
      <c r="L313" s="3" t="n">
        <f aca="false">IF(ISBLANK(Original_Dataset!L310),$Q$4,Original_Dataset!L310)</f>
        <v>4</v>
      </c>
      <c r="M313" s="3" t="n">
        <f aca="false">Original_Dataset!M310</f>
        <v>628538.3</v>
      </c>
      <c r="N313" s="3" t="n">
        <f aca="false">Original_Dataset!N310</f>
        <v>112509.15</v>
      </c>
    </row>
    <row r="314" customFormat="false" ht="15" hidden="false" customHeight="true" outlineLevel="0" collapsed="false">
      <c r="A314" s="3" t="str">
        <f aca="false">Original_Dataset!A311</f>
        <v>STR-1078</v>
      </c>
      <c r="B314" s="4" t="n">
        <f aca="false">Original_Dataset!B311</f>
        <v>45689</v>
      </c>
      <c r="C314" s="3" t="str">
        <f aca="false">Original_Dataset!C311</f>
        <v>South</v>
      </c>
      <c r="D314" s="3" t="str">
        <f aca="false">Original_Dataset!D311</f>
        <v>High Street</v>
      </c>
      <c r="E314" s="3" t="n">
        <f aca="false">Original_Dataset!E311</f>
        <v>23702.38</v>
      </c>
      <c r="F314" s="3" t="n">
        <f aca="false">Original_Dataset!F311</f>
        <v>5285</v>
      </c>
      <c r="G314" s="3" t="n">
        <f aca="false">Original_Dataset!G311</f>
        <v>0.167</v>
      </c>
      <c r="H314" s="3" t="n">
        <f aca="false">Original_Dataset!H311</f>
        <v>14</v>
      </c>
      <c r="I314" s="3" t="n">
        <f aca="false">Original_Dataset!I311</f>
        <v>79.7</v>
      </c>
      <c r="J314" s="3" t="n">
        <f aca="false">IF(ISBLANK(Original_Dataset!J311),$Q$3,Original_Dataset!J311)</f>
        <v>1.1</v>
      </c>
      <c r="K314" s="3" t="n">
        <f aca="false">Original_Dataset!K311</f>
        <v>0</v>
      </c>
      <c r="L314" s="3" t="n">
        <f aca="false">IF(ISBLANK(Original_Dataset!L311),$Q$4,Original_Dataset!L311)</f>
        <v>4.3</v>
      </c>
      <c r="M314" s="3" t="n">
        <f aca="false">Original_Dataset!M311</f>
        <v>536524.84</v>
      </c>
      <c r="N314" s="3" t="n">
        <f aca="false">Original_Dataset!N311</f>
        <v>92752.94</v>
      </c>
    </row>
    <row r="315" customFormat="false" ht="15" hidden="false" customHeight="true" outlineLevel="0" collapsed="false">
      <c r="A315" s="3" t="str">
        <f aca="false">Original_Dataset!A312</f>
        <v>STR-1078</v>
      </c>
      <c r="B315" s="4" t="n">
        <f aca="false">Original_Dataset!B312</f>
        <v>45717</v>
      </c>
      <c r="C315" s="3" t="str">
        <f aca="false">Original_Dataset!C312</f>
        <v>South</v>
      </c>
      <c r="D315" s="3" t="str">
        <f aca="false">Original_Dataset!D312</f>
        <v>High Street</v>
      </c>
      <c r="E315" s="3" t="n">
        <f aca="false">Original_Dataset!E312</f>
        <v>54322.94</v>
      </c>
      <c r="F315" s="3" t="n">
        <f aca="false">Original_Dataset!F312</f>
        <v>5434</v>
      </c>
      <c r="G315" s="3" t="n">
        <f aca="false">Original_Dataset!G312</f>
        <v>0.2</v>
      </c>
      <c r="H315" s="3" t="n">
        <f aca="false">Original_Dataset!H312</f>
        <v>13</v>
      </c>
      <c r="I315" s="3" t="n">
        <f aca="false">Original_Dataset!I312</f>
        <v>85.7</v>
      </c>
      <c r="J315" s="3" t="n">
        <f aca="false">IF(ISBLANK(Original_Dataset!J312),$Q$3,Original_Dataset!J312)</f>
        <v>10.6</v>
      </c>
      <c r="K315" s="3" t="n">
        <f aca="false">Original_Dataset!K312</f>
        <v>0</v>
      </c>
      <c r="L315" s="3" t="n">
        <f aca="false">IF(ISBLANK(Original_Dataset!L312),$Q$4,Original_Dataset!L312)</f>
        <v>4.2</v>
      </c>
      <c r="M315" s="3" t="n">
        <f aca="false">Original_Dataset!M312</f>
        <v>621677.3</v>
      </c>
      <c r="N315" s="3" t="n">
        <f aca="false">Original_Dataset!N312</f>
        <v>105192.52</v>
      </c>
    </row>
    <row r="316" customFormat="false" ht="15" hidden="false" customHeight="true" outlineLevel="0" collapsed="false">
      <c r="A316" s="3" t="str">
        <f aca="false">Original_Dataset!A313</f>
        <v>STR-1078</v>
      </c>
      <c r="B316" s="4" t="n">
        <f aca="false">Original_Dataset!B313</f>
        <v>45748</v>
      </c>
      <c r="C316" s="3" t="str">
        <f aca="false">Original_Dataset!C313</f>
        <v>South</v>
      </c>
      <c r="D316" s="3" t="str">
        <f aca="false">Original_Dataset!D313</f>
        <v>High Street</v>
      </c>
      <c r="E316" s="3" t="n">
        <f aca="false">Original_Dataset!E313</f>
        <v>86026.58</v>
      </c>
      <c r="F316" s="3" t="n">
        <f aca="false">Original_Dataset!F313</f>
        <v>7479</v>
      </c>
      <c r="G316" s="3" t="n">
        <f aca="false">Original_Dataset!G313</f>
        <v>0.142</v>
      </c>
      <c r="H316" s="3" t="n">
        <f aca="false">Original_Dataset!H313</f>
        <v>20</v>
      </c>
      <c r="I316" s="3" t="n">
        <f aca="false">Original_Dataset!I313</f>
        <v>89</v>
      </c>
      <c r="J316" s="3" t="n">
        <f aca="false">IF(ISBLANK(Original_Dataset!J313),$Q$3,Original_Dataset!J313)</f>
        <v>0.9</v>
      </c>
      <c r="K316" s="3" t="n">
        <f aca="false">Original_Dataset!K313</f>
        <v>0</v>
      </c>
      <c r="L316" s="3" t="n">
        <f aca="false">IF(ISBLANK(Original_Dataset!L313),$Q$4,Original_Dataset!L313)</f>
        <v>3.9</v>
      </c>
      <c r="M316" s="3" t="n">
        <f aca="false">Original_Dataset!M313</f>
        <v>771129.07</v>
      </c>
      <c r="N316" s="3" t="n">
        <f aca="false">Original_Dataset!N313</f>
        <v>116851.13</v>
      </c>
    </row>
    <row r="317" customFormat="false" ht="15" hidden="false" customHeight="true" outlineLevel="0" collapsed="false">
      <c r="A317" s="3" t="str">
        <f aca="false">Original_Dataset!A314</f>
        <v>STR-1079</v>
      </c>
      <c r="B317" s="4" t="n">
        <f aca="false">Original_Dataset!B314</f>
        <v>45658</v>
      </c>
      <c r="C317" s="3" t="str">
        <f aca="false">Original_Dataset!C314</f>
        <v>North</v>
      </c>
      <c r="D317" s="3" t="str">
        <f aca="false">Original_Dataset!D314</f>
        <v>Residential</v>
      </c>
      <c r="E317" s="3" t="n">
        <f aca="false">Original_Dataset!E314</f>
        <v>78967.52</v>
      </c>
      <c r="F317" s="3" t="n">
        <f aca="false">Original_Dataset!F314</f>
        <v>6164</v>
      </c>
      <c r="G317" s="3" t="n">
        <f aca="false">Original_Dataset!G314</f>
        <v>0.021</v>
      </c>
      <c r="H317" s="3" t="n">
        <f aca="false">Original_Dataset!H314</f>
        <v>16</v>
      </c>
      <c r="I317" s="3" t="n">
        <f aca="false">Original_Dataset!I314</f>
        <v>85.5</v>
      </c>
      <c r="J317" s="3" t="n">
        <f aca="false">IF(ISBLANK(Original_Dataset!J314),$Q$3,Original_Dataset!J314)</f>
        <v>0.2</v>
      </c>
      <c r="K317" s="3" t="n">
        <f aca="false">Original_Dataset!K314</f>
        <v>0</v>
      </c>
      <c r="L317" s="3" t="n">
        <f aca="false">IF(ISBLANK(Original_Dataset!L314),$Q$4,Original_Dataset!L314)</f>
        <v>3.4</v>
      </c>
      <c r="M317" s="3" t="n">
        <f aca="false">Original_Dataset!M314</f>
        <v>702052.47</v>
      </c>
      <c r="N317" s="3" t="n">
        <f aca="false">Original_Dataset!N314</f>
        <v>121732.51</v>
      </c>
    </row>
    <row r="318" customFormat="false" ht="15" hidden="false" customHeight="true" outlineLevel="0" collapsed="false">
      <c r="A318" s="3" t="str">
        <f aca="false">Original_Dataset!A315</f>
        <v>STR-1079</v>
      </c>
      <c r="B318" s="4" t="n">
        <f aca="false">Original_Dataset!B315</f>
        <v>45689</v>
      </c>
      <c r="C318" s="3" t="str">
        <f aca="false">Original_Dataset!C315</f>
        <v>North</v>
      </c>
      <c r="D318" s="3" t="str">
        <f aca="false">Original_Dataset!D315</f>
        <v>Residential</v>
      </c>
      <c r="E318" s="3" t="n">
        <f aca="false">Original_Dataset!E315</f>
        <v>46767.99</v>
      </c>
      <c r="F318" s="3" t="n">
        <f aca="false">Original_Dataset!F315</f>
        <v>7973</v>
      </c>
      <c r="G318" s="3" t="n">
        <f aca="false">Original_Dataset!G315</f>
        <v>0.183</v>
      </c>
      <c r="H318" s="3" t="n">
        <f aca="false">Original_Dataset!H315</f>
        <v>18</v>
      </c>
      <c r="I318" s="3" t="n">
        <f aca="false">Original_Dataset!I315</f>
        <v>94.8</v>
      </c>
      <c r="J318" s="3" t="n">
        <f aca="false">IF(ISBLANK(Original_Dataset!J315),$Q$3,Original_Dataset!J315)</f>
        <v>4.67</v>
      </c>
      <c r="K318" s="3" t="n">
        <f aca="false">Original_Dataset!K315</f>
        <v>0</v>
      </c>
      <c r="L318" s="3" t="n">
        <f aca="false">IF(ISBLANK(Original_Dataset!L315),$Q$4,Original_Dataset!L315)</f>
        <v>3.9</v>
      </c>
      <c r="M318" s="3" t="n">
        <f aca="false">Original_Dataset!M315</f>
        <v>688368.46</v>
      </c>
      <c r="N318" s="3" t="n">
        <f aca="false">Original_Dataset!N315</f>
        <v>93588.42</v>
      </c>
    </row>
    <row r="319" customFormat="false" ht="15" hidden="false" customHeight="true" outlineLevel="0" collapsed="false">
      <c r="A319" s="3" t="str">
        <f aca="false">Original_Dataset!A316</f>
        <v>STR-1079</v>
      </c>
      <c r="B319" s="4" t="n">
        <f aca="false">Original_Dataset!B316</f>
        <v>45717</v>
      </c>
      <c r="C319" s="3" t="str">
        <f aca="false">Original_Dataset!C316</f>
        <v>North</v>
      </c>
      <c r="D319" s="3" t="str">
        <f aca="false">Original_Dataset!D316</f>
        <v>Residential</v>
      </c>
      <c r="E319" s="3" t="n">
        <f aca="false">Original_Dataset!E316</f>
        <v>62507.16</v>
      </c>
      <c r="F319" s="3" t="n">
        <f aca="false">Original_Dataset!F316</f>
        <v>6000</v>
      </c>
      <c r="G319" s="3" t="n">
        <f aca="false">Original_Dataset!G316</f>
        <v>0.091</v>
      </c>
      <c r="H319" s="3" t="n">
        <f aca="false">Original_Dataset!H316</f>
        <v>14</v>
      </c>
      <c r="I319" s="3" t="n">
        <f aca="false">Original_Dataset!I316</f>
        <v>98.2</v>
      </c>
      <c r="J319" s="3" t="n">
        <f aca="false">IF(ISBLANK(Original_Dataset!J316),$Q$3,Original_Dataset!J316)</f>
        <v>4.38</v>
      </c>
      <c r="K319" s="3" t="n">
        <f aca="false">Original_Dataset!K316</f>
        <v>1</v>
      </c>
      <c r="L319" s="3" t="n">
        <f aca="false">IF(ISBLANK(Original_Dataset!L316),$Q$4,Original_Dataset!L316)</f>
        <v>3.9</v>
      </c>
      <c r="M319" s="3" t="n">
        <f aca="false">Original_Dataset!M316</f>
        <v>712375.77</v>
      </c>
      <c r="N319" s="3" t="n">
        <f aca="false">Original_Dataset!N316</f>
        <v>104171.53</v>
      </c>
    </row>
    <row r="320" customFormat="false" ht="15" hidden="false" customHeight="true" outlineLevel="0" collapsed="false">
      <c r="A320" s="3" t="str">
        <f aca="false">Original_Dataset!A317</f>
        <v>STR-1079</v>
      </c>
      <c r="B320" s="4" t="n">
        <f aca="false">Original_Dataset!B317</f>
        <v>45748</v>
      </c>
      <c r="C320" s="3" t="str">
        <f aca="false">Original_Dataset!C317</f>
        <v>North</v>
      </c>
      <c r="D320" s="3" t="str">
        <f aca="false">Original_Dataset!D317</f>
        <v>Residential</v>
      </c>
      <c r="E320" s="3" t="n">
        <f aca="false">Original_Dataset!E317</f>
        <v>66456.28</v>
      </c>
      <c r="F320" s="3" t="n">
        <f aca="false">Original_Dataset!F317</f>
        <v>9967</v>
      </c>
      <c r="G320" s="3" t="n">
        <f aca="false">Original_Dataset!G317</f>
        <v>0.108</v>
      </c>
      <c r="H320" s="3" t="n">
        <f aca="false">Original_Dataset!H317</f>
        <v>20</v>
      </c>
      <c r="I320" s="3" t="n">
        <f aca="false">Original_Dataset!I317</f>
        <v>94.7</v>
      </c>
      <c r="J320" s="3" t="n">
        <f aca="false">IF(ISBLANK(Original_Dataset!J317),$Q$3,Original_Dataset!J317)</f>
        <v>4.48</v>
      </c>
      <c r="K320" s="3" t="n">
        <f aca="false">Original_Dataset!K317</f>
        <v>0</v>
      </c>
      <c r="L320" s="3" t="n">
        <f aca="false">IF(ISBLANK(Original_Dataset!L317),$Q$4,Original_Dataset!L317)</f>
        <v>4.2</v>
      </c>
      <c r="M320" s="3" t="n">
        <f aca="false">Original_Dataset!M317</f>
        <v>844710.67</v>
      </c>
      <c r="N320" s="3" t="n">
        <f aca="false">Original_Dataset!N317</f>
        <v>137140.18</v>
      </c>
    </row>
    <row r="321" customFormat="false" ht="15" hidden="false" customHeight="true" outlineLevel="0" collapsed="false">
      <c r="A321" s="3" t="str">
        <f aca="false">Original_Dataset!A318</f>
        <v>STR-1080</v>
      </c>
      <c r="B321" s="4" t="n">
        <f aca="false">Original_Dataset!B318</f>
        <v>45658</v>
      </c>
      <c r="C321" s="3" t="str">
        <f aca="false">Original_Dataset!C318</f>
        <v>East</v>
      </c>
      <c r="D321" s="3" t="str">
        <f aca="false">Original_Dataset!D318</f>
        <v>Residential</v>
      </c>
      <c r="E321" s="3" t="n">
        <f aca="false">Original_Dataset!E318</f>
        <v>76614.32</v>
      </c>
      <c r="F321" s="3" t="n">
        <f aca="false">Original_Dataset!F318</f>
        <v>5639</v>
      </c>
      <c r="G321" s="3" t="n">
        <f aca="false">Original_Dataset!G318</f>
        <v>0.174</v>
      </c>
      <c r="H321" s="3" t="n">
        <f aca="false">Original_Dataset!H318</f>
        <v>15</v>
      </c>
      <c r="I321" s="3" t="n">
        <f aca="false">Original_Dataset!I318</f>
        <v>92.9</v>
      </c>
      <c r="J321" s="3" t="n">
        <f aca="false">IF(ISBLANK(Original_Dataset!J318),$Q$3,Original_Dataset!J318)</f>
        <v>1.02</v>
      </c>
      <c r="K321" s="3" t="n">
        <f aca="false">Original_Dataset!K318</f>
        <v>1</v>
      </c>
      <c r="L321" s="3" t="n">
        <f aca="false">IF(ISBLANK(Original_Dataset!L318),$Q$4,Original_Dataset!L318)</f>
        <v>4</v>
      </c>
      <c r="M321" s="3" t="n">
        <f aca="false">Original_Dataset!M318</f>
        <v>620264.2</v>
      </c>
      <c r="N321" s="3" t="n">
        <f aca="false">Original_Dataset!N318</f>
        <v>91365.64</v>
      </c>
    </row>
    <row r="322" customFormat="false" ht="15" hidden="false" customHeight="true" outlineLevel="0" collapsed="false">
      <c r="A322" s="3" t="str">
        <f aca="false">Original_Dataset!A319</f>
        <v>STR-1080</v>
      </c>
      <c r="B322" s="4" t="n">
        <f aca="false">Original_Dataset!B319</f>
        <v>45689</v>
      </c>
      <c r="C322" s="3" t="str">
        <f aca="false">Original_Dataset!C319</f>
        <v>East</v>
      </c>
      <c r="D322" s="3" t="str">
        <f aca="false">Original_Dataset!D319</f>
        <v>Residential</v>
      </c>
      <c r="E322" s="3" t="n">
        <f aca="false">Original_Dataset!E319</f>
        <v>24088.06</v>
      </c>
      <c r="F322" s="3" t="n">
        <f aca="false">Original_Dataset!F319</f>
        <v>3466</v>
      </c>
      <c r="G322" s="3" t="n">
        <f aca="false">Original_Dataset!G319</f>
        <v>0</v>
      </c>
      <c r="H322" s="3" t="n">
        <f aca="false">Original_Dataset!H319</f>
        <v>11</v>
      </c>
      <c r="I322" s="3" t="n">
        <f aca="false">Original_Dataset!I319</f>
        <v>88</v>
      </c>
      <c r="J322" s="3" t="n">
        <f aca="false">IF(ISBLANK(Original_Dataset!J319),$Q$3,Original_Dataset!J319)</f>
        <v>0.2</v>
      </c>
      <c r="K322" s="3" t="n">
        <f aca="false">Original_Dataset!K319</f>
        <v>0</v>
      </c>
      <c r="L322" s="3" t="n">
        <f aca="false">IF(ISBLANK(Original_Dataset!L319),$Q$4,Original_Dataset!L319)</f>
        <v>3.8</v>
      </c>
      <c r="M322" s="3" t="n">
        <f aca="false">Original_Dataset!M319</f>
        <v>536845.42</v>
      </c>
      <c r="N322" s="3" t="n">
        <f aca="false">Original_Dataset!N319</f>
        <v>107473.75</v>
      </c>
    </row>
    <row r="323" customFormat="false" ht="15" hidden="false" customHeight="true" outlineLevel="0" collapsed="false">
      <c r="A323" s="3" t="str">
        <f aca="false">Original_Dataset!A320</f>
        <v>STR-1080</v>
      </c>
      <c r="B323" s="4" t="n">
        <f aca="false">Original_Dataset!B320</f>
        <v>45717</v>
      </c>
      <c r="C323" s="3" t="str">
        <f aca="false">Original_Dataset!C320</f>
        <v>East</v>
      </c>
      <c r="D323" s="3" t="str">
        <f aca="false">Original_Dataset!D320</f>
        <v>Residential</v>
      </c>
      <c r="E323" s="3" t="n">
        <f aca="false">Original_Dataset!E320</f>
        <v>81902.58</v>
      </c>
      <c r="F323" s="3" t="n">
        <f aca="false">Original_Dataset!F320</f>
        <v>7775</v>
      </c>
      <c r="G323" s="3" t="n">
        <f aca="false">Original_Dataset!G320</f>
        <v>0.215</v>
      </c>
      <c r="H323" s="3" t="n">
        <f aca="false">Original_Dataset!H320</f>
        <v>20</v>
      </c>
      <c r="I323" s="3" t="n">
        <f aca="false">Original_Dataset!I320</f>
        <v>85.2</v>
      </c>
      <c r="J323" s="3" t="n">
        <f aca="false">IF(ISBLANK(Original_Dataset!J320),$Q$3,Original_Dataset!J320)</f>
        <v>4.89</v>
      </c>
      <c r="K323" s="3" t="n">
        <f aca="false">Original_Dataset!K320</f>
        <v>1</v>
      </c>
      <c r="L323" s="3" t="n">
        <f aca="false">IF(ISBLANK(Original_Dataset!L320),$Q$4,Original_Dataset!L320)</f>
        <v>4.2</v>
      </c>
      <c r="M323" s="3" t="n">
        <f aca="false">Original_Dataset!M320</f>
        <v>726776.22</v>
      </c>
      <c r="N323" s="3" t="n">
        <f aca="false">Original_Dataset!N320</f>
        <v>90804.49</v>
      </c>
    </row>
    <row r="324" customFormat="false" ht="15" hidden="false" customHeight="true" outlineLevel="0" collapsed="false">
      <c r="A324" s="3" t="str">
        <f aca="false">Original_Dataset!A321</f>
        <v>STR-1080</v>
      </c>
      <c r="B324" s="4" t="n">
        <f aca="false">Original_Dataset!B321</f>
        <v>45748</v>
      </c>
      <c r="C324" s="3" t="str">
        <f aca="false">Original_Dataset!C321</f>
        <v>East</v>
      </c>
      <c r="D324" s="3" t="str">
        <f aca="false">Original_Dataset!D321</f>
        <v>Residential</v>
      </c>
      <c r="E324" s="3" t="n">
        <f aca="false">Original_Dataset!E321</f>
        <v>40553.11</v>
      </c>
      <c r="F324" s="3" t="n">
        <f aca="false">Original_Dataset!F321</f>
        <v>5317</v>
      </c>
      <c r="G324" s="3" t="n">
        <f aca="false">Original_Dataset!G321</f>
        <v>0.165</v>
      </c>
      <c r="H324" s="3" t="n">
        <f aca="false">Original_Dataset!H321</f>
        <v>17</v>
      </c>
      <c r="I324" s="3" t="n">
        <f aca="false">Original_Dataset!I321</f>
        <v>84.3</v>
      </c>
      <c r="J324" s="3" t="n">
        <f aca="false">IF(ISBLANK(Original_Dataset!J321),$Q$3,Original_Dataset!J321)</f>
        <v>11.82</v>
      </c>
      <c r="K324" s="3" t="n">
        <f aca="false">Original_Dataset!K321</f>
        <v>0</v>
      </c>
      <c r="L324" s="3" t="n">
        <f aca="false">IF(ISBLANK(Original_Dataset!L321),$Q$4,Original_Dataset!L321)</f>
        <v>4.1</v>
      </c>
      <c r="M324" s="3" t="n">
        <f aca="false">Original_Dataset!M321</f>
        <v>559660.84</v>
      </c>
      <c r="N324" s="3" t="n">
        <f aca="false">Original_Dataset!N321</f>
        <v>71443.61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N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9" min="8" style="1" width="14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5" t="s">
        <v>106</v>
      </c>
    </row>
    <row r="2" customFormat="false" ht="15" hidden="false" customHeight="true" outlineLevel="0" collapsed="false">
      <c r="A2" s="6" t="s">
        <v>107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customFormat="false" ht="23.25" hidden="false" customHeight="true" outlineLevel="0" collapsed="false">
      <c r="A4" s="8" t="s">
        <v>0</v>
      </c>
      <c r="B4" s="8" t="s">
        <v>1</v>
      </c>
      <c r="C4" s="8" t="s">
        <v>2</v>
      </c>
      <c r="D4" s="8" t="s">
        <v>3</v>
      </c>
      <c r="E4" s="8" t="s">
        <v>108</v>
      </c>
      <c r="F4" s="8" t="s">
        <v>109</v>
      </c>
      <c r="G4" s="8" t="s">
        <v>110</v>
      </c>
      <c r="H4" s="8" t="s">
        <v>111</v>
      </c>
      <c r="I4" s="8" t="s">
        <v>112</v>
      </c>
      <c r="J4" s="8" t="s">
        <v>113</v>
      </c>
    </row>
    <row r="5" customFormat="false" ht="15" hidden="false" customHeight="true" outlineLevel="0" collapsed="false">
      <c r="A5" s="3" t="str">
        <f aca="false">Cleaned_Data!A5</f>
        <v>STR-1001</v>
      </c>
      <c r="B5" s="4" t="n">
        <f aca="false">Cleaned_Data!B5</f>
        <v>45658</v>
      </c>
      <c r="C5" s="3" t="str">
        <f aca="false">Cleaned_Data!C5</f>
        <v>East</v>
      </c>
      <c r="D5" s="3" t="str">
        <f aca="false">Cleaned_Data!D5</f>
        <v>Residential</v>
      </c>
      <c r="E5" s="3" t="n">
        <f aca="false">IF($D5="Airport",1,0)</f>
        <v>0</v>
      </c>
      <c r="F5" s="3" t="n">
        <f aca="false">IF($D5="Mall",1,0)</f>
        <v>0</v>
      </c>
      <c r="G5" s="3" t="n">
        <f aca="false">IF($D5="Residential",1,0)</f>
        <v>1</v>
      </c>
      <c r="H5" s="3" t="n">
        <f aca="false">IF($C5="North",1,0)</f>
        <v>0</v>
      </c>
      <c r="I5" s="3" t="n">
        <f aca="false">IF($C5="South",1,0)</f>
        <v>0</v>
      </c>
      <c r="J5" s="3" t="n">
        <f aca="false">IF($C5="West",1,0)</f>
        <v>0</v>
      </c>
    </row>
    <row r="6" customFormat="false" ht="15" hidden="false" customHeight="true" outlineLevel="0" collapsed="false">
      <c r="A6" s="3" t="str">
        <f aca="false">Cleaned_Data!A6</f>
        <v>STR-1001</v>
      </c>
      <c r="B6" s="4" t="n">
        <f aca="false">Cleaned_Data!B6</f>
        <v>45689</v>
      </c>
      <c r="C6" s="3" t="str">
        <f aca="false">Cleaned_Data!C6</f>
        <v>East</v>
      </c>
      <c r="D6" s="3" t="str">
        <f aca="false">Cleaned_Data!D6</f>
        <v>Residential</v>
      </c>
      <c r="E6" s="3" t="n">
        <f aca="false">IF($D6="Airport",1,0)</f>
        <v>0</v>
      </c>
      <c r="F6" s="3" t="n">
        <f aca="false">IF($D6="Mall",1,0)</f>
        <v>0</v>
      </c>
      <c r="G6" s="3" t="n">
        <f aca="false">IF($D6="Residential",1,0)</f>
        <v>1</v>
      </c>
      <c r="H6" s="3" t="n">
        <f aca="false">IF($C6="North",1,0)</f>
        <v>0</v>
      </c>
      <c r="I6" s="3" t="n">
        <f aca="false">IF($C6="South",1,0)</f>
        <v>0</v>
      </c>
      <c r="J6" s="3" t="n">
        <f aca="false">IF($C6="West",1,0)</f>
        <v>0</v>
      </c>
    </row>
    <row r="7" customFormat="false" ht="15" hidden="false" customHeight="true" outlineLevel="0" collapsed="false">
      <c r="A7" s="3" t="str">
        <f aca="false">Cleaned_Data!A7</f>
        <v>STR-1001</v>
      </c>
      <c r="B7" s="4" t="n">
        <f aca="false">Cleaned_Data!B7</f>
        <v>45717</v>
      </c>
      <c r="C7" s="3" t="str">
        <f aca="false">Cleaned_Data!C7</f>
        <v>East</v>
      </c>
      <c r="D7" s="3" t="str">
        <f aca="false">Cleaned_Data!D7</f>
        <v>Residential</v>
      </c>
      <c r="E7" s="3" t="n">
        <f aca="false">IF($D7="Airport",1,0)</f>
        <v>0</v>
      </c>
      <c r="F7" s="3" t="n">
        <f aca="false">IF($D7="Mall",1,0)</f>
        <v>0</v>
      </c>
      <c r="G7" s="3" t="n">
        <f aca="false">IF($D7="Residential",1,0)</f>
        <v>1</v>
      </c>
      <c r="H7" s="3" t="n">
        <f aca="false">IF($C7="North",1,0)</f>
        <v>0</v>
      </c>
      <c r="I7" s="3" t="n">
        <f aca="false">IF($C7="South",1,0)</f>
        <v>0</v>
      </c>
      <c r="J7" s="3" t="n">
        <f aca="false">IF($C7="West",1,0)</f>
        <v>0</v>
      </c>
    </row>
    <row r="8" customFormat="false" ht="15" hidden="false" customHeight="true" outlineLevel="0" collapsed="false">
      <c r="A8" s="3" t="str">
        <f aca="false">Cleaned_Data!A8</f>
        <v>STR-1001</v>
      </c>
      <c r="B8" s="4" t="n">
        <f aca="false">Cleaned_Data!B8</f>
        <v>45748</v>
      </c>
      <c r="C8" s="3" t="str">
        <f aca="false">Cleaned_Data!C8</f>
        <v>East</v>
      </c>
      <c r="D8" s="3" t="str">
        <f aca="false">Cleaned_Data!D8</f>
        <v>Residential</v>
      </c>
      <c r="E8" s="3" t="n">
        <f aca="false">IF($D8="Airport",1,0)</f>
        <v>0</v>
      </c>
      <c r="F8" s="3" t="n">
        <f aca="false">IF($D8="Mall",1,0)</f>
        <v>0</v>
      </c>
      <c r="G8" s="3" t="n">
        <f aca="false">IF($D8="Residential",1,0)</f>
        <v>1</v>
      </c>
      <c r="H8" s="3" t="n">
        <f aca="false">IF($C8="North",1,0)</f>
        <v>0</v>
      </c>
      <c r="I8" s="3" t="n">
        <f aca="false">IF($C8="South",1,0)</f>
        <v>0</v>
      </c>
      <c r="J8" s="3" t="n">
        <f aca="false">IF($C8="West",1,0)</f>
        <v>0</v>
      </c>
    </row>
    <row r="9" customFormat="false" ht="15" hidden="false" customHeight="true" outlineLevel="0" collapsed="false">
      <c r="A9" s="3" t="str">
        <f aca="false">Cleaned_Data!A9</f>
        <v>STR-1002</v>
      </c>
      <c r="B9" s="4" t="n">
        <f aca="false">Cleaned_Data!B9</f>
        <v>45658</v>
      </c>
      <c r="C9" s="3" t="str">
        <f aca="false">Cleaned_Data!C9</f>
        <v>East</v>
      </c>
      <c r="D9" s="3" t="str">
        <f aca="false">Cleaned_Data!D9</f>
        <v>High Street</v>
      </c>
      <c r="E9" s="3" t="n">
        <f aca="false">IF($D9="Airport",1,0)</f>
        <v>0</v>
      </c>
      <c r="F9" s="3" t="n">
        <f aca="false">IF($D9="Mall",1,0)</f>
        <v>0</v>
      </c>
      <c r="G9" s="3" t="n">
        <f aca="false">IF($D9="Residential",1,0)</f>
        <v>0</v>
      </c>
      <c r="H9" s="3" t="n">
        <f aca="false">IF($C9="North",1,0)</f>
        <v>0</v>
      </c>
      <c r="I9" s="3" t="n">
        <f aca="false">IF($C9="South",1,0)</f>
        <v>0</v>
      </c>
      <c r="J9" s="3" t="n">
        <f aca="false">IF($C9="West",1,0)</f>
        <v>0</v>
      </c>
    </row>
    <row r="10" customFormat="false" ht="15" hidden="false" customHeight="true" outlineLevel="0" collapsed="false">
      <c r="A10" s="3" t="str">
        <f aca="false">Cleaned_Data!A10</f>
        <v>STR-1002</v>
      </c>
      <c r="B10" s="4" t="n">
        <f aca="false">Cleaned_Data!B10</f>
        <v>45689</v>
      </c>
      <c r="C10" s="3" t="str">
        <f aca="false">Cleaned_Data!C10</f>
        <v>East</v>
      </c>
      <c r="D10" s="3" t="str">
        <f aca="false">Cleaned_Data!D10</f>
        <v>High Street</v>
      </c>
      <c r="E10" s="3" t="n">
        <f aca="false">IF($D10="Airport",1,0)</f>
        <v>0</v>
      </c>
      <c r="F10" s="3" t="n">
        <f aca="false">IF($D10="Mall",1,0)</f>
        <v>0</v>
      </c>
      <c r="G10" s="3" t="n">
        <f aca="false">IF($D10="Residential",1,0)</f>
        <v>0</v>
      </c>
      <c r="H10" s="3" t="n">
        <f aca="false">IF($C10="North",1,0)</f>
        <v>0</v>
      </c>
      <c r="I10" s="3" t="n">
        <f aca="false">IF($C10="South",1,0)</f>
        <v>0</v>
      </c>
      <c r="J10" s="3" t="n">
        <f aca="false">IF($C10="West",1,0)</f>
        <v>0</v>
      </c>
    </row>
    <row r="11" customFormat="false" ht="15" hidden="false" customHeight="true" outlineLevel="0" collapsed="false">
      <c r="A11" s="3" t="str">
        <f aca="false">Cleaned_Data!A11</f>
        <v>STR-1002</v>
      </c>
      <c r="B11" s="4" t="n">
        <f aca="false">Cleaned_Data!B11</f>
        <v>45717</v>
      </c>
      <c r="C11" s="3" t="str">
        <f aca="false">Cleaned_Data!C11</f>
        <v>East</v>
      </c>
      <c r="D11" s="3" t="str">
        <f aca="false">Cleaned_Data!D11</f>
        <v>High Street</v>
      </c>
      <c r="E11" s="3" t="n">
        <f aca="false">IF($D11="Airport",1,0)</f>
        <v>0</v>
      </c>
      <c r="F11" s="3" t="n">
        <f aca="false">IF($D11="Mall",1,0)</f>
        <v>0</v>
      </c>
      <c r="G11" s="3" t="n">
        <f aca="false">IF($D11="Residential",1,0)</f>
        <v>0</v>
      </c>
      <c r="H11" s="3" t="n">
        <f aca="false">IF($C11="North",1,0)</f>
        <v>0</v>
      </c>
      <c r="I11" s="3" t="n">
        <f aca="false">IF($C11="South",1,0)</f>
        <v>0</v>
      </c>
      <c r="J11" s="3" t="n">
        <f aca="false">IF($C11="West",1,0)</f>
        <v>0</v>
      </c>
    </row>
    <row r="12" customFormat="false" ht="15" hidden="false" customHeight="true" outlineLevel="0" collapsed="false">
      <c r="A12" s="3" t="str">
        <f aca="false">Cleaned_Data!A12</f>
        <v>STR-1002</v>
      </c>
      <c r="B12" s="4" t="n">
        <f aca="false">Cleaned_Data!B12</f>
        <v>45748</v>
      </c>
      <c r="C12" s="3" t="str">
        <f aca="false">Cleaned_Data!C12</f>
        <v>East</v>
      </c>
      <c r="D12" s="3" t="str">
        <f aca="false">Cleaned_Data!D12</f>
        <v>High Street</v>
      </c>
      <c r="E12" s="3" t="n">
        <f aca="false">IF($D12="Airport",1,0)</f>
        <v>0</v>
      </c>
      <c r="F12" s="3" t="n">
        <f aca="false">IF($D12="Mall",1,0)</f>
        <v>0</v>
      </c>
      <c r="G12" s="3" t="n">
        <f aca="false">IF($D12="Residential",1,0)</f>
        <v>0</v>
      </c>
      <c r="H12" s="3" t="n">
        <f aca="false">IF($C12="North",1,0)</f>
        <v>0</v>
      </c>
      <c r="I12" s="3" t="n">
        <f aca="false">IF($C12="South",1,0)</f>
        <v>0</v>
      </c>
      <c r="J12" s="3" t="n">
        <f aca="false">IF($C12="West",1,0)</f>
        <v>0</v>
      </c>
    </row>
    <row r="13" customFormat="false" ht="15" hidden="false" customHeight="true" outlineLevel="0" collapsed="false">
      <c r="A13" s="3" t="str">
        <f aca="false">Cleaned_Data!A13</f>
        <v>STR-1003</v>
      </c>
      <c r="B13" s="4" t="n">
        <f aca="false">Cleaned_Data!B13</f>
        <v>45658</v>
      </c>
      <c r="C13" s="3" t="str">
        <f aca="false">Cleaned_Data!C13</f>
        <v>North</v>
      </c>
      <c r="D13" s="3" t="str">
        <f aca="false">Cleaned_Data!D13</f>
        <v>Airport</v>
      </c>
      <c r="E13" s="3" t="n">
        <f aca="false">IF($D13="Airport",1,0)</f>
        <v>1</v>
      </c>
      <c r="F13" s="3" t="n">
        <f aca="false">IF($D13="Mall",1,0)</f>
        <v>0</v>
      </c>
      <c r="G13" s="3" t="n">
        <f aca="false">IF($D13="Residential",1,0)</f>
        <v>0</v>
      </c>
      <c r="H13" s="3" t="n">
        <f aca="false">IF($C13="North",1,0)</f>
        <v>1</v>
      </c>
      <c r="I13" s="3" t="n">
        <f aca="false">IF($C13="South",1,0)</f>
        <v>0</v>
      </c>
      <c r="J13" s="3" t="n">
        <f aca="false">IF($C13="West",1,0)</f>
        <v>0</v>
      </c>
    </row>
    <row r="14" customFormat="false" ht="15" hidden="false" customHeight="true" outlineLevel="0" collapsed="false">
      <c r="A14" s="3" t="str">
        <f aca="false">Cleaned_Data!A14</f>
        <v>STR-1003</v>
      </c>
      <c r="B14" s="4" t="n">
        <f aca="false">Cleaned_Data!B14</f>
        <v>45689</v>
      </c>
      <c r="C14" s="3" t="str">
        <f aca="false">Cleaned_Data!C14</f>
        <v>North</v>
      </c>
      <c r="D14" s="3" t="str">
        <f aca="false">Cleaned_Data!D14</f>
        <v>Airport</v>
      </c>
      <c r="E14" s="3" t="n">
        <f aca="false">IF($D14="Airport",1,0)</f>
        <v>1</v>
      </c>
      <c r="F14" s="3" t="n">
        <f aca="false">IF($D14="Mall",1,0)</f>
        <v>0</v>
      </c>
      <c r="G14" s="3" t="n">
        <f aca="false">IF($D14="Residential",1,0)</f>
        <v>0</v>
      </c>
      <c r="H14" s="3" t="n">
        <f aca="false">IF($C14="North",1,0)</f>
        <v>1</v>
      </c>
      <c r="I14" s="3" t="n">
        <f aca="false">IF($C14="South",1,0)</f>
        <v>0</v>
      </c>
      <c r="J14" s="3" t="n">
        <f aca="false">IF($C14="West",1,0)</f>
        <v>0</v>
      </c>
    </row>
    <row r="15" customFormat="false" ht="15" hidden="false" customHeight="true" outlineLevel="0" collapsed="false">
      <c r="A15" s="3" t="str">
        <f aca="false">Cleaned_Data!A15</f>
        <v>STR-1003</v>
      </c>
      <c r="B15" s="4" t="n">
        <f aca="false">Cleaned_Data!B15</f>
        <v>45717</v>
      </c>
      <c r="C15" s="3" t="str">
        <f aca="false">Cleaned_Data!C15</f>
        <v>North</v>
      </c>
      <c r="D15" s="3" t="str">
        <f aca="false">Cleaned_Data!D15</f>
        <v>Airport</v>
      </c>
      <c r="E15" s="3" t="n">
        <f aca="false">IF($D15="Airport",1,0)</f>
        <v>1</v>
      </c>
      <c r="F15" s="3" t="n">
        <f aca="false">IF($D15="Mall",1,0)</f>
        <v>0</v>
      </c>
      <c r="G15" s="3" t="n">
        <f aca="false">IF($D15="Residential",1,0)</f>
        <v>0</v>
      </c>
      <c r="H15" s="3" t="n">
        <f aca="false">IF($C15="North",1,0)</f>
        <v>1</v>
      </c>
      <c r="I15" s="3" t="n">
        <f aca="false">IF($C15="South",1,0)</f>
        <v>0</v>
      </c>
      <c r="J15" s="3" t="n">
        <f aca="false">IF($C15="West",1,0)</f>
        <v>0</v>
      </c>
    </row>
    <row r="16" customFormat="false" ht="15" hidden="false" customHeight="true" outlineLevel="0" collapsed="false">
      <c r="A16" s="3" t="str">
        <f aca="false">Cleaned_Data!A16</f>
        <v>STR-1003</v>
      </c>
      <c r="B16" s="4" t="n">
        <f aca="false">Cleaned_Data!B16</f>
        <v>45748</v>
      </c>
      <c r="C16" s="3" t="str">
        <f aca="false">Cleaned_Data!C16</f>
        <v>North</v>
      </c>
      <c r="D16" s="3" t="str">
        <f aca="false">Cleaned_Data!D16</f>
        <v>Airport</v>
      </c>
      <c r="E16" s="3" t="n">
        <f aca="false">IF($D16="Airport",1,0)</f>
        <v>1</v>
      </c>
      <c r="F16" s="3" t="n">
        <f aca="false">IF($D16="Mall",1,0)</f>
        <v>0</v>
      </c>
      <c r="G16" s="3" t="n">
        <f aca="false">IF($D16="Residential",1,0)</f>
        <v>0</v>
      </c>
      <c r="H16" s="3" t="n">
        <f aca="false">IF($C16="North",1,0)</f>
        <v>1</v>
      </c>
      <c r="I16" s="3" t="n">
        <f aca="false">IF($C16="South",1,0)</f>
        <v>0</v>
      </c>
      <c r="J16" s="3" t="n">
        <f aca="false">IF($C16="West",1,0)</f>
        <v>0</v>
      </c>
    </row>
    <row r="17" customFormat="false" ht="15" hidden="false" customHeight="true" outlineLevel="0" collapsed="false">
      <c r="A17" s="3" t="str">
        <f aca="false">Cleaned_Data!A17</f>
        <v>STR-1004</v>
      </c>
      <c r="B17" s="4" t="n">
        <f aca="false">Cleaned_Data!B17</f>
        <v>45658</v>
      </c>
      <c r="C17" s="3" t="str">
        <f aca="false">Cleaned_Data!C17</f>
        <v>East</v>
      </c>
      <c r="D17" s="3" t="str">
        <f aca="false">Cleaned_Data!D17</f>
        <v>Residential</v>
      </c>
      <c r="E17" s="3" t="n">
        <f aca="false">IF($D17="Airport",1,0)</f>
        <v>0</v>
      </c>
      <c r="F17" s="3" t="n">
        <f aca="false">IF($D17="Mall",1,0)</f>
        <v>0</v>
      </c>
      <c r="G17" s="3" t="n">
        <f aca="false">IF($D17="Residential",1,0)</f>
        <v>1</v>
      </c>
      <c r="H17" s="3" t="n">
        <f aca="false">IF($C17="North",1,0)</f>
        <v>0</v>
      </c>
      <c r="I17" s="3" t="n">
        <f aca="false">IF($C17="South",1,0)</f>
        <v>0</v>
      </c>
      <c r="J17" s="3" t="n">
        <f aca="false">IF($C17="West",1,0)</f>
        <v>0</v>
      </c>
    </row>
    <row r="18" customFormat="false" ht="15" hidden="false" customHeight="true" outlineLevel="0" collapsed="false">
      <c r="A18" s="3" t="str">
        <f aca="false">Cleaned_Data!A18</f>
        <v>STR-1004</v>
      </c>
      <c r="B18" s="4" t="n">
        <f aca="false">Cleaned_Data!B18</f>
        <v>45689</v>
      </c>
      <c r="C18" s="3" t="str">
        <f aca="false">Cleaned_Data!C18</f>
        <v>East</v>
      </c>
      <c r="D18" s="3" t="str">
        <f aca="false">Cleaned_Data!D18</f>
        <v>Residential</v>
      </c>
      <c r="E18" s="3" t="n">
        <f aca="false">IF($D18="Airport",1,0)</f>
        <v>0</v>
      </c>
      <c r="F18" s="3" t="n">
        <f aca="false">IF($D18="Mall",1,0)</f>
        <v>0</v>
      </c>
      <c r="G18" s="3" t="n">
        <f aca="false">IF($D18="Residential",1,0)</f>
        <v>1</v>
      </c>
      <c r="H18" s="3" t="n">
        <f aca="false">IF($C18="North",1,0)</f>
        <v>0</v>
      </c>
      <c r="I18" s="3" t="n">
        <f aca="false">IF($C18="South",1,0)</f>
        <v>0</v>
      </c>
      <c r="J18" s="3" t="n">
        <f aca="false">IF($C18="West",1,0)</f>
        <v>0</v>
      </c>
    </row>
    <row r="19" customFormat="false" ht="15" hidden="false" customHeight="true" outlineLevel="0" collapsed="false">
      <c r="A19" s="3" t="str">
        <f aca="false">Cleaned_Data!A19</f>
        <v>STR-1004</v>
      </c>
      <c r="B19" s="4" t="n">
        <f aca="false">Cleaned_Data!B19</f>
        <v>45717</v>
      </c>
      <c r="C19" s="3" t="str">
        <f aca="false">Cleaned_Data!C19</f>
        <v>East</v>
      </c>
      <c r="D19" s="3" t="str">
        <f aca="false">Cleaned_Data!D19</f>
        <v>Residential</v>
      </c>
      <c r="E19" s="3" t="n">
        <f aca="false">IF($D19="Airport",1,0)</f>
        <v>0</v>
      </c>
      <c r="F19" s="3" t="n">
        <f aca="false">IF($D19="Mall",1,0)</f>
        <v>0</v>
      </c>
      <c r="G19" s="3" t="n">
        <f aca="false">IF($D19="Residential",1,0)</f>
        <v>1</v>
      </c>
      <c r="H19" s="3" t="n">
        <f aca="false">IF($C19="North",1,0)</f>
        <v>0</v>
      </c>
      <c r="I19" s="3" t="n">
        <f aca="false">IF($C19="South",1,0)</f>
        <v>0</v>
      </c>
      <c r="J19" s="3" t="n">
        <f aca="false">IF($C19="West",1,0)</f>
        <v>0</v>
      </c>
    </row>
    <row r="20" customFormat="false" ht="15" hidden="false" customHeight="true" outlineLevel="0" collapsed="false">
      <c r="A20" s="3" t="str">
        <f aca="false">Cleaned_Data!A20</f>
        <v>STR-1004</v>
      </c>
      <c r="B20" s="4" t="n">
        <f aca="false">Cleaned_Data!B20</f>
        <v>45748</v>
      </c>
      <c r="C20" s="3" t="str">
        <f aca="false">Cleaned_Data!C20</f>
        <v>East</v>
      </c>
      <c r="D20" s="3" t="str">
        <f aca="false">Cleaned_Data!D20</f>
        <v>Residential</v>
      </c>
      <c r="E20" s="3" t="n">
        <f aca="false">IF($D20="Airport",1,0)</f>
        <v>0</v>
      </c>
      <c r="F20" s="3" t="n">
        <f aca="false">IF($D20="Mall",1,0)</f>
        <v>0</v>
      </c>
      <c r="G20" s="3" t="n">
        <f aca="false">IF($D20="Residential",1,0)</f>
        <v>1</v>
      </c>
      <c r="H20" s="3" t="n">
        <f aca="false">IF($C20="North",1,0)</f>
        <v>0</v>
      </c>
      <c r="I20" s="3" t="n">
        <f aca="false">IF($C20="South",1,0)</f>
        <v>0</v>
      </c>
      <c r="J20" s="3" t="n">
        <f aca="false">IF($C20="West",1,0)</f>
        <v>0</v>
      </c>
    </row>
    <row r="21" customFormat="false" ht="15" hidden="false" customHeight="true" outlineLevel="0" collapsed="false">
      <c r="A21" s="3" t="str">
        <f aca="false">Cleaned_Data!A21</f>
        <v>STR-1005</v>
      </c>
      <c r="B21" s="4" t="n">
        <f aca="false">Cleaned_Data!B21</f>
        <v>45658</v>
      </c>
      <c r="C21" s="3" t="str">
        <f aca="false">Cleaned_Data!C21</f>
        <v>South</v>
      </c>
      <c r="D21" s="3" t="str">
        <f aca="false">Cleaned_Data!D21</f>
        <v>Residential</v>
      </c>
      <c r="E21" s="3" t="n">
        <f aca="false">IF($D21="Airport",1,0)</f>
        <v>0</v>
      </c>
      <c r="F21" s="3" t="n">
        <f aca="false">IF($D21="Mall",1,0)</f>
        <v>0</v>
      </c>
      <c r="G21" s="3" t="n">
        <f aca="false">IF($D21="Residential",1,0)</f>
        <v>1</v>
      </c>
      <c r="H21" s="3" t="n">
        <f aca="false">IF($C21="North",1,0)</f>
        <v>0</v>
      </c>
      <c r="I21" s="3" t="n">
        <f aca="false">IF($C21="South",1,0)</f>
        <v>1</v>
      </c>
      <c r="J21" s="3" t="n">
        <f aca="false">IF($C21="West",1,0)</f>
        <v>0</v>
      </c>
    </row>
    <row r="22" customFormat="false" ht="15" hidden="false" customHeight="true" outlineLevel="0" collapsed="false">
      <c r="A22" s="3" t="str">
        <f aca="false">Cleaned_Data!A22</f>
        <v>STR-1005</v>
      </c>
      <c r="B22" s="4" t="n">
        <f aca="false">Cleaned_Data!B22</f>
        <v>45689</v>
      </c>
      <c r="C22" s="3" t="str">
        <f aca="false">Cleaned_Data!C22</f>
        <v>South</v>
      </c>
      <c r="D22" s="3" t="str">
        <f aca="false">Cleaned_Data!D22</f>
        <v>Residential</v>
      </c>
      <c r="E22" s="3" t="n">
        <f aca="false">IF($D22="Airport",1,0)</f>
        <v>0</v>
      </c>
      <c r="F22" s="3" t="n">
        <f aca="false">IF($D22="Mall",1,0)</f>
        <v>0</v>
      </c>
      <c r="G22" s="3" t="n">
        <f aca="false">IF($D22="Residential",1,0)</f>
        <v>1</v>
      </c>
      <c r="H22" s="3" t="n">
        <f aca="false">IF($C22="North",1,0)</f>
        <v>0</v>
      </c>
      <c r="I22" s="3" t="n">
        <f aca="false">IF($C22="South",1,0)</f>
        <v>1</v>
      </c>
      <c r="J22" s="3" t="n">
        <f aca="false">IF($C22="West",1,0)</f>
        <v>0</v>
      </c>
    </row>
    <row r="23" customFormat="false" ht="15" hidden="false" customHeight="true" outlineLevel="0" collapsed="false">
      <c r="A23" s="3" t="str">
        <f aca="false">Cleaned_Data!A23</f>
        <v>STR-1005</v>
      </c>
      <c r="B23" s="4" t="n">
        <f aca="false">Cleaned_Data!B23</f>
        <v>45717</v>
      </c>
      <c r="C23" s="3" t="str">
        <f aca="false">Cleaned_Data!C23</f>
        <v>South</v>
      </c>
      <c r="D23" s="3" t="str">
        <f aca="false">Cleaned_Data!D23</f>
        <v>Residential</v>
      </c>
      <c r="E23" s="3" t="n">
        <f aca="false">IF($D23="Airport",1,0)</f>
        <v>0</v>
      </c>
      <c r="F23" s="3" t="n">
        <f aca="false">IF($D23="Mall",1,0)</f>
        <v>0</v>
      </c>
      <c r="G23" s="3" t="n">
        <f aca="false">IF($D23="Residential",1,0)</f>
        <v>1</v>
      </c>
      <c r="H23" s="3" t="n">
        <f aca="false">IF($C23="North",1,0)</f>
        <v>0</v>
      </c>
      <c r="I23" s="3" t="n">
        <f aca="false">IF($C23="South",1,0)</f>
        <v>1</v>
      </c>
      <c r="J23" s="3" t="n">
        <f aca="false">IF($C23="West",1,0)</f>
        <v>0</v>
      </c>
    </row>
    <row r="24" customFormat="false" ht="15" hidden="false" customHeight="true" outlineLevel="0" collapsed="false">
      <c r="A24" s="3" t="str">
        <f aca="false">Cleaned_Data!A24</f>
        <v>STR-1005</v>
      </c>
      <c r="B24" s="4" t="n">
        <f aca="false">Cleaned_Data!B24</f>
        <v>45748</v>
      </c>
      <c r="C24" s="3" t="str">
        <f aca="false">Cleaned_Data!C24</f>
        <v>South</v>
      </c>
      <c r="D24" s="3" t="str">
        <f aca="false">Cleaned_Data!D24</f>
        <v>Residential</v>
      </c>
      <c r="E24" s="3" t="n">
        <f aca="false">IF($D24="Airport",1,0)</f>
        <v>0</v>
      </c>
      <c r="F24" s="3" t="n">
        <f aca="false">IF($D24="Mall",1,0)</f>
        <v>0</v>
      </c>
      <c r="G24" s="3" t="n">
        <f aca="false">IF($D24="Residential",1,0)</f>
        <v>1</v>
      </c>
      <c r="H24" s="3" t="n">
        <f aca="false">IF($C24="North",1,0)</f>
        <v>0</v>
      </c>
      <c r="I24" s="3" t="n">
        <f aca="false">IF($C24="South",1,0)</f>
        <v>1</v>
      </c>
      <c r="J24" s="3" t="n">
        <f aca="false">IF($C24="West",1,0)</f>
        <v>0</v>
      </c>
    </row>
    <row r="25" customFormat="false" ht="15" hidden="false" customHeight="true" outlineLevel="0" collapsed="false">
      <c r="A25" s="3" t="str">
        <f aca="false">Cleaned_Data!A25</f>
        <v>STR-1006</v>
      </c>
      <c r="B25" s="4" t="n">
        <f aca="false">Cleaned_Data!B25</f>
        <v>45658</v>
      </c>
      <c r="C25" s="3" t="str">
        <f aca="false">Cleaned_Data!C25</f>
        <v>North</v>
      </c>
      <c r="D25" s="3" t="str">
        <f aca="false">Cleaned_Data!D25</f>
        <v>Residential</v>
      </c>
      <c r="E25" s="3" t="n">
        <f aca="false">IF($D25="Airport",1,0)</f>
        <v>0</v>
      </c>
      <c r="F25" s="3" t="n">
        <f aca="false">IF($D25="Mall",1,0)</f>
        <v>0</v>
      </c>
      <c r="G25" s="3" t="n">
        <f aca="false">IF($D25="Residential",1,0)</f>
        <v>1</v>
      </c>
      <c r="H25" s="3" t="n">
        <f aca="false">IF($C25="North",1,0)</f>
        <v>1</v>
      </c>
      <c r="I25" s="3" t="n">
        <f aca="false">IF($C25="South",1,0)</f>
        <v>0</v>
      </c>
      <c r="J25" s="3" t="n">
        <f aca="false">IF($C25="West",1,0)</f>
        <v>0</v>
      </c>
    </row>
    <row r="26" customFormat="false" ht="15" hidden="false" customHeight="true" outlineLevel="0" collapsed="false">
      <c r="A26" s="3" t="str">
        <f aca="false">Cleaned_Data!A26</f>
        <v>STR-1006</v>
      </c>
      <c r="B26" s="4" t="n">
        <f aca="false">Cleaned_Data!B26</f>
        <v>45689</v>
      </c>
      <c r="C26" s="3" t="str">
        <f aca="false">Cleaned_Data!C26</f>
        <v>North</v>
      </c>
      <c r="D26" s="3" t="str">
        <f aca="false">Cleaned_Data!D26</f>
        <v>Residential</v>
      </c>
      <c r="E26" s="3" t="n">
        <f aca="false">IF($D26="Airport",1,0)</f>
        <v>0</v>
      </c>
      <c r="F26" s="3" t="n">
        <f aca="false">IF($D26="Mall",1,0)</f>
        <v>0</v>
      </c>
      <c r="G26" s="3" t="n">
        <f aca="false">IF($D26="Residential",1,0)</f>
        <v>1</v>
      </c>
      <c r="H26" s="3" t="n">
        <f aca="false">IF($C26="North",1,0)</f>
        <v>1</v>
      </c>
      <c r="I26" s="3" t="n">
        <f aca="false">IF($C26="South",1,0)</f>
        <v>0</v>
      </c>
      <c r="J26" s="3" t="n">
        <f aca="false">IF($C26="West",1,0)</f>
        <v>0</v>
      </c>
    </row>
    <row r="27" customFormat="false" ht="15" hidden="false" customHeight="true" outlineLevel="0" collapsed="false">
      <c r="A27" s="3" t="str">
        <f aca="false">Cleaned_Data!A27</f>
        <v>STR-1006</v>
      </c>
      <c r="B27" s="4" t="n">
        <f aca="false">Cleaned_Data!B27</f>
        <v>45717</v>
      </c>
      <c r="C27" s="3" t="str">
        <f aca="false">Cleaned_Data!C27</f>
        <v>North</v>
      </c>
      <c r="D27" s="3" t="str">
        <f aca="false">Cleaned_Data!D27</f>
        <v>Residential</v>
      </c>
      <c r="E27" s="3" t="n">
        <f aca="false">IF($D27="Airport",1,0)</f>
        <v>0</v>
      </c>
      <c r="F27" s="3" t="n">
        <f aca="false">IF($D27="Mall",1,0)</f>
        <v>0</v>
      </c>
      <c r="G27" s="3" t="n">
        <f aca="false">IF($D27="Residential",1,0)</f>
        <v>1</v>
      </c>
      <c r="H27" s="3" t="n">
        <f aca="false">IF($C27="North",1,0)</f>
        <v>1</v>
      </c>
      <c r="I27" s="3" t="n">
        <f aca="false">IF($C27="South",1,0)</f>
        <v>0</v>
      </c>
      <c r="J27" s="3" t="n">
        <f aca="false">IF($C27="West",1,0)</f>
        <v>0</v>
      </c>
    </row>
    <row r="28" customFormat="false" ht="15" hidden="false" customHeight="true" outlineLevel="0" collapsed="false">
      <c r="A28" s="3" t="str">
        <f aca="false">Cleaned_Data!A28</f>
        <v>STR-1006</v>
      </c>
      <c r="B28" s="4" t="n">
        <f aca="false">Cleaned_Data!B28</f>
        <v>45748</v>
      </c>
      <c r="C28" s="3" t="str">
        <f aca="false">Cleaned_Data!C28</f>
        <v>North</v>
      </c>
      <c r="D28" s="3" t="str">
        <f aca="false">Cleaned_Data!D28</f>
        <v>Residential</v>
      </c>
      <c r="E28" s="3" t="n">
        <f aca="false">IF($D28="Airport",1,0)</f>
        <v>0</v>
      </c>
      <c r="F28" s="3" t="n">
        <f aca="false">IF($D28="Mall",1,0)</f>
        <v>0</v>
      </c>
      <c r="G28" s="3" t="n">
        <f aca="false">IF($D28="Residential",1,0)</f>
        <v>1</v>
      </c>
      <c r="H28" s="3" t="n">
        <f aca="false">IF($C28="North",1,0)</f>
        <v>1</v>
      </c>
      <c r="I28" s="3" t="n">
        <f aca="false">IF($C28="South",1,0)</f>
        <v>0</v>
      </c>
      <c r="J28" s="3" t="n">
        <f aca="false">IF($C28="West",1,0)</f>
        <v>0</v>
      </c>
    </row>
    <row r="29" customFormat="false" ht="15" hidden="false" customHeight="true" outlineLevel="0" collapsed="false">
      <c r="A29" s="3" t="str">
        <f aca="false">Cleaned_Data!A29</f>
        <v>STR-1007</v>
      </c>
      <c r="B29" s="4" t="n">
        <f aca="false">Cleaned_Data!B29</f>
        <v>45658</v>
      </c>
      <c r="C29" s="3" t="str">
        <f aca="false">Cleaned_Data!C29</f>
        <v>West</v>
      </c>
      <c r="D29" s="3" t="str">
        <f aca="false">Cleaned_Data!D29</f>
        <v>Mall</v>
      </c>
      <c r="E29" s="3" t="n">
        <f aca="false">IF($D29="Airport",1,0)</f>
        <v>0</v>
      </c>
      <c r="F29" s="3" t="n">
        <f aca="false">IF($D29="Mall",1,0)</f>
        <v>1</v>
      </c>
      <c r="G29" s="3" t="n">
        <f aca="false">IF($D29="Residential",1,0)</f>
        <v>0</v>
      </c>
      <c r="H29" s="3" t="n">
        <f aca="false">IF($C29="North",1,0)</f>
        <v>0</v>
      </c>
      <c r="I29" s="3" t="n">
        <f aca="false">IF($C29="South",1,0)</f>
        <v>0</v>
      </c>
      <c r="J29" s="3" t="n">
        <f aca="false">IF($C29="West",1,0)</f>
        <v>1</v>
      </c>
    </row>
    <row r="30" customFormat="false" ht="15" hidden="false" customHeight="true" outlineLevel="0" collapsed="false">
      <c r="A30" s="3" t="str">
        <f aca="false">Cleaned_Data!A30</f>
        <v>STR-1007</v>
      </c>
      <c r="B30" s="4" t="n">
        <f aca="false">Cleaned_Data!B30</f>
        <v>45689</v>
      </c>
      <c r="C30" s="3" t="str">
        <f aca="false">Cleaned_Data!C30</f>
        <v>West</v>
      </c>
      <c r="D30" s="3" t="str">
        <f aca="false">Cleaned_Data!D30</f>
        <v>Mall</v>
      </c>
      <c r="E30" s="3" t="n">
        <f aca="false">IF($D30="Airport",1,0)</f>
        <v>0</v>
      </c>
      <c r="F30" s="3" t="n">
        <f aca="false">IF($D30="Mall",1,0)</f>
        <v>1</v>
      </c>
      <c r="G30" s="3" t="n">
        <f aca="false">IF($D30="Residential",1,0)</f>
        <v>0</v>
      </c>
      <c r="H30" s="3" t="n">
        <f aca="false">IF($C30="North",1,0)</f>
        <v>0</v>
      </c>
      <c r="I30" s="3" t="n">
        <f aca="false">IF($C30="South",1,0)</f>
        <v>0</v>
      </c>
      <c r="J30" s="3" t="n">
        <f aca="false">IF($C30="West",1,0)</f>
        <v>1</v>
      </c>
    </row>
    <row r="31" customFormat="false" ht="15" hidden="false" customHeight="true" outlineLevel="0" collapsed="false">
      <c r="A31" s="3" t="str">
        <f aca="false">Cleaned_Data!A31</f>
        <v>STR-1007</v>
      </c>
      <c r="B31" s="4" t="n">
        <f aca="false">Cleaned_Data!B31</f>
        <v>45717</v>
      </c>
      <c r="C31" s="3" t="str">
        <f aca="false">Cleaned_Data!C31</f>
        <v>West</v>
      </c>
      <c r="D31" s="3" t="str">
        <f aca="false">Cleaned_Data!D31</f>
        <v>Mall</v>
      </c>
      <c r="E31" s="3" t="n">
        <f aca="false">IF($D31="Airport",1,0)</f>
        <v>0</v>
      </c>
      <c r="F31" s="3" t="n">
        <f aca="false">IF($D31="Mall",1,0)</f>
        <v>1</v>
      </c>
      <c r="G31" s="3" t="n">
        <f aca="false">IF($D31="Residential",1,0)</f>
        <v>0</v>
      </c>
      <c r="H31" s="3" t="n">
        <f aca="false">IF($C31="North",1,0)</f>
        <v>0</v>
      </c>
      <c r="I31" s="3" t="n">
        <f aca="false">IF($C31="South",1,0)</f>
        <v>0</v>
      </c>
      <c r="J31" s="3" t="n">
        <f aca="false">IF($C31="West",1,0)</f>
        <v>1</v>
      </c>
    </row>
    <row r="32" customFormat="false" ht="15" hidden="false" customHeight="true" outlineLevel="0" collapsed="false">
      <c r="A32" s="3" t="str">
        <f aca="false">Cleaned_Data!A32</f>
        <v>STR-1007</v>
      </c>
      <c r="B32" s="4" t="n">
        <f aca="false">Cleaned_Data!B32</f>
        <v>45748</v>
      </c>
      <c r="C32" s="3" t="str">
        <f aca="false">Cleaned_Data!C32</f>
        <v>West</v>
      </c>
      <c r="D32" s="3" t="str">
        <f aca="false">Cleaned_Data!D32</f>
        <v>Mall</v>
      </c>
      <c r="E32" s="3" t="n">
        <f aca="false">IF($D32="Airport",1,0)</f>
        <v>0</v>
      </c>
      <c r="F32" s="3" t="n">
        <f aca="false">IF($D32="Mall",1,0)</f>
        <v>1</v>
      </c>
      <c r="G32" s="3" t="n">
        <f aca="false">IF($D32="Residential",1,0)</f>
        <v>0</v>
      </c>
      <c r="H32" s="3" t="n">
        <f aca="false">IF($C32="North",1,0)</f>
        <v>0</v>
      </c>
      <c r="I32" s="3" t="n">
        <f aca="false">IF($C32="South",1,0)</f>
        <v>0</v>
      </c>
      <c r="J32" s="3" t="n">
        <f aca="false">IF($C32="West",1,0)</f>
        <v>1</v>
      </c>
    </row>
    <row r="33" customFormat="false" ht="15" hidden="false" customHeight="true" outlineLevel="0" collapsed="false">
      <c r="A33" s="3" t="str">
        <f aca="false">Cleaned_Data!A33</f>
        <v>STR-1008</v>
      </c>
      <c r="B33" s="4" t="n">
        <f aca="false">Cleaned_Data!B33</f>
        <v>45658</v>
      </c>
      <c r="C33" s="3" t="str">
        <f aca="false">Cleaned_Data!C33</f>
        <v>East</v>
      </c>
      <c r="D33" s="3" t="str">
        <f aca="false">Cleaned_Data!D33</f>
        <v>Residential</v>
      </c>
      <c r="E33" s="3" t="n">
        <f aca="false">IF($D33="Airport",1,0)</f>
        <v>0</v>
      </c>
      <c r="F33" s="3" t="n">
        <f aca="false">IF($D33="Mall",1,0)</f>
        <v>0</v>
      </c>
      <c r="G33" s="3" t="n">
        <f aca="false">IF($D33="Residential",1,0)</f>
        <v>1</v>
      </c>
      <c r="H33" s="3" t="n">
        <f aca="false">IF($C33="North",1,0)</f>
        <v>0</v>
      </c>
      <c r="I33" s="3" t="n">
        <f aca="false">IF($C33="South",1,0)</f>
        <v>0</v>
      </c>
      <c r="J33" s="3" t="n">
        <f aca="false">IF($C33="West",1,0)</f>
        <v>0</v>
      </c>
    </row>
    <row r="34" customFormat="false" ht="15" hidden="false" customHeight="true" outlineLevel="0" collapsed="false">
      <c r="A34" s="3" t="str">
        <f aca="false">Cleaned_Data!A34</f>
        <v>STR-1008</v>
      </c>
      <c r="B34" s="4" t="n">
        <f aca="false">Cleaned_Data!B34</f>
        <v>45689</v>
      </c>
      <c r="C34" s="3" t="str">
        <f aca="false">Cleaned_Data!C34</f>
        <v>East</v>
      </c>
      <c r="D34" s="3" t="str">
        <f aca="false">Cleaned_Data!D34</f>
        <v>Residential</v>
      </c>
      <c r="E34" s="3" t="n">
        <f aca="false">IF($D34="Airport",1,0)</f>
        <v>0</v>
      </c>
      <c r="F34" s="3" t="n">
        <f aca="false">IF($D34="Mall",1,0)</f>
        <v>0</v>
      </c>
      <c r="G34" s="3" t="n">
        <f aca="false">IF($D34="Residential",1,0)</f>
        <v>1</v>
      </c>
      <c r="H34" s="3" t="n">
        <f aca="false">IF($C34="North",1,0)</f>
        <v>0</v>
      </c>
      <c r="I34" s="3" t="n">
        <f aca="false">IF($C34="South",1,0)</f>
        <v>0</v>
      </c>
      <c r="J34" s="3" t="n">
        <f aca="false">IF($C34="West",1,0)</f>
        <v>0</v>
      </c>
    </row>
    <row r="35" customFormat="false" ht="15" hidden="false" customHeight="true" outlineLevel="0" collapsed="false">
      <c r="A35" s="3" t="str">
        <f aca="false">Cleaned_Data!A35</f>
        <v>STR-1008</v>
      </c>
      <c r="B35" s="4" t="n">
        <f aca="false">Cleaned_Data!B35</f>
        <v>45717</v>
      </c>
      <c r="C35" s="3" t="str">
        <f aca="false">Cleaned_Data!C35</f>
        <v>East</v>
      </c>
      <c r="D35" s="3" t="str">
        <f aca="false">Cleaned_Data!D35</f>
        <v>Residential</v>
      </c>
      <c r="E35" s="3" t="n">
        <f aca="false">IF($D35="Airport",1,0)</f>
        <v>0</v>
      </c>
      <c r="F35" s="3" t="n">
        <f aca="false">IF($D35="Mall",1,0)</f>
        <v>0</v>
      </c>
      <c r="G35" s="3" t="n">
        <f aca="false">IF($D35="Residential",1,0)</f>
        <v>1</v>
      </c>
      <c r="H35" s="3" t="n">
        <f aca="false">IF($C35="North",1,0)</f>
        <v>0</v>
      </c>
      <c r="I35" s="3" t="n">
        <f aca="false">IF($C35="South",1,0)</f>
        <v>0</v>
      </c>
      <c r="J35" s="3" t="n">
        <f aca="false">IF($C35="West",1,0)</f>
        <v>0</v>
      </c>
    </row>
    <row r="36" customFormat="false" ht="15" hidden="false" customHeight="true" outlineLevel="0" collapsed="false">
      <c r="A36" s="3" t="str">
        <f aca="false">Cleaned_Data!A36</f>
        <v>STR-1008</v>
      </c>
      <c r="B36" s="4" t="n">
        <f aca="false">Cleaned_Data!B36</f>
        <v>45748</v>
      </c>
      <c r="C36" s="3" t="str">
        <f aca="false">Cleaned_Data!C36</f>
        <v>East</v>
      </c>
      <c r="D36" s="3" t="str">
        <f aca="false">Cleaned_Data!D36</f>
        <v>Residential</v>
      </c>
      <c r="E36" s="3" t="n">
        <f aca="false">IF($D36="Airport",1,0)</f>
        <v>0</v>
      </c>
      <c r="F36" s="3" t="n">
        <f aca="false">IF($D36="Mall",1,0)</f>
        <v>0</v>
      </c>
      <c r="G36" s="3" t="n">
        <f aca="false">IF($D36="Residential",1,0)</f>
        <v>1</v>
      </c>
      <c r="H36" s="3" t="n">
        <f aca="false">IF($C36="North",1,0)</f>
        <v>0</v>
      </c>
      <c r="I36" s="3" t="n">
        <f aca="false">IF($C36="South",1,0)</f>
        <v>0</v>
      </c>
      <c r="J36" s="3" t="n">
        <f aca="false">IF($C36="West",1,0)</f>
        <v>0</v>
      </c>
    </row>
    <row r="37" customFormat="false" ht="15" hidden="false" customHeight="true" outlineLevel="0" collapsed="false">
      <c r="A37" s="3" t="str">
        <f aca="false">Cleaned_Data!A37</f>
        <v>STR-1009</v>
      </c>
      <c r="B37" s="4" t="n">
        <f aca="false">Cleaned_Data!B37</f>
        <v>45658</v>
      </c>
      <c r="C37" s="3" t="str">
        <f aca="false">Cleaned_Data!C37</f>
        <v>North</v>
      </c>
      <c r="D37" s="3" t="str">
        <f aca="false">Cleaned_Data!D37</f>
        <v>Residential</v>
      </c>
      <c r="E37" s="3" t="n">
        <f aca="false">IF($D37="Airport",1,0)</f>
        <v>0</v>
      </c>
      <c r="F37" s="3" t="n">
        <f aca="false">IF($D37="Mall",1,0)</f>
        <v>0</v>
      </c>
      <c r="G37" s="3" t="n">
        <f aca="false">IF($D37="Residential",1,0)</f>
        <v>1</v>
      </c>
      <c r="H37" s="3" t="n">
        <f aca="false">IF($C37="North",1,0)</f>
        <v>1</v>
      </c>
      <c r="I37" s="3" t="n">
        <f aca="false">IF($C37="South",1,0)</f>
        <v>0</v>
      </c>
      <c r="J37" s="3" t="n">
        <f aca="false">IF($C37="West",1,0)</f>
        <v>0</v>
      </c>
    </row>
    <row r="38" customFormat="false" ht="15" hidden="false" customHeight="true" outlineLevel="0" collapsed="false">
      <c r="A38" s="3" t="str">
        <f aca="false">Cleaned_Data!A38</f>
        <v>STR-1009</v>
      </c>
      <c r="B38" s="4" t="n">
        <f aca="false">Cleaned_Data!B38</f>
        <v>45689</v>
      </c>
      <c r="C38" s="3" t="str">
        <f aca="false">Cleaned_Data!C38</f>
        <v>North</v>
      </c>
      <c r="D38" s="3" t="str">
        <f aca="false">Cleaned_Data!D38</f>
        <v>Residential</v>
      </c>
      <c r="E38" s="3" t="n">
        <f aca="false">IF($D38="Airport",1,0)</f>
        <v>0</v>
      </c>
      <c r="F38" s="3" t="n">
        <f aca="false">IF($D38="Mall",1,0)</f>
        <v>0</v>
      </c>
      <c r="G38" s="3" t="n">
        <f aca="false">IF($D38="Residential",1,0)</f>
        <v>1</v>
      </c>
      <c r="H38" s="3" t="n">
        <f aca="false">IF($C38="North",1,0)</f>
        <v>1</v>
      </c>
      <c r="I38" s="3" t="n">
        <f aca="false">IF($C38="South",1,0)</f>
        <v>0</v>
      </c>
      <c r="J38" s="3" t="n">
        <f aca="false">IF($C38="West",1,0)</f>
        <v>0</v>
      </c>
    </row>
    <row r="39" customFormat="false" ht="15" hidden="false" customHeight="true" outlineLevel="0" collapsed="false">
      <c r="A39" s="3" t="str">
        <f aca="false">Cleaned_Data!A39</f>
        <v>STR-1009</v>
      </c>
      <c r="B39" s="4" t="n">
        <f aca="false">Cleaned_Data!B39</f>
        <v>45717</v>
      </c>
      <c r="C39" s="3" t="str">
        <f aca="false">Cleaned_Data!C39</f>
        <v>North</v>
      </c>
      <c r="D39" s="3" t="str">
        <f aca="false">Cleaned_Data!D39</f>
        <v>Residential</v>
      </c>
      <c r="E39" s="3" t="n">
        <f aca="false">IF($D39="Airport",1,0)</f>
        <v>0</v>
      </c>
      <c r="F39" s="3" t="n">
        <f aca="false">IF($D39="Mall",1,0)</f>
        <v>0</v>
      </c>
      <c r="G39" s="3" t="n">
        <f aca="false">IF($D39="Residential",1,0)</f>
        <v>1</v>
      </c>
      <c r="H39" s="3" t="n">
        <f aca="false">IF($C39="North",1,0)</f>
        <v>1</v>
      </c>
      <c r="I39" s="3" t="n">
        <f aca="false">IF($C39="South",1,0)</f>
        <v>0</v>
      </c>
      <c r="J39" s="3" t="n">
        <f aca="false">IF($C39="West",1,0)</f>
        <v>0</v>
      </c>
    </row>
    <row r="40" customFormat="false" ht="15" hidden="false" customHeight="true" outlineLevel="0" collapsed="false">
      <c r="A40" s="3" t="str">
        <f aca="false">Cleaned_Data!A40</f>
        <v>STR-1009</v>
      </c>
      <c r="B40" s="4" t="n">
        <f aca="false">Cleaned_Data!B40</f>
        <v>45748</v>
      </c>
      <c r="C40" s="3" t="str">
        <f aca="false">Cleaned_Data!C40</f>
        <v>North</v>
      </c>
      <c r="D40" s="3" t="str">
        <f aca="false">Cleaned_Data!D40</f>
        <v>Residential</v>
      </c>
      <c r="E40" s="3" t="n">
        <f aca="false">IF($D40="Airport",1,0)</f>
        <v>0</v>
      </c>
      <c r="F40" s="3" t="n">
        <f aca="false">IF($D40="Mall",1,0)</f>
        <v>0</v>
      </c>
      <c r="G40" s="3" t="n">
        <f aca="false">IF($D40="Residential",1,0)</f>
        <v>1</v>
      </c>
      <c r="H40" s="3" t="n">
        <f aca="false">IF($C40="North",1,0)</f>
        <v>1</v>
      </c>
      <c r="I40" s="3" t="n">
        <f aca="false">IF($C40="South",1,0)</f>
        <v>0</v>
      </c>
      <c r="J40" s="3" t="n">
        <f aca="false">IF($C40="West",1,0)</f>
        <v>0</v>
      </c>
    </row>
    <row r="41" customFormat="false" ht="15" hidden="false" customHeight="true" outlineLevel="0" collapsed="false">
      <c r="A41" s="3" t="str">
        <f aca="false">Cleaned_Data!A41</f>
        <v>STR-1010</v>
      </c>
      <c r="B41" s="4" t="n">
        <f aca="false">Cleaned_Data!B41</f>
        <v>45658</v>
      </c>
      <c r="C41" s="3" t="str">
        <f aca="false">Cleaned_Data!C41</f>
        <v>North</v>
      </c>
      <c r="D41" s="3" t="str">
        <f aca="false">Cleaned_Data!D41</f>
        <v>Mall</v>
      </c>
      <c r="E41" s="3" t="n">
        <f aca="false">IF($D41="Airport",1,0)</f>
        <v>0</v>
      </c>
      <c r="F41" s="3" t="n">
        <f aca="false">IF($D41="Mall",1,0)</f>
        <v>1</v>
      </c>
      <c r="G41" s="3" t="n">
        <f aca="false">IF($D41="Residential",1,0)</f>
        <v>0</v>
      </c>
      <c r="H41" s="3" t="n">
        <f aca="false">IF($C41="North",1,0)</f>
        <v>1</v>
      </c>
      <c r="I41" s="3" t="n">
        <f aca="false">IF($C41="South",1,0)</f>
        <v>0</v>
      </c>
      <c r="J41" s="3" t="n">
        <f aca="false">IF($C41="West",1,0)</f>
        <v>0</v>
      </c>
    </row>
    <row r="42" customFormat="false" ht="15" hidden="false" customHeight="true" outlineLevel="0" collapsed="false">
      <c r="A42" s="3" t="str">
        <f aca="false">Cleaned_Data!A42</f>
        <v>STR-1010</v>
      </c>
      <c r="B42" s="4" t="n">
        <f aca="false">Cleaned_Data!B42</f>
        <v>45689</v>
      </c>
      <c r="C42" s="3" t="str">
        <f aca="false">Cleaned_Data!C42</f>
        <v>North</v>
      </c>
      <c r="D42" s="3" t="str">
        <f aca="false">Cleaned_Data!D42</f>
        <v>Mall</v>
      </c>
      <c r="E42" s="3" t="n">
        <f aca="false">IF($D42="Airport",1,0)</f>
        <v>0</v>
      </c>
      <c r="F42" s="3" t="n">
        <f aca="false">IF($D42="Mall",1,0)</f>
        <v>1</v>
      </c>
      <c r="G42" s="3" t="n">
        <f aca="false">IF($D42="Residential",1,0)</f>
        <v>0</v>
      </c>
      <c r="H42" s="3" t="n">
        <f aca="false">IF($C42="North",1,0)</f>
        <v>1</v>
      </c>
      <c r="I42" s="3" t="n">
        <f aca="false">IF($C42="South",1,0)</f>
        <v>0</v>
      </c>
      <c r="J42" s="3" t="n">
        <f aca="false">IF($C42="West",1,0)</f>
        <v>0</v>
      </c>
    </row>
    <row r="43" customFormat="false" ht="15" hidden="false" customHeight="true" outlineLevel="0" collapsed="false">
      <c r="A43" s="3" t="str">
        <f aca="false">Cleaned_Data!A43</f>
        <v>STR-1010</v>
      </c>
      <c r="B43" s="4" t="n">
        <f aca="false">Cleaned_Data!B43</f>
        <v>45717</v>
      </c>
      <c r="C43" s="3" t="str">
        <f aca="false">Cleaned_Data!C43</f>
        <v>North</v>
      </c>
      <c r="D43" s="3" t="str">
        <f aca="false">Cleaned_Data!D43</f>
        <v>Mall</v>
      </c>
      <c r="E43" s="3" t="n">
        <f aca="false">IF($D43="Airport",1,0)</f>
        <v>0</v>
      </c>
      <c r="F43" s="3" t="n">
        <f aca="false">IF($D43="Mall",1,0)</f>
        <v>1</v>
      </c>
      <c r="G43" s="3" t="n">
        <f aca="false">IF($D43="Residential",1,0)</f>
        <v>0</v>
      </c>
      <c r="H43" s="3" t="n">
        <f aca="false">IF($C43="North",1,0)</f>
        <v>1</v>
      </c>
      <c r="I43" s="3" t="n">
        <f aca="false">IF($C43="South",1,0)</f>
        <v>0</v>
      </c>
      <c r="J43" s="3" t="n">
        <f aca="false">IF($C43="West",1,0)</f>
        <v>0</v>
      </c>
    </row>
    <row r="44" customFormat="false" ht="15" hidden="false" customHeight="true" outlineLevel="0" collapsed="false">
      <c r="A44" s="3" t="str">
        <f aca="false">Cleaned_Data!A44</f>
        <v>STR-1010</v>
      </c>
      <c r="B44" s="4" t="n">
        <f aca="false">Cleaned_Data!B44</f>
        <v>45748</v>
      </c>
      <c r="C44" s="3" t="str">
        <f aca="false">Cleaned_Data!C44</f>
        <v>North</v>
      </c>
      <c r="D44" s="3" t="str">
        <f aca="false">Cleaned_Data!D44</f>
        <v>Mall</v>
      </c>
      <c r="E44" s="3" t="n">
        <f aca="false">IF($D44="Airport",1,0)</f>
        <v>0</v>
      </c>
      <c r="F44" s="3" t="n">
        <f aca="false">IF($D44="Mall",1,0)</f>
        <v>1</v>
      </c>
      <c r="G44" s="3" t="n">
        <f aca="false">IF($D44="Residential",1,0)</f>
        <v>0</v>
      </c>
      <c r="H44" s="3" t="n">
        <f aca="false">IF($C44="North",1,0)</f>
        <v>1</v>
      </c>
      <c r="I44" s="3" t="n">
        <f aca="false">IF($C44="South",1,0)</f>
        <v>0</v>
      </c>
      <c r="J44" s="3" t="n">
        <f aca="false">IF($C44="West",1,0)</f>
        <v>0</v>
      </c>
    </row>
    <row r="45" customFormat="false" ht="15" hidden="false" customHeight="true" outlineLevel="0" collapsed="false">
      <c r="A45" s="3" t="str">
        <f aca="false">Cleaned_Data!A45</f>
        <v>STR-1011</v>
      </c>
      <c r="B45" s="4" t="n">
        <f aca="false">Cleaned_Data!B45</f>
        <v>45658</v>
      </c>
      <c r="C45" s="3" t="str">
        <f aca="false">Cleaned_Data!C45</f>
        <v>East</v>
      </c>
      <c r="D45" s="3" t="str">
        <f aca="false">Cleaned_Data!D45</f>
        <v>Mall</v>
      </c>
      <c r="E45" s="3" t="n">
        <f aca="false">IF($D45="Airport",1,0)</f>
        <v>0</v>
      </c>
      <c r="F45" s="3" t="n">
        <f aca="false">IF($D45="Mall",1,0)</f>
        <v>1</v>
      </c>
      <c r="G45" s="3" t="n">
        <f aca="false">IF($D45="Residential",1,0)</f>
        <v>0</v>
      </c>
      <c r="H45" s="3" t="n">
        <f aca="false">IF($C45="North",1,0)</f>
        <v>0</v>
      </c>
      <c r="I45" s="3" t="n">
        <f aca="false">IF($C45="South",1,0)</f>
        <v>0</v>
      </c>
      <c r="J45" s="3" t="n">
        <f aca="false">IF($C45="West",1,0)</f>
        <v>0</v>
      </c>
    </row>
    <row r="46" customFormat="false" ht="15" hidden="false" customHeight="true" outlineLevel="0" collapsed="false">
      <c r="A46" s="3" t="str">
        <f aca="false">Cleaned_Data!A46</f>
        <v>STR-1011</v>
      </c>
      <c r="B46" s="4" t="n">
        <f aca="false">Cleaned_Data!B46</f>
        <v>45689</v>
      </c>
      <c r="C46" s="3" t="str">
        <f aca="false">Cleaned_Data!C46</f>
        <v>East</v>
      </c>
      <c r="D46" s="3" t="str">
        <f aca="false">Cleaned_Data!D46</f>
        <v>Mall</v>
      </c>
      <c r="E46" s="3" t="n">
        <f aca="false">IF($D46="Airport",1,0)</f>
        <v>0</v>
      </c>
      <c r="F46" s="3" t="n">
        <f aca="false">IF($D46="Mall",1,0)</f>
        <v>1</v>
      </c>
      <c r="G46" s="3" t="n">
        <f aca="false">IF($D46="Residential",1,0)</f>
        <v>0</v>
      </c>
      <c r="H46" s="3" t="n">
        <f aca="false">IF($C46="North",1,0)</f>
        <v>0</v>
      </c>
      <c r="I46" s="3" t="n">
        <f aca="false">IF($C46="South",1,0)</f>
        <v>0</v>
      </c>
      <c r="J46" s="3" t="n">
        <f aca="false">IF($C46="West",1,0)</f>
        <v>0</v>
      </c>
    </row>
    <row r="47" customFormat="false" ht="15" hidden="false" customHeight="true" outlineLevel="0" collapsed="false">
      <c r="A47" s="3" t="str">
        <f aca="false">Cleaned_Data!A47</f>
        <v>STR-1011</v>
      </c>
      <c r="B47" s="4" t="n">
        <f aca="false">Cleaned_Data!B47</f>
        <v>45717</v>
      </c>
      <c r="C47" s="3" t="str">
        <f aca="false">Cleaned_Data!C47</f>
        <v>East</v>
      </c>
      <c r="D47" s="3" t="str">
        <f aca="false">Cleaned_Data!D47</f>
        <v>Mall</v>
      </c>
      <c r="E47" s="3" t="n">
        <f aca="false">IF($D47="Airport",1,0)</f>
        <v>0</v>
      </c>
      <c r="F47" s="3" t="n">
        <f aca="false">IF($D47="Mall",1,0)</f>
        <v>1</v>
      </c>
      <c r="G47" s="3" t="n">
        <f aca="false">IF($D47="Residential",1,0)</f>
        <v>0</v>
      </c>
      <c r="H47" s="3" t="n">
        <f aca="false">IF($C47="North",1,0)</f>
        <v>0</v>
      </c>
      <c r="I47" s="3" t="n">
        <f aca="false">IF($C47="South",1,0)</f>
        <v>0</v>
      </c>
      <c r="J47" s="3" t="n">
        <f aca="false">IF($C47="West",1,0)</f>
        <v>0</v>
      </c>
    </row>
    <row r="48" customFormat="false" ht="15" hidden="false" customHeight="true" outlineLevel="0" collapsed="false">
      <c r="A48" s="3" t="str">
        <f aca="false">Cleaned_Data!A48</f>
        <v>STR-1011</v>
      </c>
      <c r="B48" s="4" t="n">
        <f aca="false">Cleaned_Data!B48</f>
        <v>45748</v>
      </c>
      <c r="C48" s="3" t="str">
        <f aca="false">Cleaned_Data!C48</f>
        <v>East</v>
      </c>
      <c r="D48" s="3" t="str">
        <f aca="false">Cleaned_Data!D48</f>
        <v>Mall</v>
      </c>
      <c r="E48" s="3" t="n">
        <f aca="false">IF($D48="Airport",1,0)</f>
        <v>0</v>
      </c>
      <c r="F48" s="3" t="n">
        <f aca="false">IF($D48="Mall",1,0)</f>
        <v>1</v>
      </c>
      <c r="G48" s="3" t="n">
        <f aca="false">IF($D48="Residential",1,0)</f>
        <v>0</v>
      </c>
      <c r="H48" s="3" t="n">
        <f aca="false">IF($C48="North",1,0)</f>
        <v>0</v>
      </c>
      <c r="I48" s="3" t="n">
        <f aca="false">IF($C48="South",1,0)</f>
        <v>0</v>
      </c>
      <c r="J48" s="3" t="n">
        <f aca="false">IF($C48="West",1,0)</f>
        <v>0</v>
      </c>
    </row>
    <row r="49" customFormat="false" ht="15" hidden="false" customHeight="true" outlineLevel="0" collapsed="false">
      <c r="A49" s="3" t="str">
        <f aca="false">Cleaned_Data!A49</f>
        <v>STR-1012</v>
      </c>
      <c r="B49" s="4" t="n">
        <f aca="false">Cleaned_Data!B49</f>
        <v>45658</v>
      </c>
      <c r="C49" s="3" t="str">
        <f aca="false">Cleaned_Data!C49</f>
        <v>West</v>
      </c>
      <c r="D49" s="3" t="str">
        <f aca="false">Cleaned_Data!D49</f>
        <v>Residential</v>
      </c>
      <c r="E49" s="3" t="n">
        <f aca="false">IF($D49="Airport",1,0)</f>
        <v>0</v>
      </c>
      <c r="F49" s="3" t="n">
        <f aca="false">IF($D49="Mall",1,0)</f>
        <v>0</v>
      </c>
      <c r="G49" s="3" t="n">
        <f aca="false">IF($D49="Residential",1,0)</f>
        <v>1</v>
      </c>
      <c r="H49" s="3" t="n">
        <f aca="false">IF($C49="North",1,0)</f>
        <v>0</v>
      </c>
      <c r="I49" s="3" t="n">
        <f aca="false">IF($C49="South",1,0)</f>
        <v>0</v>
      </c>
      <c r="J49" s="3" t="n">
        <f aca="false">IF($C49="West",1,0)</f>
        <v>1</v>
      </c>
    </row>
    <row r="50" customFormat="false" ht="15" hidden="false" customHeight="true" outlineLevel="0" collapsed="false">
      <c r="A50" s="3" t="str">
        <f aca="false">Cleaned_Data!A50</f>
        <v>STR-1012</v>
      </c>
      <c r="B50" s="4" t="n">
        <f aca="false">Cleaned_Data!B50</f>
        <v>45689</v>
      </c>
      <c r="C50" s="3" t="str">
        <f aca="false">Cleaned_Data!C50</f>
        <v>West</v>
      </c>
      <c r="D50" s="3" t="str">
        <f aca="false">Cleaned_Data!D50</f>
        <v>Residential</v>
      </c>
      <c r="E50" s="3" t="n">
        <f aca="false">IF($D50="Airport",1,0)</f>
        <v>0</v>
      </c>
      <c r="F50" s="3" t="n">
        <f aca="false">IF($D50="Mall",1,0)</f>
        <v>0</v>
      </c>
      <c r="G50" s="3" t="n">
        <f aca="false">IF($D50="Residential",1,0)</f>
        <v>1</v>
      </c>
      <c r="H50" s="3" t="n">
        <f aca="false">IF($C50="North",1,0)</f>
        <v>0</v>
      </c>
      <c r="I50" s="3" t="n">
        <f aca="false">IF($C50="South",1,0)</f>
        <v>0</v>
      </c>
      <c r="J50" s="3" t="n">
        <f aca="false">IF($C50="West",1,0)</f>
        <v>1</v>
      </c>
    </row>
    <row r="51" customFormat="false" ht="15" hidden="false" customHeight="true" outlineLevel="0" collapsed="false">
      <c r="A51" s="3" t="str">
        <f aca="false">Cleaned_Data!A51</f>
        <v>STR-1012</v>
      </c>
      <c r="B51" s="4" t="n">
        <f aca="false">Cleaned_Data!B51</f>
        <v>45717</v>
      </c>
      <c r="C51" s="3" t="str">
        <f aca="false">Cleaned_Data!C51</f>
        <v>West</v>
      </c>
      <c r="D51" s="3" t="str">
        <f aca="false">Cleaned_Data!D51</f>
        <v>Residential</v>
      </c>
      <c r="E51" s="3" t="n">
        <f aca="false">IF($D51="Airport",1,0)</f>
        <v>0</v>
      </c>
      <c r="F51" s="3" t="n">
        <f aca="false">IF($D51="Mall",1,0)</f>
        <v>0</v>
      </c>
      <c r="G51" s="3" t="n">
        <f aca="false">IF($D51="Residential",1,0)</f>
        <v>1</v>
      </c>
      <c r="H51" s="3" t="n">
        <f aca="false">IF($C51="North",1,0)</f>
        <v>0</v>
      </c>
      <c r="I51" s="3" t="n">
        <f aca="false">IF($C51="South",1,0)</f>
        <v>0</v>
      </c>
      <c r="J51" s="3" t="n">
        <f aca="false">IF($C51="West",1,0)</f>
        <v>1</v>
      </c>
    </row>
    <row r="52" customFormat="false" ht="15" hidden="false" customHeight="true" outlineLevel="0" collapsed="false">
      <c r="A52" s="3" t="str">
        <f aca="false">Cleaned_Data!A52</f>
        <v>STR-1012</v>
      </c>
      <c r="B52" s="4" t="n">
        <f aca="false">Cleaned_Data!B52</f>
        <v>45748</v>
      </c>
      <c r="C52" s="3" t="str">
        <f aca="false">Cleaned_Data!C52</f>
        <v>West</v>
      </c>
      <c r="D52" s="3" t="str">
        <f aca="false">Cleaned_Data!D52</f>
        <v>Residential</v>
      </c>
      <c r="E52" s="3" t="n">
        <f aca="false">IF($D52="Airport",1,0)</f>
        <v>0</v>
      </c>
      <c r="F52" s="3" t="n">
        <f aca="false">IF($D52="Mall",1,0)</f>
        <v>0</v>
      </c>
      <c r="G52" s="3" t="n">
        <f aca="false">IF($D52="Residential",1,0)</f>
        <v>1</v>
      </c>
      <c r="H52" s="3" t="n">
        <f aca="false">IF($C52="North",1,0)</f>
        <v>0</v>
      </c>
      <c r="I52" s="3" t="n">
        <f aca="false">IF($C52="South",1,0)</f>
        <v>0</v>
      </c>
      <c r="J52" s="3" t="n">
        <f aca="false">IF($C52="West",1,0)</f>
        <v>1</v>
      </c>
    </row>
    <row r="53" customFormat="false" ht="15" hidden="false" customHeight="true" outlineLevel="0" collapsed="false">
      <c r="A53" s="3" t="str">
        <f aca="false">Cleaned_Data!A53</f>
        <v>STR-1013</v>
      </c>
      <c r="B53" s="4" t="n">
        <f aca="false">Cleaned_Data!B53</f>
        <v>45658</v>
      </c>
      <c r="C53" s="3" t="str">
        <f aca="false">Cleaned_Data!C53</f>
        <v>North</v>
      </c>
      <c r="D53" s="3" t="str">
        <f aca="false">Cleaned_Data!D53</f>
        <v>Mall</v>
      </c>
      <c r="E53" s="3" t="n">
        <f aca="false">IF($D53="Airport",1,0)</f>
        <v>0</v>
      </c>
      <c r="F53" s="3" t="n">
        <f aca="false">IF($D53="Mall",1,0)</f>
        <v>1</v>
      </c>
      <c r="G53" s="3" t="n">
        <f aca="false">IF($D53="Residential",1,0)</f>
        <v>0</v>
      </c>
      <c r="H53" s="3" t="n">
        <f aca="false">IF($C53="North",1,0)</f>
        <v>1</v>
      </c>
      <c r="I53" s="3" t="n">
        <f aca="false">IF($C53="South",1,0)</f>
        <v>0</v>
      </c>
      <c r="J53" s="3" t="n">
        <f aca="false">IF($C53="West",1,0)</f>
        <v>0</v>
      </c>
    </row>
    <row r="54" customFormat="false" ht="15" hidden="false" customHeight="true" outlineLevel="0" collapsed="false">
      <c r="A54" s="3" t="str">
        <f aca="false">Cleaned_Data!A54</f>
        <v>STR-1013</v>
      </c>
      <c r="B54" s="4" t="n">
        <f aca="false">Cleaned_Data!B54</f>
        <v>45689</v>
      </c>
      <c r="C54" s="3" t="str">
        <f aca="false">Cleaned_Data!C54</f>
        <v>North</v>
      </c>
      <c r="D54" s="3" t="str">
        <f aca="false">Cleaned_Data!D54</f>
        <v>Mall</v>
      </c>
      <c r="E54" s="3" t="n">
        <f aca="false">IF($D54="Airport",1,0)</f>
        <v>0</v>
      </c>
      <c r="F54" s="3" t="n">
        <f aca="false">IF($D54="Mall",1,0)</f>
        <v>1</v>
      </c>
      <c r="G54" s="3" t="n">
        <f aca="false">IF($D54="Residential",1,0)</f>
        <v>0</v>
      </c>
      <c r="H54" s="3" t="n">
        <f aca="false">IF($C54="North",1,0)</f>
        <v>1</v>
      </c>
      <c r="I54" s="3" t="n">
        <f aca="false">IF($C54="South",1,0)</f>
        <v>0</v>
      </c>
      <c r="J54" s="3" t="n">
        <f aca="false">IF($C54="West",1,0)</f>
        <v>0</v>
      </c>
    </row>
    <row r="55" customFormat="false" ht="15" hidden="false" customHeight="true" outlineLevel="0" collapsed="false">
      <c r="A55" s="3" t="str">
        <f aca="false">Cleaned_Data!A55</f>
        <v>STR-1013</v>
      </c>
      <c r="B55" s="4" t="n">
        <f aca="false">Cleaned_Data!B55</f>
        <v>45717</v>
      </c>
      <c r="C55" s="3" t="str">
        <f aca="false">Cleaned_Data!C55</f>
        <v>North</v>
      </c>
      <c r="D55" s="3" t="str">
        <f aca="false">Cleaned_Data!D55</f>
        <v>Mall</v>
      </c>
      <c r="E55" s="3" t="n">
        <f aca="false">IF($D55="Airport",1,0)</f>
        <v>0</v>
      </c>
      <c r="F55" s="3" t="n">
        <f aca="false">IF($D55="Mall",1,0)</f>
        <v>1</v>
      </c>
      <c r="G55" s="3" t="n">
        <f aca="false">IF($D55="Residential",1,0)</f>
        <v>0</v>
      </c>
      <c r="H55" s="3" t="n">
        <f aca="false">IF($C55="North",1,0)</f>
        <v>1</v>
      </c>
      <c r="I55" s="3" t="n">
        <f aca="false">IF($C55="South",1,0)</f>
        <v>0</v>
      </c>
      <c r="J55" s="3" t="n">
        <f aca="false">IF($C55="West",1,0)</f>
        <v>0</v>
      </c>
    </row>
    <row r="56" customFormat="false" ht="15" hidden="false" customHeight="true" outlineLevel="0" collapsed="false">
      <c r="A56" s="3" t="str">
        <f aca="false">Cleaned_Data!A56</f>
        <v>STR-1013</v>
      </c>
      <c r="B56" s="4" t="n">
        <f aca="false">Cleaned_Data!B56</f>
        <v>45748</v>
      </c>
      <c r="C56" s="3" t="str">
        <f aca="false">Cleaned_Data!C56</f>
        <v>North</v>
      </c>
      <c r="D56" s="3" t="str">
        <f aca="false">Cleaned_Data!D56</f>
        <v>Mall</v>
      </c>
      <c r="E56" s="3" t="n">
        <f aca="false">IF($D56="Airport",1,0)</f>
        <v>0</v>
      </c>
      <c r="F56" s="3" t="n">
        <f aca="false">IF($D56="Mall",1,0)</f>
        <v>1</v>
      </c>
      <c r="G56" s="3" t="n">
        <f aca="false">IF($D56="Residential",1,0)</f>
        <v>0</v>
      </c>
      <c r="H56" s="3" t="n">
        <f aca="false">IF($C56="North",1,0)</f>
        <v>1</v>
      </c>
      <c r="I56" s="3" t="n">
        <f aca="false">IF($C56="South",1,0)</f>
        <v>0</v>
      </c>
      <c r="J56" s="3" t="n">
        <f aca="false">IF($C56="West",1,0)</f>
        <v>0</v>
      </c>
    </row>
    <row r="57" customFormat="false" ht="15" hidden="false" customHeight="true" outlineLevel="0" collapsed="false">
      <c r="A57" s="3" t="str">
        <f aca="false">Cleaned_Data!A57</f>
        <v>STR-1014</v>
      </c>
      <c r="B57" s="4" t="n">
        <f aca="false">Cleaned_Data!B57</f>
        <v>45658</v>
      </c>
      <c r="C57" s="3" t="str">
        <f aca="false">Cleaned_Data!C57</f>
        <v>West</v>
      </c>
      <c r="D57" s="3" t="str">
        <f aca="false">Cleaned_Data!D57</f>
        <v>High Street</v>
      </c>
      <c r="E57" s="3" t="n">
        <f aca="false">IF($D57="Airport",1,0)</f>
        <v>0</v>
      </c>
      <c r="F57" s="3" t="n">
        <f aca="false">IF($D57="Mall",1,0)</f>
        <v>0</v>
      </c>
      <c r="G57" s="3" t="n">
        <f aca="false">IF($D57="Residential",1,0)</f>
        <v>0</v>
      </c>
      <c r="H57" s="3" t="n">
        <f aca="false">IF($C57="North",1,0)</f>
        <v>0</v>
      </c>
      <c r="I57" s="3" t="n">
        <f aca="false">IF($C57="South",1,0)</f>
        <v>0</v>
      </c>
      <c r="J57" s="3" t="n">
        <f aca="false">IF($C57="West",1,0)</f>
        <v>1</v>
      </c>
    </row>
    <row r="58" customFormat="false" ht="15" hidden="false" customHeight="true" outlineLevel="0" collapsed="false">
      <c r="A58" s="3" t="str">
        <f aca="false">Cleaned_Data!A58</f>
        <v>STR-1014</v>
      </c>
      <c r="B58" s="4" t="n">
        <f aca="false">Cleaned_Data!B58</f>
        <v>45689</v>
      </c>
      <c r="C58" s="3" t="str">
        <f aca="false">Cleaned_Data!C58</f>
        <v>West</v>
      </c>
      <c r="D58" s="3" t="str">
        <f aca="false">Cleaned_Data!D58</f>
        <v>High Street</v>
      </c>
      <c r="E58" s="3" t="n">
        <f aca="false">IF($D58="Airport",1,0)</f>
        <v>0</v>
      </c>
      <c r="F58" s="3" t="n">
        <f aca="false">IF($D58="Mall",1,0)</f>
        <v>0</v>
      </c>
      <c r="G58" s="3" t="n">
        <f aca="false">IF($D58="Residential",1,0)</f>
        <v>0</v>
      </c>
      <c r="H58" s="3" t="n">
        <f aca="false">IF($C58="North",1,0)</f>
        <v>0</v>
      </c>
      <c r="I58" s="3" t="n">
        <f aca="false">IF($C58="South",1,0)</f>
        <v>0</v>
      </c>
      <c r="J58" s="3" t="n">
        <f aca="false">IF($C58="West",1,0)</f>
        <v>1</v>
      </c>
    </row>
    <row r="59" customFormat="false" ht="15" hidden="false" customHeight="true" outlineLevel="0" collapsed="false">
      <c r="A59" s="3" t="str">
        <f aca="false">Cleaned_Data!A59</f>
        <v>STR-1014</v>
      </c>
      <c r="B59" s="4" t="n">
        <f aca="false">Cleaned_Data!B59</f>
        <v>45717</v>
      </c>
      <c r="C59" s="3" t="str">
        <f aca="false">Cleaned_Data!C59</f>
        <v>West</v>
      </c>
      <c r="D59" s="3" t="str">
        <f aca="false">Cleaned_Data!D59</f>
        <v>High Street</v>
      </c>
      <c r="E59" s="3" t="n">
        <f aca="false">IF($D59="Airport",1,0)</f>
        <v>0</v>
      </c>
      <c r="F59" s="3" t="n">
        <f aca="false">IF($D59="Mall",1,0)</f>
        <v>0</v>
      </c>
      <c r="G59" s="3" t="n">
        <f aca="false">IF($D59="Residential",1,0)</f>
        <v>0</v>
      </c>
      <c r="H59" s="3" t="n">
        <f aca="false">IF($C59="North",1,0)</f>
        <v>0</v>
      </c>
      <c r="I59" s="3" t="n">
        <f aca="false">IF($C59="South",1,0)</f>
        <v>0</v>
      </c>
      <c r="J59" s="3" t="n">
        <f aca="false">IF($C59="West",1,0)</f>
        <v>1</v>
      </c>
    </row>
    <row r="60" customFormat="false" ht="15" hidden="false" customHeight="true" outlineLevel="0" collapsed="false">
      <c r="A60" s="3" t="str">
        <f aca="false">Cleaned_Data!A60</f>
        <v>STR-1014</v>
      </c>
      <c r="B60" s="4" t="n">
        <f aca="false">Cleaned_Data!B60</f>
        <v>45748</v>
      </c>
      <c r="C60" s="3" t="str">
        <f aca="false">Cleaned_Data!C60</f>
        <v>West</v>
      </c>
      <c r="D60" s="3" t="str">
        <f aca="false">Cleaned_Data!D60</f>
        <v>High Street</v>
      </c>
      <c r="E60" s="3" t="n">
        <f aca="false">IF($D60="Airport",1,0)</f>
        <v>0</v>
      </c>
      <c r="F60" s="3" t="n">
        <f aca="false">IF($D60="Mall",1,0)</f>
        <v>0</v>
      </c>
      <c r="G60" s="3" t="n">
        <f aca="false">IF($D60="Residential",1,0)</f>
        <v>0</v>
      </c>
      <c r="H60" s="3" t="n">
        <f aca="false">IF($C60="North",1,0)</f>
        <v>0</v>
      </c>
      <c r="I60" s="3" t="n">
        <f aca="false">IF($C60="South",1,0)</f>
        <v>0</v>
      </c>
      <c r="J60" s="3" t="n">
        <f aca="false">IF($C60="West",1,0)</f>
        <v>1</v>
      </c>
    </row>
    <row r="61" customFormat="false" ht="15" hidden="false" customHeight="true" outlineLevel="0" collapsed="false">
      <c r="A61" s="3" t="str">
        <f aca="false">Cleaned_Data!A61</f>
        <v>STR-1015</v>
      </c>
      <c r="B61" s="4" t="n">
        <f aca="false">Cleaned_Data!B61</f>
        <v>45658</v>
      </c>
      <c r="C61" s="3" t="str">
        <f aca="false">Cleaned_Data!C61</f>
        <v>East</v>
      </c>
      <c r="D61" s="3" t="str">
        <f aca="false">Cleaned_Data!D61</f>
        <v>Airport</v>
      </c>
      <c r="E61" s="3" t="n">
        <f aca="false">IF($D61="Airport",1,0)</f>
        <v>1</v>
      </c>
      <c r="F61" s="3" t="n">
        <f aca="false">IF($D61="Mall",1,0)</f>
        <v>0</v>
      </c>
      <c r="G61" s="3" t="n">
        <f aca="false">IF($D61="Residential",1,0)</f>
        <v>0</v>
      </c>
      <c r="H61" s="3" t="n">
        <f aca="false">IF($C61="North",1,0)</f>
        <v>0</v>
      </c>
      <c r="I61" s="3" t="n">
        <f aca="false">IF($C61="South",1,0)</f>
        <v>0</v>
      </c>
      <c r="J61" s="3" t="n">
        <f aca="false">IF($C61="West",1,0)</f>
        <v>0</v>
      </c>
    </row>
    <row r="62" customFormat="false" ht="15" hidden="false" customHeight="true" outlineLevel="0" collapsed="false">
      <c r="A62" s="3" t="str">
        <f aca="false">Cleaned_Data!A62</f>
        <v>STR-1015</v>
      </c>
      <c r="B62" s="4" t="n">
        <f aca="false">Cleaned_Data!B62</f>
        <v>45689</v>
      </c>
      <c r="C62" s="3" t="str">
        <f aca="false">Cleaned_Data!C62</f>
        <v>East</v>
      </c>
      <c r="D62" s="3" t="str">
        <f aca="false">Cleaned_Data!D62</f>
        <v>Airport</v>
      </c>
      <c r="E62" s="3" t="n">
        <f aca="false">IF($D62="Airport",1,0)</f>
        <v>1</v>
      </c>
      <c r="F62" s="3" t="n">
        <f aca="false">IF($D62="Mall",1,0)</f>
        <v>0</v>
      </c>
      <c r="G62" s="3" t="n">
        <f aca="false">IF($D62="Residential",1,0)</f>
        <v>0</v>
      </c>
      <c r="H62" s="3" t="n">
        <f aca="false">IF($C62="North",1,0)</f>
        <v>0</v>
      </c>
      <c r="I62" s="3" t="n">
        <f aca="false">IF($C62="South",1,0)</f>
        <v>0</v>
      </c>
      <c r="J62" s="3" t="n">
        <f aca="false">IF($C62="West",1,0)</f>
        <v>0</v>
      </c>
    </row>
    <row r="63" customFormat="false" ht="15" hidden="false" customHeight="true" outlineLevel="0" collapsed="false">
      <c r="A63" s="3" t="str">
        <f aca="false">Cleaned_Data!A63</f>
        <v>STR-1015</v>
      </c>
      <c r="B63" s="4" t="n">
        <f aca="false">Cleaned_Data!B63</f>
        <v>45717</v>
      </c>
      <c r="C63" s="3" t="str">
        <f aca="false">Cleaned_Data!C63</f>
        <v>East</v>
      </c>
      <c r="D63" s="3" t="str">
        <f aca="false">Cleaned_Data!D63</f>
        <v>Airport</v>
      </c>
      <c r="E63" s="3" t="n">
        <f aca="false">IF($D63="Airport",1,0)</f>
        <v>1</v>
      </c>
      <c r="F63" s="3" t="n">
        <f aca="false">IF($D63="Mall",1,0)</f>
        <v>0</v>
      </c>
      <c r="G63" s="3" t="n">
        <f aca="false">IF($D63="Residential",1,0)</f>
        <v>0</v>
      </c>
      <c r="H63" s="3" t="n">
        <f aca="false">IF($C63="North",1,0)</f>
        <v>0</v>
      </c>
      <c r="I63" s="3" t="n">
        <f aca="false">IF($C63="South",1,0)</f>
        <v>0</v>
      </c>
      <c r="J63" s="3" t="n">
        <f aca="false">IF($C63="West",1,0)</f>
        <v>0</v>
      </c>
    </row>
    <row r="64" customFormat="false" ht="15" hidden="false" customHeight="true" outlineLevel="0" collapsed="false">
      <c r="A64" s="3" t="str">
        <f aca="false">Cleaned_Data!A64</f>
        <v>STR-1015</v>
      </c>
      <c r="B64" s="4" t="n">
        <f aca="false">Cleaned_Data!B64</f>
        <v>45748</v>
      </c>
      <c r="C64" s="3" t="str">
        <f aca="false">Cleaned_Data!C64</f>
        <v>East</v>
      </c>
      <c r="D64" s="3" t="str">
        <f aca="false">Cleaned_Data!D64</f>
        <v>Airport</v>
      </c>
      <c r="E64" s="3" t="n">
        <f aca="false">IF($D64="Airport",1,0)</f>
        <v>1</v>
      </c>
      <c r="F64" s="3" t="n">
        <f aca="false">IF($D64="Mall",1,0)</f>
        <v>0</v>
      </c>
      <c r="G64" s="3" t="n">
        <f aca="false">IF($D64="Residential",1,0)</f>
        <v>0</v>
      </c>
      <c r="H64" s="3" t="n">
        <f aca="false">IF($C64="North",1,0)</f>
        <v>0</v>
      </c>
      <c r="I64" s="3" t="n">
        <f aca="false">IF($C64="South",1,0)</f>
        <v>0</v>
      </c>
      <c r="J64" s="3" t="n">
        <f aca="false">IF($C64="West",1,0)</f>
        <v>0</v>
      </c>
    </row>
    <row r="65" customFormat="false" ht="15" hidden="false" customHeight="true" outlineLevel="0" collapsed="false">
      <c r="A65" s="3" t="str">
        <f aca="false">Cleaned_Data!A65</f>
        <v>STR-1016</v>
      </c>
      <c r="B65" s="4" t="n">
        <f aca="false">Cleaned_Data!B65</f>
        <v>45658</v>
      </c>
      <c r="C65" s="3" t="str">
        <f aca="false">Cleaned_Data!C65</f>
        <v>South</v>
      </c>
      <c r="D65" s="3" t="str">
        <f aca="false">Cleaned_Data!D65</f>
        <v>High Street</v>
      </c>
      <c r="E65" s="3" t="n">
        <f aca="false">IF($D65="Airport",1,0)</f>
        <v>0</v>
      </c>
      <c r="F65" s="3" t="n">
        <f aca="false">IF($D65="Mall",1,0)</f>
        <v>0</v>
      </c>
      <c r="G65" s="3" t="n">
        <f aca="false">IF($D65="Residential",1,0)</f>
        <v>0</v>
      </c>
      <c r="H65" s="3" t="n">
        <f aca="false">IF($C65="North",1,0)</f>
        <v>0</v>
      </c>
      <c r="I65" s="3" t="n">
        <f aca="false">IF($C65="South",1,0)</f>
        <v>1</v>
      </c>
      <c r="J65" s="3" t="n">
        <f aca="false">IF($C65="West",1,0)</f>
        <v>0</v>
      </c>
    </row>
    <row r="66" customFormat="false" ht="15" hidden="false" customHeight="true" outlineLevel="0" collapsed="false">
      <c r="A66" s="3" t="str">
        <f aca="false">Cleaned_Data!A66</f>
        <v>STR-1016</v>
      </c>
      <c r="B66" s="4" t="n">
        <f aca="false">Cleaned_Data!B66</f>
        <v>45689</v>
      </c>
      <c r="C66" s="3" t="str">
        <f aca="false">Cleaned_Data!C66</f>
        <v>South</v>
      </c>
      <c r="D66" s="3" t="str">
        <f aca="false">Cleaned_Data!D66</f>
        <v>High Street</v>
      </c>
      <c r="E66" s="3" t="n">
        <f aca="false">IF($D66="Airport",1,0)</f>
        <v>0</v>
      </c>
      <c r="F66" s="3" t="n">
        <f aca="false">IF($D66="Mall",1,0)</f>
        <v>0</v>
      </c>
      <c r="G66" s="3" t="n">
        <f aca="false">IF($D66="Residential",1,0)</f>
        <v>0</v>
      </c>
      <c r="H66" s="3" t="n">
        <f aca="false">IF($C66="North",1,0)</f>
        <v>0</v>
      </c>
      <c r="I66" s="3" t="n">
        <f aca="false">IF($C66="South",1,0)</f>
        <v>1</v>
      </c>
      <c r="J66" s="3" t="n">
        <f aca="false">IF($C66="West",1,0)</f>
        <v>0</v>
      </c>
    </row>
    <row r="67" customFormat="false" ht="15" hidden="false" customHeight="true" outlineLevel="0" collapsed="false">
      <c r="A67" s="3" t="str">
        <f aca="false">Cleaned_Data!A67</f>
        <v>STR-1016</v>
      </c>
      <c r="B67" s="4" t="n">
        <f aca="false">Cleaned_Data!B67</f>
        <v>45717</v>
      </c>
      <c r="C67" s="3" t="str">
        <f aca="false">Cleaned_Data!C67</f>
        <v>South</v>
      </c>
      <c r="D67" s="3" t="str">
        <f aca="false">Cleaned_Data!D67</f>
        <v>High Street</v>
      </c>
      <c r="E67" s="3" t="n">
        <f aca="false">IF($D67="Airport",1,0)</f>
        <v>0</v>
      </c>
      <c r="F67" s="3" t="n">
        <f aca="false">IF($D67="Mall",1,0)</f>
        <v>0</v>
      </c>
      <c r="G67" s="3" t="n">
        <f aca="false">IF($D67="Residential",1,0)</f>
        <v>0</v>
      </c>
      <c r="H67" s="3" t="n">
        <f aca="false">IF($C67="North",1,0)</f>
        <v>0</v>
      </c>
      <c r="I67" s="3" t="n">
        <f aca="false">IF($C67="South",1,0)</f>
        <v>1</v>
      </c>
      <c r="J67" s="3" t="n">
        <f aca="false">IF($C67="West",1,0)</f>
        <v>0</v>
      </c>
    </row>
    <row r="68" customFormat="false" ht="15" hidden="false" customHeight="true" outlineLevel="0" collapsed="false">
      <c r="A68" s="3" t="str">
        <f aca="false">Cleaned_Data!A68</f>
        <v>STR-1016</v>
      </c>
      <c r="B68" s="4" t="n">
        <f aca="false">Cleaned_Data!B68</f>
        <v>45748</v>
      </c>
      <c r="C68" s="3" t="str">
        <f aca="false">Cleaned_Data!C68</f>
        <v>South</v>
      </c>
      <c r="D68" s="3" t="str">
        <f aca="false">Cleaned_Data!D68</f>
        <v>High Street</v>
      </c>
      <c r="E68" s="3" t="n">
        <f aca="false">IF($D68="Airport",1,0)</f>
        <v>0</v>
      </c>
      <c r="F68" s="3" t="n">
        <f aca="false">IF($D68="Mall",1,0)</f>
        <v>0</v>
      </c>
      <c r="G68" s="3" t="n">
        <f aca="false">IF($D68="Residential",1,0)</f>
        <v>0</v>
      </c>
      <c r="H68" s="3" t="n">
        <f aca="false">IF($C68="North",1,0)</f>
        <v>0</v>
      </c>
      <c r="I68" s="3" t="n">
        <f aca="false">IF($C68="South",1,0)</f>
        <v>1</v>
      </c>
      <c r="J68" s="3" t="n">
        <f aca="false">IF($C68="West",1,0)</f>
        <v>0</v>
      </c>
    </row>
    <row r="69" customFormat="false" ht="15" hidden="false" customHeight="true" outlineLevel="0" collapsed="false">
      <c r="A69" s="3" t="str">
        <f aca="false">Cleaned_Data!A69</f>
        <v>STR-1017</v>
      </c>
      <c r="B69" s="4" t="n">
        <f aca="false">Cleaned_Data!B69</f>
        <v>45658</v>
      </c>
      <c r="C69" s="3" t="str">
        <f aca="false">Cleaned_Data!C69</f>
        <v>West</v>
      </c>
      <c r="D69" s="3" t="str">
        <f aca="false">Cleaned_Data!D69</f>
        <v>High Street</v>
      </c>
      <c r="E69" s="3" t="n">
        <f aca="false">IF($D69="Airport",1,0)</f>
        <v>0</v>
      </c>
      <c r="F69" s="3" t="n">
        <f aca="false">IF($D69="Mall",1,0)</f>
        <v>0</v>
      </c>
      <c r="G69" s="3" t="n">
        <f aca="false">IF($D69="Residential",1,0)</f>
        <v>0</v>
      </c>
      <c r="H69" s="3" t="n">
        <f aca="false">IF($C69="North",1,0)</f>
        <v>0</v>
      </c>
      <c r="I69" s="3" t="n">
        <f aca="false">IF($C69="South",1,0)</f>
        <v>0</v>
      </c>
      <c r="J69" s="3" t="n">
        <f aca="false">IF($C69="West",1,0)</f>
        <v>1</v>
      </c>
    </row>
    <row r="70" customFormat="false" ht="15" hidden="false" customHeight="true" outlineLevel="0" collapsed="false">
      <c r="A70" s="3" t="str">
        <f aca="false">Cleaned_Data!A70</f>
        <v>STR-1017</v>
      </c>
      <c r="B70" s="4" t="n">
        <f aca="false">Cleaned_Data!B70</f>
        <v>45689</v>
      </c>
      <c r="C70" s="3" t="str">
        <f aca="false">Cleaned_Data!C70</f>
        <v>West</v>
      </c>
      <c r="D70" s="3" t="str">
        <f aca="false">Cleaned_Data!D70</f>
        <v>High Street</v>
      </c>
      <c r="E70" s="3" t="n">
        <f aca="false">IF($D70="Airport",1,0)</f>
        <v>0</v>
      </c>
      <c r="F70" s="3" t="n">
        <f aca="false">IF($D70="Mall",1,0)</f>
        <v>0</v>
      </c>
      <c r="G70" s="3" t="n">
        <f aca="false">IF($D70="Residential",1,0)</f>
        <v>0</v>
      </c>
      <c r="H70" s="3" t="n">
        <f aca="false">IF($C70="North",1,0)</f>
        <v>0</v>
      </c>
      <c r="I70" s="3" t="n">
        <f aca="false">IF($C70="South",1,0)</f>
        <v>0</v>
      </c>
      <c r="J70" s="3" t="n">
        <f aca="false">IF($C70="West",1,0)</f>
        <v>1</v>
      </c>
    </row>
    <row r="71" customFormat="false" ht="15" hidden="false" customHeight="true" outlineLevel="0" collapsed="false">
      <c r="A71" s="3" t="str">
        <f aca="false">Cleaned_Data!A71</f>
        <v>STR-1017</v>
      </c>
      <c r="B71" s="4" t="n">
        <f aca="false">Cleaned_Data!B71</f>
        <v>45717</v>
      </c>
      <c r="C71" s="3" t="str">
        <f aca="false">Cleaned_Data!C71</f>
        <v>West</v>
      </c>
      <c r="D71" s="3" t="str">
        <f aca="false">Cleaned_Data!D71</f>
        <v>High Street</v>
      </c>
      <c r="E71" s="3" t="n">
        <f aca="false">IF($D71="Airport",1,0)</f>
        <v>0</v>
      </c>
      <c r="F71" s="3" t="n">
        <f aca="false">IF($D71="Mall",1,0)</f>
        <v>0</v>
      </c>
      <c r="G71" s="3" t="n">
        <f aca="false">IF($D71="Residential",1,0)</f>
        <v>0</v>
      </c>
      <c r="H71" s="3" t="n">
        <f aca="false">IF($C71="North",1,0)</f>
        <v>0</v>
      </c>
      <c r="I71" s="3" t="n">
        <f aca="false">IF($C71="South",1,0)</f>
        <v>0</v>
      </c>
      <c r="J71" s="3" t="n">
        <f aca="false">IF($C71="West",1,0)</f>
        <v>1</v>
      </c>
    </row>
    <row r="72" customFormat="false" ht="15" hidden="false" customHeight="true" outlineLevel="0" collapsed="false">
      <c r="A72" s="3" t="str">
        <f aca="false">Cleaned_Data!A72</f>
        <v>STR-1017</v>
      </c>
      <c r="B72" s="4" t="n">
        <f aca="false">Cleaned_Data!B72</f>
        <v>45748</v>
      </c>
      <c r="C72" s="3" t="str">
        <f aca="false">Cleaned_Data!C72</f>
        <v>West</v>
      </c>
      <c r="D72" s="3" t="str">
        <f aca="false">Cleaned_Data!D72</f>
        <v>High Street</v>
      </c>
      <c r="E72" s="3" t="n">
        <f aca="false">IF($D72="Airport",1,0)</f>
        <v>0</v>
      </c>
      <c r="F72" s="3" t="n">
        <f aca="false">IF($D72="Mall",1,0)</f>
        <v>0</v>
      </c>
      <c r="G72" s="3" t="n">
        <f aca="false">IF($D72="Residential",1,0)</f>
        <v>0</v>
      </c>
      <c r="H72" s="3" t="n">
        <f aca="false">IF($C72="North",1,0)</f>
        <v>0</v>
      </c>
      <c r="I72" s="3" t="n">
        <f aca="false">IF($C72="South",1,0)</f>
        <v>0</v>
      </c>
      <c r="J72" s="3" t="n">
        <f aca="false">IF($C72="West",1,0)</f>
        <v>1</v>
      </c>
    </row>
    <row r="73" customFormat="false" ht="15" hidden="false" customHeight="true" outlineLevel="0" collapsed="false">
      <c r="A73" s="3" t="str">
        <f aca="false">Cleaned_Data!A73</f>
        <v>STR-1018</v>
      </c>
      <c r="B73" s="4" t="n">
        <f aca="false">Cleaned_Data!B73</f>
        <v>45658</v>
      </c>
      <c r="C73" s="3" t="str">
        <f aca="false">Cleaned_Data!C73</f>
        <v>East</v>
      </c>
      <c r="D73" s="3" t="str">
        <f aca="false">Cleaned_Data!D73</f>
        <v>High Street</v>
      </c>
      <c r="E73" s="3" t="n">
        <f aca="false">IF($D73="Airport",1,0)</f>
        <v>0</v>
      </c>
      <c r="F73" s="3" t="n">
        <f aca="false">IF($D73="Mall",1,0)</f>
        <v>0</v>
      </c>
      <c r="G73" s="3" t="n">
        <f aca="false">IF($D73="Residential",1,0)</f>
        <v>0</v>
      </c>
      <c r="H73" s="3" t="n">
        <f aca="false">IF($C73="North",1,0)</f>
        <v>0</v>
      </c>
      <c r="I73" s="3" t="n">
        <f aca="false">IF($C73="South",1,0)</f>
        <v>0</v>
      </c>
      <c r="J73" s="3" t="n">
        <f aca="false">IF($C73="West",1,0)</f>
        <v>0</v>
      </c>
    </row>
    <row r="74" customFormat="false" ht="15" hidden="false" customHeight="true" outlineLevel="0" collapsed="false">
      <c r="A74" s="3" t="str">
        <f aca="false">Cleaned_Data!A74</f>
        <v>STR-1018</v>
      </c>
      <c r="B74" s="4" t="n">
        <f aca="false">Cleaned_Data!B74</f>
        <v>45689</v>
      </c>
      <c r="C74" s="3" t="str">
        <f aca="false">Cleaned_Data!C74</f>
        <v>East</v>
      </c>
      <c r="D74" s="3" t="str">
        <f aca="false">Cleaned_Data!D74</f>
        <v>High Street</v>
      </c>
      <c r="E74" s="3" t="n">
        <f aca="false">IF($D74="Airport",1,0)</f>
        <v>0</v>
      </c>
      <c r="F74" s="3" t="n">
        <f aca="false">IF($D74="Mall",1,0)</f>
        <v>0</v>
      </c>
      <c r="G74" s="3" t="n">
        <f aca="false">IF($D74="Residential",1,0)</f>
        <v>0</v>
      </c>
      <c r="H74" s="3" t="n">
        <f aca="false">IF($C74="North",1,0)</f>
        <v>0</v>
      </c>
      <c r="I74" s="3" t="n">
        <f aca="false">IF($C74="South",1,0)</f>
        <v>0</v>
      </c>
      <c r="J74" s="3" t="n">
        <f aca="false">IF($C74="West",1,0)</f>
        <v>0</v>
      </c>
    </row>
    <row r="75" customFormat="false" ht="15" hidden="false" customHeight="true" outlineLevel="0" collapsed="false">
      <c r="A75" s="3" t="str">
        <f aca="false">Cleaned_Data!A75</f>
        <v>STR-1018</v>
      </c>
      <c r="B75" s="4" t="n">
        <f aca="false">Cleaned_Data!B75</f>
        <v>45717</v>
      </c>
      <c r="C75" s="3" t="str">
        <f aca="false">Cleaned_Data!C75</f>
        <v>East</v>
      </c>
      <c r="D75" s="3" t="str">
        <f aca="false">Cleaned_Data!D75</f>
        <v>High Street</v>
      </c>
      <c r="E75" s="3" t="n">
        <f aca="false">IF($D75="Airport",1,0)</f>
        <v>0</v>
      </c>
      <c r="F75" s="3" t="n">
        <f aca="false">IF($D75="Mall",1,0)</f>
        <v>0</v>
      </c>
      <c r="G75" s="3" t="n">
        <f aca="false">IF($D75="Residential",1,0)</f>
        <v>0</v>
      </c>
      <c r="H75" s="3" t="n">
        <f aca="false">IF($C75="North",1,0)</f>
        <v>0</v>
      </c>
      <c r="I75" s="3" t="n">
        <f aca="false">IF($C75="South",1,0)</f>
        <v>0</v>
      </c>
      <c r="J75" s="3" t="n">
        <f aca="false">IF($C75="West",1,0)</f>
        <v>0</v>
      </c>
    </row>
    <row r="76" customFormat="false" ht="15" hidden="false" customHeight="true" outlineLevel="0" collapsed="false">
      <c r="A76" s="3" t="str">
        <f aca="false">Cleaned_Data!A76</f>
        <v>STR-1018</v>
      </c>
      <c r="B76" s="4" t="n">
        <f aca="false">Cleaned_Data!B76</f>
        <v>45748</v>
      </c>
      <c r="C76" s="3" t="str">
        <f aca="false">Cleaned_Data!C76</f>
        <v>East</v>
      </c>
      <c r="D76" s="3" t="str">
        <f aca="false">Cleaned_Data!D76</f>
        <v>High Street</v>
      </c>
      <c r="E76" s="3" t="n">
        <f aca="false">IF($D76="Airport",1,0)</f>
        <v>0</v>
      </c>
      <c r="F76" s="3" t="n">
        <f aca="false">IF($D76="Mall",1,0)</f>
        <v>0</v>
      </c>
      <c r="G76" s="3" t="n">
        <f aca="false">IF($D76="Residential",1,0)</f>
        <v>0</v>
      </c>
      <c r="H76" s="3" t="n">
        <f aca="false">IF($C76="North",1,0)</f>
        <v>0</v>
      </c>
      <c r="I76" s="3" t="n">
        <f aca="false">IF($C76="South",1,0)</f>
        <v>0</v>
      </c>
      <c r="J76" s="3" t="n">
        <f aca="false">IF($C76="West",1,0)</f>
        <v>0</v>
      </c>
    </row>
    <row r="77" customFormat="false" ht="15" hidden="false" customHeight="true" outlineLevel="0" collapsed="false">
      <c r="A77" s="3" t="str">
        <f aca="false">Cleaned_Data!A77</f>
        <v>STR-1019</v>
      </c>
      <c r="B77" s="4" t="n">
        <f aca="false">Cleaned_Data!B77</f>
        <v>45658</v>
      </c>
      <c r="C77" s="3" t="str">
        <f aca="false">Cleaned_Data!C77</f>
        <v>East</v>
      </c>
      <c r="D77" s="3" t="str">
        <f aca="false">Cleaned_Data!D77</f>
        <v>Residential</v>
      </c>
      <c r="E77" s="3" t="n">
        <f aca="false">IF($D77="Airport",1,0)</f>
        <v>0</v>
      </c>
      <c r="F77" s="3" t="n">
        <f aca="false">IF($D77="Mall",1,0)</f>
        <v>0</v>
      </c>
      <c r="G77" s="3" t="n">
        <f aca="false">IF($D77="Residential",1,0)</f>
        <v>1</v>
      </c>
      <c r="H77" s="3" t="n">
        <f aca="false">IF($C77="North",1,0)</f>
        <v>0</v>
      </c>
      <c r="I77" s="3" t="n">
        <f aca="false">IF($C77="South",1,0)</f>
        <v>0</v>
      </c>
      <c r="J77" s="3" t="n">
        <f aca="false">IF($C77="West",1,0)</f>
        <v>0</v>
      </c>
    </row>
    <row r="78" customFormat="false" ht="15" hidden="false" customHeight="true" outlineLevel="0" collapsed="false">
      <c r="A78" s="3" t="str">
        <f aca="false">Cleaned_Data!A78</f>
        <v>STR-1019</v>
      </c>
      <c r="B78" s="4" t="n">
        <f aca="false">Cleaned_Data!B78</f>
        <v>45689</v>
      </c>
      <c r="C78" s="3" t="str">
        <f aca="false">Cleaned_Data!C78</f>
        <v>East</v>
      </c>
      <c r="D78" s="3" t="str">
        <f aca="false">Cleaned_Data!D78</f>
        <v>Residential</v>
      </c>
      <c r="E78" s="3" t="n">
        <f aca="false">IF($D78="Airport",1,0)</f>
        <v>0</v>
      </c>
      <c r="F78" s="3" t="n">
        <f aca="false">IF($D78="Mall",1,0)</f>
        <v>0</v>
      </c>
      <c r="G78" s="3" t="n">
        <f aca="false">IF($D78="Residential",1,0)</f>
        <v>1</v>
      </c>
      <c r="H78" s="3" t="n">
        <f aca="false">IF($C78="North",1,0)</f>
        <v>0</v>
      </c>
      <c r="I78" s="3" t="n">
        <f aca="false">IF($C78="South",1,0)</f>
        <v>0</v>
      </c>
      <c r="J78" s="3" t="n">
        <f aca="false">IF($C78="West",1,0)</f>
        <v>0</v>
      </c>
    </row>
    <row r="79" customFormat="false" ht="15" hidden="false" customHeight="true" outlineLevel="0" collapsed="false">
      <c r="A79" s="3" t="str">
        <f aca="false">Cleaned_Data!A79</f>
        <v>STR-1019</v>
      </c>
      <c r="B79" s="4" t="n">
        <f aca="false">Cleaned_Data!B79</f>
        <v>45717</v>
      </c>
      <c r="C79" s="3" t="str">
        <f aca="false">Cleaned_Data!C79</f>
        <v>East</v>
      </c>
      <c r="D79" s="3" t="str">
        <f aca="false">Cleaned_Data!D79</f>
        <v>Residential</v>
      </c>
      <c r="E79" s="3" t="n">
        <f aca="false">IF($D79="Airport",1,0)</f>
        <v>0</v>
      </c>
      <c r="F79" s="3" t="n">
        <f aca="false">IF($D79="Mall",1,0)</f>
        <v>0</v>
      </c>
      <c r="G79" s="3" t="n">
        <f aca="false">IF($D79="Residential",1,0)</f>
        <v>1</v>
      </c>
      <c r="H79" s="3" t="n">
        <f aca="false">IF($C79="North",1,0)</f>
        <v>0</v>
      </c>
      <c r="I79" s="3" t="n">
        <f aca="false">IF($C79="South",1,0)</f>
        <v>0</v>
      </c>
      <c r="J79" s="3" t="n">
        <f aca="false">IF($C79="West",1,0)</f>
        <v>0</v>
      </c>
    </row>
    <row r="80" customFormat="false" ht="15" hidden="false" customHeight="true" outlineLevel="0" collapsed="false">
      <c r="A80" s="3" t="str">
        <f aca="false">Cleaned_Data!A80</f>
        <v>STR-1019</v>
      </c>
      <c r="B80" s="4" t="n">
        <f aca="false">Cleaned_Data!B80</f>
        <v>45748</v>
      </c>
      <c r="C80" s="3" t="str">
        <f aca="false">Cleaned_Data!C80</f>
        <v>East</v>
      </c>
      <c r="D80" s="3" t="str">
        <f aca="false">Cleaned_Data!D80</f>
        <v>Residential</v>
      </c>
      <c r="E80" s="3" t="n">
        <f aca="false">IF($D80="Airport",1,0)</f>
        <v>0</v>
      </c>
      <c r="F80" s="3" t="n">
        <f aca="false">IF($D80="Mall",1,0)</f>
        <v>0</v>
      </c>
      <c r="G80" s="3" t="n">
        <f aca="false">IF($D80="Residential",1,0)</f>
        <v>1</v>
      </c>
      <c r="H80" s="3" t="n">
        <f aca="false">IF($C80="North",1,0)</f>
        <v>0</v>
      </c>
      <c r="I80" s="3" t="n">
        <f aca="false">IF($C80="South",1,0)</f>
        <v>0</v>
      </c>
      <c r="J80" s="3" t="n">
        <f aca="false">IF($C80="West",1,0)</f>
        <v>0</v>
      </c>
    </row>
    <row r="81" customFormat="false" ht="15" hidden="false" customHeight="true" outlineLevel="0" collapsed="false">
      <c r="A81" s="3" t="str">
        <f aca="false">Cleaned_Data!A81</f>
        <v>STR-1020</v>
      </c>
      <c r="B81" s="4" t="n">
        <f aca="false">Cleaned_Data!B81</f>
        <v>45658</v>
      </c>
      <c r="C81" s="3" t="str">
        <f aca="false">Cleaned_Data!C81</f>
        <v>South</v>
      </c>
      <c r="D81" s="3" t="str">
        <f aca="false">Cleaned_Data!D81</f>
        <v>High Street</v>
      </c>
      <c r="E81" s="3" t="n">
        <f aca="false">IF($D81="Airport",1,0)</f>
        <v>0</v>
      </c>
      <c r="F81" s="3" t="n">
        <f aca="false">IF($D81="Mall",1,0)</f>
        <v>0</v>
      </c>
      <c r="G81" s="3" t="n">
        <f aca="false">IF($D81="Residential",1,0)</f>
        <v>0</v>
      </c>
      <c r="H81" s="3" t="n">
        <f aca="false">IF($C81="North",1,0)</f>
        <v>0</v>
      </c>
      <c r="I81" s="3" t="n">
        <f aca="false">IF($C81="South",1,0)</f>
        <v>1</v>
      </c>
      <c r="J81" s="3" t="n">
        <f aca="false">IF($C81="West",1,0)</f>
        <v>0</v>
      </c>
    </row>
    <row r="82" customFormat="false" ht="15" hidden="false" customHeight="true" outlineLevel="0" collapsed="false">
      <c r="A82" s="3" t="str">
        <f aca="false">Cleaned_Data!A82</f>
        <v>STR-1020</v>
      </c>
      <c r="B82" s="4" t="n">
        <f aca="false">Cleaned_Data!B82</f>
        <v>45689</v>
      </c>
      <c r="C82" s="3" t="str">
        <f aca="false">Cleaned_Data!C82</f>
        <v>South</v>
      </c>
      <c r="D82" s="3" t="str">
        <f aca="false">Cleaned_Data!D82</f>
        <v>High Street</v>
      </c>
      <c r="E82" s="3" t="n">
        <f aca="false">IF($D82="Airport",1,0)</f>
        <v>0</v>
      </c>
      <c r="F82" s="3" t="n">
        <f aca="false">IF($D82="Mall",1,0)</f>
        <v>0</v>
      </c>
      <c r="G82" s="3" t="n">
        <f aca="false">IF($D82="Residential",1,0)</f>
        <v>0</v>
      </c>
      <c r="H82" s="3" t="n">
        <f aca="false">IF($C82="North",1,0)</f>
        <v>0</v>
      </c>
      <c r="I82" s="3" t="n">
        <f aca="false">IF($C82="South",1,0)</f>
        <v>1</v>
      </c>
      <c r="J82" s="3" t="n">
        <f aca="false">IF($C82="West",1,0)</f>
        <v>0</v>
      </c>
    </row>
    <row r="83" customFormat="false" ht="15" hidden="false" customHeight="true" outlineLevel="0" collapsed="false">
      <c r="A83" s="3" t="str">
        <f aca="false">Cleaned_Data!A83</f>
        <v>STR-1020</v>
      </c>
      <c r="B83" s="4" t="n">
        <f aca="false">Cleaned_Data!B83</f>
        <v>45717</v>
      </c>
      <c r="C83" s="3" t="str">
        <f aca="false">Cleaned_Data!C83</f>
        <v>South</v>
      </c>
      <c r="D83" s="3" t="str">
        <f aca="false">Cleaned_Data!D83</f>
        <v>High Street</v>
      </c>
      <c r="E83" s="3" t="n">
        <f aca="false">IF($D83="Airport",1,0)</f>
        <v>0</v>
      </c>
      <c r="F83" s="3" t="n">
        <f aca="false">IF($D83="Mall",1,0)</f>
        <v>0</v>
      </c>
      <c r="G83" s="3" t="n">
        <f aca="false">IF($D83="Residential",1,0)</f>
        <v>0</v>
      </c>
      <c r="H83" s="3" t="n">
        <f aca="false">IF($C83="North",1,0)</f>
        <v>0</v>
      </c>
      <c r="I83" s="3" t="n">
        <f aca="false">IF($C83="South",1,0)</f>
        <v>1</v>
      </c>
      <c r="J83" s="3" t="n">
        <f aca="false">IF($C83="West",1,0)</f>
        <v>0</v>
      </c>
    </row>
    <row r="84" customFormat="false" ht="15" hidden="false" customHeight="true" outlineLevel="0" collapsed="false">
      <c r="A84" s="3" t="str">
        <f aca="false">Cleaned_Data!A84</f>
        <v>STR-1020</v>
      </c>
      <c r="B84" s="4" t="n">
        <f aca="false">Cleaned_Data!B84</f>
        <v>45748</v>
      </c>
      <c r="C84" s="3" t="str">
        <f aca="false">Cleaned_Data!C84</f>
        <v>South</v>
      </c>
      <c r="D84" s="3" t="str">
        <f aca="false">Cleaned_Data!D84</f>
        <v>High Street</v>
      </c>
      <c r="E84" s="3" t="n">
        <f aca="false">IF($D84="Airport",1,0)</f>
        <v>0</v>
      </c>
      <c r="F84" s="3" t="n">
        <f aca="false">IF($D84="Mall",1,0)</f>
        <v>0</v>
      </c>
      <c r="G84" s="3" t="n">
        <f aca="false">IF($D84="Residential",1,0)</f>
        <v>0</v>
      </c>
      <c r="H84" s="3" t="n">
        <f aca="false">IF($C84="North",1,0)</f>
        <v>0</v>
      </c>
      <c r="I84" s="3" t="n">
        <f aca="false">IF($C84="South",1,0)</f>
        <v>1</v>
      </c>
      <c r="J84" s="3" t="n">
        <f aca="false">IF($C84="West",1,0)</f>
        <v>0</v>
      </c>
    </row>
    <row r="85" customFormat="false" ht="15" hidden="false" customHeight="true" outlineLevel="0" collapsed="false">
      <c r="A85" s="3" t="str">
        <f aca="false">Cleaned_Data!A85</f>
        <v>STR-1021</v>
      </c>
      <c r="B85" s="4" t="n">
        <f aca="false">Cleaned_Data!B85</f>
        <v>45658</v>
      </c>
      <c r="C85" s="3" t="str">
        <f aca="false">Cleaned_Data!C85</f>
        <v>West</v>
      </c>
      <c r="D85" s="3" t="str">
        <f aca="false">Cleaned_Data!D85</f>
        <v>Mall</v>
      </c>
      <c r="E85" s="3" t="n">
        <f aca="false">IF($D85="Airport",1,0)</f>
        <v>0</v>
      </c>
      <c r="F85" s="3" t="n">
        <f aca="false">IF($D85="Mall",1,0)</f>
        <v>1</v>
      </c>
      <c r="G85" s="3" t="n">
        <f aca="false">IF($D85="Residential",1,0)</f>
        <v>0</v>
      </c>
      <c r="H85" s="3" t="n">
        <f aca="false">IF($C85="North",1,0)</f>
        <v>0</v>
      </c>
      <c r="I85" s="3" t="n">
        <f aca="false">IF($C85="South",1,0)</f>
        <v>0</v>
      </c>
      <c r="J85" s="3" t="n">
        <f aca="false">IF($C85="West",1,0)</f>
        <v>1</v>
      </c>
    </row>
    <row r="86" customFormat="false" ht="15" hidden="false" customHeight="true" outlineLevel="0" collapsed="false">
      <c r="A86" s="3" t="str">
        <f aca="false">Cleaned_Data!A86</f>
        <v>STR-1021</v>
      </c>
      <c r="B86" s="4" t="n">
        <f aca="false">Cleaned_Data!B86</f>
        <v>45689</v>
      </c>
      <c r="C86" s="3" t="str">
        <f aca="false">Cleaned_Data!C86</f>
        <v>West</v>
      </c>
      <c r="D86" s="3" t="str">
        <f aca="false">Cleaned_Data!D86</f>
        <v>Mall</v>
      </c>
      <c r="E86" s="3" t="n">
        <f aca="false">IF($D86="Airport",1,0)</f>
        <v>0</v>
      </c>
      <c r="F86" s="3" t="n">
        <f aca="false">IF($D86="Mall",1,0)</f>
        <v>1</v>
      </c>
      <c r="G86" s="3" t="n">
        <f aca="false">IF($D86="Residential",1,0)</f>
        <v>0</v>
      </c>
      <c r="H86" s="3" t="n">
        <f aca="false">IF($C86="North",1,0)</f>
        <v>0</v>
      </c>
      <c r="I86" s="3" t="n">
        <f aca="false">IF($C86="South",1,0)</f>
        <v>0</v>
      </c>
      <c r="J86" s="3" t="n">
        <f aca="false">IF($C86="West",1,0)</f>
        <v>1</v>
      </c>
    </row>
    <row r="87" customFormat="false" ht="15" hidden="false" customHeight="true" outlineLevel="0" collapsed="false">
      <c r="A87" s="3" t="str">
        <f aca="false">Cleaned_Data!A87</f>
        <v>STR-1021</v>
      </c>
      <c r="B87" s="4" t="n">
        <f aca="false">Cleaned_Data!B87</f>
        <v>45717</v>
      </c>
      <c r="C87" s="3" t="str">
        <f aca="false">Cleaned_Data!C87</f>
        <v>West</v>
      </c>
      <c r="D87" s="3" t="str">
        <f aca="false">Cleaned_Data!D87</f>
        <v>Mall</v>
      </c>
      <c r="E87" s="3" t="n">
        <f aca="false">IF($D87="Airport",1,0)</f>
        <v>0</v>
      </c>
      <c r="F87" s="3" t="n">
        <f aca="false">IF($D87="Mall",1,0)</f>
        <v>1</v>
      </c>
      <c r="G87" s="3" t="n">
        <f aca="false">IF($D87="Residential",1,0)</f>
        <v>0</v>
      </c>
      <c r="H87" s="3" t="n">
        <f aca="false">IF($C87="North",1,0)</f>
        <v>0</v>
      </c>
      <c r="I87" s="3" t="n">
        <f aca="false">IF($C87="South",1,0)</f>
        <v>0</v>
      </c>
      <c r="J87" s="3" t="n">
        <f aca="false">IF($C87="West",1,0)</f>
        <v>1</v>
      </c>
    </row>
    <row r="88" customFormat="false" ht="15" hidden="false" customHeight="true" outlineLevel="0" collapsed="false">
      <c r="A88" s="3" t="str">
        <f aca="false">Cleaned_Data!A88</f>
        <v>STR-1021</v>
      </c>
      <c r="B88" s="4" t="n">
        <f aca="false">Cleaned_Data!B88</f>
        <v>45748</v>
      </c>
      <c r="C88" s="3" t="str">
        <f aca="false">Cleaned_Data!C88</f>
        <v>West</v>
      </c>
      <c r="D88" s="3" t="str">
        <f aca="false">Cleaned_Data!D88</f>
        <v>Mall</v>
      </c>
      <c r="E88" s="3" t="n">
        <f aca="false">IF($D88="Airport",1,0)</f>
        <v>0</v>
      </c>
      <c r="F88" s="3" t="n">
        <f aca="false">IF($D88="Mall",1,0)</f>
        <v>1</v>
      </c>
      <c r="G88" s="3" t="n">
        <f aca="false">IF($D88="Residential",1,0)</f>
        <v>0</v>
      </c>
      <c r="H88" s="3" t="n">
        <f aca="false">IF($C88="North",1,0)</f>
        <v>0</v>
      </c>
      <c r="I88" s="3" t="n">
        <f aca="false">IF($C88="South",1,0)</f>
        <v>0</v>
      </c>
      <c r="J88" s="3" t="n">
        <f aca="false">IF($C88="West",1,0)</f>
        <v>1</v>
      </c>
    </row>
    <row r="89" customFormat="false" ht="15" hidden="false" customHeight="true" outlineLevel="0" collapsed="false">
      <c r="A89" s="3" t="str">
        <f aca="false">Cleaned_Data!A89</f>
        <v>STR-1022</v>
      </c>
      <c r="B89" s="4" t="n">
        <f aca="false">Cleaned_Data!B89</f>
        <v>45658</v>
      </c>
      <c r="C89" s="3" t="str">
        <f aca="false">Cleaned_Data!C89</f>
        <v>West</v>
      </c>
      <c r="D89" s="3" t="str">
        <f aca="false">Cleaned_Data!D89</f>
        <v>High Street</v>
      </c>
      <c r="E89" s="3" t="n">
        <f aca="false">IF($D89="Airport",1,0)</f>
        <v>0</v>
      </c>
      <c r="F89" s="3" t="n">
        <f aca="false">IF($D89="Mall",1,0)</f>
        <v>0</v>
      </c>
      <c r="G89" s="3" t="n">
        <f aca="false">IF($D89="Residential",1,0)</f>
        <v>0</v>
      </c>
      <c r="H89" s="3" t="n">
        <f aca="false">IF($C89="North",1,0)</f>
        <v>0</v>
      </c>
      <c r="I89" s="3" t="n">
        <f aca="false">IF($C89="South",1,0)</f>
        <v>0</v>
      </c>
      <c r="J89" s="3" t="n">
        <f aca="false">IF($C89="West",1,0)</f>
        <v>1</v>
      </c>
    </row>
    <row r="90" customFormat="false" ht="15" hidden="false" customHeight="true" outlineLevel="0" collapsed="false">
      <c r="A90" s="3" t="str">
        <f aca="false">Cleaned_Data!A90</f>
        <v>STR-1022</v>
      </c>
      <c r="B90" s="4" t="n">
        <f aca="false">Cleaned_Data!B90</f>
        <v>45689</v>
      </c>
      <c r="C90" s="3" t="str">
        <f aca="false">Cleaned_Data!C90</f>
        <v>West</v>
      </c>
      <c r="D90" s="3" t="str">
        <f aca="false">Cleaned_Data!D90</f>
        <v>High Street</v>
      </c>
      <c r="E90" s="3" t="n">
        <f aca="false">IF($D90="Airport",1,0)</f>
        <v>0</v>
      </c>
      <c r="F90" s="3" t="n">
        <f aca="false">IF($D90="Mall",1,0)</f>
        <v>0</v>
      </c>
      <c r="G90" s="3" t="n">
        <f aca="false">IF($D90="Residential",1,0)</f>
        <v>0</v>
      </c>
      <c r="H90" s="3" t="n">
        <f aca="false">IF($C90="North",1,0)</f>
        <v>0</v>
      </c>
      <c r="I90" s="3" t="n">
        <f aca="false">IF($C90="South",1,0)</f>
        <v>0</v>
      </c>
      <c r="J90" s="3" t="n">
        <f aca="false">IF($C90="West",1,0)</f>
        <v>1</v>
      </c>
    </row>
    <row r="91" customFormat="false" ht="15" hidden="false" customHeight="true" outlineLevel="0" collapsed="false">
      <c r="A91" s="3" t="str">
        <f aca="false">Cleaned_Data!A91</f>
        <v>STR-1022</v>
      </c>
      <c r="B91" s="4" t="n">
        <f aca="false">Cleaned_Data!B91</f>
        <v>45717</v>
      </c>
      <c r="C91" s="3" t="str">
        <f aca="false">Cleaned_Data!C91</f>
        <v>West</v>
      </c>
      <c r="D91" s="3" t="str">
        <f aca="false">Cleaned_Data!D91</f>
        <v>High Street</v>
      </c>
      <c r="E91" s="3" t="n">
        <f aca="false">IF($D91="Airport",1,0)</f>
        <v>0</v>
      </c>
      <c r="F91" s="3" t="n">
        <f aca="false">IF($D91="Mall",1,0)</f>
        <v>0</v>
      </c>
      <c r="G91" s="3" t="n">
        <f aca="false">IF($D91="Residential",1,0)</f>
        <v>0</v>
      </c>
      <c r="H91" s="3" t="n">
        <f aca="false">IF($C91="North",1,0)</f>
        <v>0</v>
      </c>
      <c r="I91" s="3" t="n">
        <f aca="false">IF($C91="South",1,0)</f>
        <v>0</v>
      </c>
      <c r="J91" s="3" t="n">
        <f aca="false">IF($C91="West",1,0)</f>
        <v>1</v>
      </c>
    </row>
    <row r="92" customFormat="false" ht="15" hidden="false" customHeight="true" outlineLevel="0" collapsed="false">
      <c r="A92" s="3" t="str">
        <f aca="false">Cleaned_Data!A92</f>
        <v>STR-1022</v>
      </c>
      <c r="B92" s="4" t="n">
        <f aca="false">Cleaned_Data!B92</f>
        <v>45748</v>
      </c>
      <c r="C92" s="3" t="str">
        <f aca="false">Cleaned_Data!C92</f>
        <v>West</v>
      </c>
      <c r="D92" s="3" t="str">
        <f aca="false">Cleaned_Data!D92</f>
        <v>High Street</v>
      </c>
      <c r="E92" s="3" t="n">
        <f aca="false">IF($D92="Airport",1,0)</f>
        <v>0</v>
      </c>
      <c r="F92" s="3" t="n">
        <f aca="false">IF($D92="Mall",1,0)</f>
        <v>0</v>
      </c>
      <c r="G92" s="3" t="n">
        <f aca="false">IF($D92="Residential",1,0)</f>
        <v>0</v>
      </c>
      <c r="H92" s="3" t="n">
        <f aca="false">IF($C92="North",1,0)</f>
        <v>0</v>
      </c>
      <c r="I92" s="3" t="n">
        <f aca="false">IF($C92="South",1,0)</f>
        <v>0</v>
      </c>
      <c r="J92" s="3" t="n">
        <f aca="false">IF($C92="West",1,0)</f>
        <v>1</v>
      </c>
    </row>
    <row r="93" customFormat="false" ht="15" hidden="false" customHeight="true" outlineLevel="0" collapsed="false">
      <c r="A93" s="3" t="str">
        <f aca="false">Cleaned_Data!A93</f>
        <v>STR-1023</v>
      </c>
      <c r="B93" s="4" t="n">
        <f aca="false">Cleaned_Data!B93</f>
        <v>45658</v>
      </c>
      <c r="C93" s="3" t="str">
        <f aca="false">Cleaned_Data!C93</f>
        <v>South</v>
      </c>
      <c r="D93" s="3" t="str">
        <f aca="false">Cleaned_Data!D93</f>
        <v>Mall</v>
      </c>
      <c r="E93" s="3" t="n">
        <f aca="false">IF($D93="Airport",1,0)</f>
        <v>0</v>
      </c>
      <c r="F93" s="3" t="n">
        <f aca="false">IF($D93="Mall",1,0)</f>
        <v>1</v>
      </c>
      <c r="G93" s="3" t="n">
        <f aca="false">IF($D93="Residential",1,0)</f>
        <v>0</v>
      </c>
      <c r="H93" s="3" t="n">
        <f aca="false">IF($C93="North",1,0)</f>
        <v>0</v>
      </c>
      <c r="I93" s="3" t="n">
        <f aca="false">IF($C93="South",1,0)</f>
        <v>1</v>
      </c>
      <c r="J93" s="3" t="n">
        <f aca="false">IF($C93="West",1,0)</f>
        <v>0</v>
      </c>
    </row>
    <row r="94" customFormat="false" ht="15" hidden="false" customHeight="true" outlineLevel="0" collapsed="false">
      <c r="A94" s="3" t="str">
        <f aca="false">Cleaned_Data!A94</f>
        <v>STR-1023</v>
      </c>
      <c r="B94" s="4" t="n">
        <f aca="false">Cleaned_Data!B94</f>
        <v>45689</v>
      </c>
      <c r="C94" s="3" t="str">
        <f aca="false">Cleaned_Data!C94</f>
        <v>South</v>
      </c>
      <c r="D94" s="3" t="str">
        <f aca="false">Cleaned_Data!D94</f>
        <v>Mall</v>
      </c>
      <c r="E94" s="3" t="n">
        <f aca="false">IF($D94="Airport",1,0)</f>
        <v>0</v>
      </c>
      <c r="F94" s="3" t="n">
        <f aca="false">IF($D94="Mall",1,0)</f>
        <v>1</v>
      </c>
      <c r="G94" s="3" t="n">
        <f aca="false">IF($D94="Residential",1,0)</f>
        <v>0</v>
      </c>
      <c r="H94" s="3" t="n">
        <f aca="false">IF($C94="North",1,0)</f>
        <v>0</v>
      </c>
      <c r="I94" s="3" t="n">
        <f aca="false">IF($C94="South",1,0)</f>
        <v>1</v>
      </c>
      <c r="J94" s="3" t="n">
        <f aca="false">IF($C94="West",1,0)</f>
        <v>0</v>
      </c>
    </row>
    <row r="95" customFormat="false" ht="15" hidden="false" customHeight="true" outlineLevel="0" collapsed="false">
      <c r="A95" s="3" t="str">
        <f aca="false">Cleaned_Data!A95</f>
        <v>STR-1023</v>
      </c>
      <c r="B95" s="4" t="n">
        <f aca="false">Cleaned_Data!B95</f>
        <v>45717</v>
      </c>
      <c r="C95" s="3" t="str">
        <f aca="false">Cleaned_Data!C95</f>
        <v>South</v>
      </c>
      <c r="D95" s="3" t="str">
        <f aca="false">Cleaned_Data!D95</f>
        <v>Mall</v>
      </c>
      <c r="E95" s="3" t="n">
        <f aca="false">IF($D95="Airport",1,0)</f>
        <v>0</v>
      </c>
      <c r="F95" s="3" t="n">
        <f aca="false">IF($D95="Mall",1,0)</f>
        <v>1</v>
      </c>
      <c r="G95" s="3" t="n">
        <f aca="false">IF($D95="Residential",1,0)</f>
        <v>0</v>
      </c>
      <c r="H95" s="3" t="n">
        <f aca="false">IF($C95="North",1,0)</f>
        <v>0</v>
      </c>
      <c r="I95" s="3" t="n">
        <f aca="false">IF($C95="South",1,0)</f>
        <v>1</v>
      </c>
      <c r="J95" s="3" t="n">
        <f aca="false">IF($C95="West",1,0)</f>
        <v>0</v>
      </c>
    </row>
    <row r="96" customFormat="false" ht="15" hidden="false" customHeight="true" outlineLevel="0" collapsed="false">
      <c r="A96" s="3" t="str">
        <f aca="false">Cleaned_Data!A96</f>
        <v>STR-1023</v>
      </c>
      <c r="B96" s="4" t="n">
        <f aca="false">Cleaned_Data!B96</f>
        <v>45748</v>
      </c>
      <c r="C96" s="3" t="str">
        <f aca="false">Cleaned_Data!C96</f>
        <v>South</v>
      </c>
      <c r="D96" s="3" t="str">
        <f aca="false">Cleaned_Data!D96</f>
        <v>Mall</v>
      </c>
      <c r="E96" s="3" t="n">
        <f aca="false">IF($D96="Airport",1,0)</f>
        <v>0</v>
      </c>
      <c r="F96" s="3" t="n">
        <f aca="false">IF($D96="Mall",1,0)</f>
        <v>1</v>
      </c>
      <c r="G96" s="3" t="n">
        <f aca="false">IF($D96="Residential",1,0)</f>
        <v>0</v>
      </c>
      <c r="H96" s="3" t="n">
        <f aca="false">IF($C96="North",1,0)</f>
        <v>0</v>
      </c>
      <c r="I96" s="3" t="n">
        <f aca="false">IF($C96="South",1,0)</f>
        <v>1</v>
      </c>
      <c r="J96" s="3" t="n">
        <f aca="false">IF($C96="West",1,0)</f>
        <v>0</v>
      </c>
    </row>
    <row r="97" customFormat="false" ht="15" hidden="false" customHeight="true" outlineLevel="0" collapsed="false">
      <c r="A97" s="3" t="str">
        <f aca="false">Cleaned_Data!A97</f>
        <v>STR-1024</v>
      </c>
      <c r="B97" s="4" t="n">
        <f aca="false">Cleaned_Data!B97</f>
        <v>45658</v>
      </c>
      <c r="C97" s="3" t="str">
        <f aca="false">Cleaned_Data!C97</f>
        <v>West</v>
      </c>
      <c r="D97" s="3" t="str">
        <f aca="false">Cleaned_Data!D97</f>
        <v>Residential</v>
      </c>
      <c r="E97" s="3" t="n">
        <f aca="false">IF($D97="Airport",1,0)</f>
        <v>0</v>
      </c>
      <c r="F97" s="3" t="n">
        <f aca="false">IF($D97="Mall",1,0)</f>
        <v>0</v>
      </c>
      <c r="G97" s="3" t="n">
        <f aca="false">IF($D97="Residential",1,0)</f>
        <v>1</v>
      </c>
      <c r="H97" s="3" t="n">
        <f aca="false">IF($C97="North",1,0)</f>
        <v>0</v>
      </c>
      <c r="I97" s="3" t="n">
        <f aca="false">IF($C97="South",1,0)</f>
        <v>0</v>
      </c>
      <c r="J97" s="3" t="n">
        <f aca="false">IF($C97="West",1,0)</f>
        <v>1</v>
      </c>
    </row>
    <row r="98" customFormat="false" ht="15" hidden="false" customHeight="true" outlineLevel="0" collapsed="false">
      <c r="A98" s="3" t="str">
        <f aca="false">Cleaned_Data!A98</f>
        <v>STR-1024</v>
      </c>
      <c r="B98" s="4" t="n">
        <f aca="false">Cleaned_Data!B98</f>
        <v>45689</v>
      </c>
      <c r="C98" s="3" t="str">
        <f aca="false">Cleaned_Data!C98</f>
        <v>West</v>
      </c>
      <c r="D98" s="3" t="str">
        <f aca="false">Cleaned_Data!D98</f>
        <v>Residential</v>
      </c>
      <c r="E98" s="3" t="n">
        <f aca="false">IF($D98="Airport",1,0)</f>
        <v>0</v>
      </c>
      <c r="F98" s="3" t="n">
        <f aca="false">IF($D98="Mall",1,0)</f>
        <v>0</v>
      </c>
      <c r="G98" s="3" t="n">
        <f aca="false">IF($D98="Residential",1,0)</f>
        <v>1</v>
      </c>
      <c r="H98" s="3" t="n">
        <f aca="false">IF($C98="North",1,0)</f>
        <v>0</v>
      </c>
      <c r="I98" s="3" t="n">
        <f aca="false">IF($C98="South",1,0)</f>
        <v>0</v>
      </c>
      <c r="J98" s="3" t="n">
        <f aca="false">IF($C98="West",1,0)</f>
        <v>1</v>
      </c>
    </row>
    <row r="99" customFormat="false" ht="15" hidden="false" customHeight="true" outlineLevel="0" collapsed="false">
      <c r="A99" s="3" t="str">
        <f aca="false">Cleaned_Data!A99</f>
        <v>STR-1024</v>
      </c>
      <c r="B99" s="4" t="n">
        <f aca="false">Cleaned_Data!B99</f>
        <v>45717</v>
      </c>
      <c r="C99" s="3" t="str">
        <f aca="false">Cleaned_Data!C99</f>
        <v>West</v>
      </c>
      <c r="D99" s="3" t="str">
        <f aca="false">Cleaned_Data!D99</f>
        <v>Residential</v>
      </c>
      <c r="E99" s="3" t="n">
        <f aca="false">IF($D99="Airport",1,0)</f>
        <v>0</v>
      </c>
      <c r="F99" s="3" t="n">
        <f aca="false">IF($D99="Mall",1,0)</f>
        <v>0</v>
      </c>
      <c r="G99" s="3" t="n">
        <f aca="false">IF($D99="Residential",1,0)</f>
        <v>1</v>
      </c>
      <c r="H99" s="3" t="n">
        <f aca="false">IF($C99="North",1,0)</f>
        <v>0</v>
      </c>
      <c r="I99" s="3" t="n">
        <f aca="false">IF($C99="South",1,0)</f>
        <v>0</v>
      </c>
      <c r="J99" s="3" t="n">
        <f aca="false">IF($C99="West",1,0)</f>
        <v>1</v>
      </c>
    </row>
    <row r="100" customFormat="false" ht="15" hidden="false" customHeight="true" outlineLevel="0" collapsed="false">
      <c r="A100" s="3" t="str">
        <f aca="false">Cleaned_Data!A100</f>
        <v>STR-1024</v>
      </c>
      <c r="B100" s="4" t="n">
        <f aca="false">Cleaned_Data!B100</f>
        <v>45748</v>
      </c>
      <c r="C100" s="3" t="str">
        <f aca="false">Cleaned_Data!C100</f>
        <v>West</v>
      </c>
      <c r="D100" s="3" t="str">
        <f aca="false">Cleaned_Data!D100</f>
        <v>Residential</v>
      </c>
      <c r="E100" s="3" t="n">
        <f aca="false">IF($D100="Airport",1,0)</f>
        <v>0</v>
      </c>
      <c r="F100" s="3" t="n">
        <f aca="false">IF($D100="Mall",1,0)</f>
        <v>0</v>
      </c>
      <c r="G100" s="3" t="n">
        <f aca="false">IF($D100="Residential",1,0)</f>
        <v>1</v>
      </c>
      <c r="H100" s="3" t="n">
        <f aca="false">IF($C100="North",1,0)</f>
        <v>0</v>
      </c>
      <c r="I100" s="3" t="n">
        <f aca="false">IF($C100="South",1,0)</f>
        <v>0</v>
      </c>
      <c r="J100" s="3" t="n">
        <f aca="false">IF($C100="West",1,0)</f>
        <v>1</v>
      </c>
    </row>
    <row r="101" customFormat="false" ht="15" hidden="false" customHeight="true" outlineLevel="0" collapsed="false">
      <c r="A101" s="3" t="str">
        <f aca="false">Cleaned_Data!A101</f>
        <v>STR-1025</v>
      </c>
      <c r="B101" s="4" t="n">
        <f aca="false">Cleaned_Data!B101</f>
        <v>45658</v>
      </c>
      <c r="C101" s="3" t="str">
        <f aca="false">Cleaned_Data!C101</f>
        <v>West</v>
      </c>
      <c r="D101" s="3" t="str">
        <f aca="false">Cleaned_Data!D101</f>
        <v>Mall</v>
      </c>
      <c r="E101" s="3" t="n">
        <f aca="false">IF($D101="Airport",1,0)</f>
        <v>0</v>
      </c>
      <c r="F101" s="3" t="n">
        <f aca="false">IF($D101="Mall",1,0)</f>
        <v>1</v>
      </c>
      <c r="G101" s="3" t="n">
        <f aca="false">IF($D101="Residential",1,0)</f>
        <v>0</v>
      </c>
      <c r="H101" s="3" t="n">
        <f aca="false">IF($C101="North",1,0)</f>
        <v>0</v>
      </c>
      <c r="I101" s="3" t="n">
        <f aca="false">IF($C101="South",1,0)</f>
        <v>0</v>
      </c>
      <c r="J101" s="3" t="n">
        <f aca="false">IF($C101="West",1,0)</f>
        <v>1</v>
      </c>
    </row>
    <row r="102" customFormat="false" ht="15" hidden="false" customHeight="true" outlineLevel="0" collapsed="false">
      <c r="A102" s="3" t="str">
        <f aca="false">Cleaned_Data!A102</f>
        <v>STR-1025</v>
      </c>
      <c r="B102" s="4" t="n">
        <f aca="false">Cleaned_Data!B102</f>
        <v>45689</v>
      </c>
      <c r="C102" s="3" t="str">
        <f aca="false">Cleaned_Data!C102</f>
        <v>West</v>
      </c>
      <c r="D102" s="3" t="str">
        <f aca="false">Cleaned_Data!D102</f>
        <v>Mall</v>
      </c>
      <c r="E102" s="3" t="n">
        <f aca="false">IF($D102="Airport",1,0)</f>
        <v>0</v>
      </c>
      <c r="F102" s="3" t="n">
        <f aca="false">IF($D102="Mall",1,0)</f>
        <v>1</v>
      </c>
      <c r="G102" s="3" t="n">
        <f aca="false">IF($D102="Residential",1,0)</f>
        <v>0</v>
      </c>
      <c r="H102" s="3" t="n">
        <f aca="false">IF($C102="North",1,0)</f>
        <v>0</v>
      </c>
      <c r="I102" s="3" t="n">
        <f aca="false">IF($C102="South",1,0)</f>
        <v>0</v>
      </c>
      <c r="J102" s="3" t="n">
        <f aca="false">IF($C102="West",1,0)</f>
        <v>1</v>
      </c>
    </row>
    <row r="103" customFormat="false" ht="15" hidden="false" customHeight="true" outlineLevel="0" collapsed="false">
      <c r="A103" s="3" t="str">
        <f aca="false">Cleaned_Data!A103</f>
        <v>STR-1025</v>
      </c>
      <c r="B103" s="4" t="n">
        <f aca="false">Cleaned_Data!B103</f>
        <v>45717</v>
      </c>
      <c r="C103" s="3" t="str">
        <f aca="false">Cleaned_Data!C103</f>
        <v>West</v>
      </c>
      <c r="D103" s="3" t="str">
        <f aca="false">Cleaned_Data!D103</f>
        <v>Mall</v>
      </c>
      <c r="E103" s="3" t="n">
        <f aca="false">IF($D103="Airport",1,0)</f>
        <v>0</v>
      </c>
      <c r="F103" s="3" t="n">
        <f aca="false">IF($D103="Mall",1,0)</f>
        <v>1</v>
      </c>
      <c r="G103" s="3" t="n">
        <f aca="false">IF($D103="Residential",1,0)</f>
        <v>0</v>
      </c>
      <c r="H103" s="3" t="n">
        <f aca="false">IF($C103="North",1,0)</f>
        <v>0</v>
      </c>
      <c r="I103" s="3" t="n">
        <f aca="false">IF($C103="South",1,0)</f>
        <v>0</v>
      </c>
      <c r="J103" s="3" t="n">
        <f aca="false">IF($C103="West",1,0)</f>
        <v>1</v>
      </c>
    </row>
    <row r="104" customFormat="false" ht="15" hidden="false" customHeight="true" outlineLevel="0" collapsed="false">
      <c r="A104" s="3" t="str">
        <f aca="false">Cleaned_Data!A104</f>
        <v>STR-1025</v>
      </c>
      <c r="B104" s="4" t="n">
        <f aca="false">Cleaned_Data!B104</f>
        <v>45748</v>
      </c>
      <c r="C104" s="3" t="str">
        <f aca="false">Cleaned_Data!C104</f>
        <v>West</v>
      </c>
      <c r="D104" s="3" t="str">
        <f aca="false">Cleaned_Data!D104</f>
        <v>Mall</v>
      </c>
      <c r="E104" s="3" t="n">
        <f aca="false">IF($D104="Airport",1,0)</f>
        <v>0</v>
      </c>
      <c r="F104" s="3" t="n">
        <f aca="false">IF($D104="Mall",1,0)</f>
        <v>1</v>
      </c>
      <c r="G104" s="3" t="n">
        <f aca="false">IF($D104="Residential",1,0)</f>
        <v>0</v>
      </c>
      <c r="H104" s="3" t="n">
        <f aca="false">IF($C104="North",1,0)</f>
        <v>0</v>
      </c>
      <c r="I104" s="3" t="n">
        <f aca="false">IF($C104="South",1,0)</f>
        <v>0</v>
      </c>
      <c r="J104" s="3" t="n">
        <f aca="false">IF($C104="West",1,0)</f>
        <v>1</v>
      </c>
    </row>
    <row r="105" customFormat="false" ht="15" hidden="false" customHeight="true" outlineLevel="0" collapsed="false">
      <c r="A105" s="3" t="str">
        <f aca="false">Cleaned_Data!A105</f>
        <v>STR-1026</v>
      </c>
      <c r="B105" s="4" t="n">
        <f aca="false">Cleaned_Data!B105</f>
        <v>45658</v>
      </c>
      <c r="C105" s="3" t="str">
        <f aca="false">Cleaned_Data!C105</f>
        <v>East</v>
      </c>
      <c r="D105" s="3" t="str">
        <f aca="false">Cleaned_Data!D105</f>
        <v>Mall</v>
      </c>
      <c r="E105" s="3" t="n">
        <f aca="false">IF($D105="Airport",1,0)</f>
        <v>0</v>
      </c>
      <c r="F105" s="3" t="n">
        <f aca="false">IF($D105="Mall",1,0)</f>
        <v>1</v>
      </c>
      <c r="G105" s="3" t="n">
        <f aca="false">IF($D105="Residential",1,0)</f>
        <v>0</v>
      </c>
      <c r="H105" s="3" t="n">
        <f aca="false">IF($C105="North",1,0)</f>
        <v>0</v>
      </c>
      <c r="I105" s="3" t="n">
        <f aca="false">IF($C105="South",1,0)</f>
        <v>0</v>
      </c>
      <c r="J105" s="3" t="n">
        <f aca="false">IF($C105="West",1,0)</f>
        <v>0</v>
      </c>
    </row>
    <row r="106" customFormat="false" ht="15" hidden="false" customHeight="true" outlineLevel="0" collapsed="false">
      <c r="A106" s="3" t="str">
        <f aca="false">Cleaned_Data!A106</f>
        <v>STR-1026</v>
      </c>
      <c r="B106" s="4" t="n">
        <f aca="false">Cleaned_Data!B106</f>
        <v>45689</v>
      </c>
      <c r="C106" s="3" t="str">
        <f aca="false">Cleaned_Data!C106</f>
        <v>East</v>
      </c>
      <c r="D106" s="3" t="str">
        <f aca="false">Cleaned_Data!D106</f>
        <v>Mall</v>
      </c>
      <c r="E106" s="3" t="n">
        <f aca="false">IF($D106="Airport",1,0)</f>
        <v>0</v>
      </c>
      <c r="F106" s="3" t="n">
        <f aca="false">IF($D106="Mall",1,0)</f>
        <v>1</v>
      </c>
      <c r="G106" s="3" t="n">
        <f aca="false">IF($D106="Residential",1,0)</f>
        <v>0</v>
      </c>
      <c r="H106" s="3" t="n">
        <f aca="false">IF($C106="North",1,0)</f>
        <v>0</v>
      </c>
      <c r="I106" s="3" t="n">
        <f aca="false">IF($C106="South",1,0)</f>
        <v>0</v>
      </c>
      <c r="J106" s="3" t="n">
        <f aca="false">IF($C106="West",1,0)</f>
        <v>0</v>
      </c>
    </row>
    <row r="107" customFormat="false" ht="15" hidden="false" customHeight="true" outlineLevel="0" collapsed="false">
      <c r="A107" s="3" t="str">
        <f aca="false">Cleaned_Data!A107</f>
        <v>STR-1026</v>
      </c>
      <c r="B107" s="4" t="n">
        <f aca="false">Cleaned_Data!B107</f>
        <v>45717</v>
      </c>
      <c r="C107" s="3" t="str">
        <f aca="false">Cleaned_Data!C107</f>
        <v>East</v>
      </c>
      <c r="D107" s="3" t="str">
        <f aca="false">Cleaned_Data!D107</f>
        <v>Mall</v>
      </c>
      <c r="E107" s="3" t="n">
        <f aca="false">IF($D107="Airport",1,0)</f>
        <v>0</v>
      </c>
      <c r="F107" s="3" t="n">
        <f aca="false">IF($D107="Mall",1,0)</f>
        <v>1</v>
      </c>
      <c r="G107" s="3" t="n">
        <f aca="false">IF($D107="Residential",1,0)</f>
        <v>0</v>
      </c>
      <c r="H107" s="3" t="n">
        <f aca="false">IF($C107="North",1,0)</f>
        <v>0</v>
      </c>
      <c r="I107" s="3" t="n">
        <f aca="false">IF($C107="South",1,0)</f>
        <v>0</v>
      </c>
      <c r="J107" s="3" t="n">
        <f aca="false">IF($C107="West",1,0)</f>
        <v>0</v>
      </c>
    </row>
    <row r="108" customFormat="false" ht="15" hidden="false" customHeight="true" outlineLevel="0" collapsed="false">
      <c r="A108" s="3" t="str">
        <f aca="false">Cleaned_Data!A108</f>
        <v>STR-1026</v>
      </c>
      <c r="B108" s="4" t="n">
        <f aca="false">Cleaned_Data!B108</f>
        <v>45748</v>
      </c>
      <c r="C108" s="3" t="str">
        <f aca="false">Cleaned_Data!C108</f>
        <v>East</v>
      </c>
      <c r="D108" s="3" t="str">
        <f aca="false">Cleaned_Data!D108</f>
        <v>Mall</v>
      </c>
      <c r="E108" s="3" t="n">
        <f aca="false">IF($D108="Airport",1,0)</f>
        <v>0</v>
      </c>
      <c r="F108" s="3" t="n">
        <f aca="false">IF($D108="Mall",1,0)</f>
        <v>1</v>
      </c>
      <c r="G108" s="3" t="n">
        <f aca="false">IF($D108="Residential",1,0)</f>
        <v>0</v>
      </c>
      <c r="H108" s="3" t="n">
        <f aca="false">IF($C108="North",1,0)</f>
        <v>0</v>
      </c>
      <c r="I108" s="3" t="n">
        <f aca="false">IF($C108="South",1,0)</f>
        <v>0</v>
      </c>
      <c r="J108" s="3" t="n">
        <f aca="false">IF($C108="West",1,0)</f>
        <v>0</v>
      </c>
    </row>
    <row r="109" customFormat="false" ht="15" hidden="false" customHeight="true" outlineLevel="0" collapsed="false">
      <c r="A109" s="3" t="str">
        <f aca="false">Cleaned_Data!A109</f>
        <v>STR-1027</v>
      </c>
      <c r="B109" s="4" t="n">
        <f aca="false">Cleaned_Data!B109</f>
        <v>45658</v>
      </c>
      <c r="C109" s="3" t="str">
        <f aca="false">Cleaned_Data!C109</f>
        <v>West</v>
      </c>
      <c r="D109" s="3" t="str">
        <f aca="false">Cleaned_Data!D109</f>
        <v>High Street</v>
      </c>
      <c r="E109" s="3" t="n">
        <f aca="false">IF($D109="Airport",1,0)</f>
        <v>0</v>
      </c>
      <c r="F109" s="3" t="n">
        <f aca="false">IF($D109="Mall",1,0)</f>
        <v>0</v>
      </c>
      <c r="G109" s="3" t="n">
        <f aca="false">IF($D109="Residential",1,0)</f>
        <v>0</v>
      </c>
      <c r="H109" s="3" t="n">
        <f aca="false">IF($C109="North",1,0)</f>
        <v>0</v>
      </c>
      <c r="I109" s="3" t="n">
        <f aca="false">IF($C109="South",1,0)</f>
        <v>0</v>
      </c>
      <c r="J109" s="3" t="n">
        <f aca="false">IF($C109="West",1,0)</f>
        <v>1</v>
      </c>
    </row>
    <row r="110" customFormat="false" ht="15" hidden="false" customHeight="true" outlineLevel="0" collapsed="false">
      <c r="A110" s="3" t="str">
        <f aca="false">Cleaned_Data!A110</f>
        <v>STR-1027</v>
      </c>
      <c r="B110" s="4" t="n">
        <f aca="false">Cleaned_Data!B110</f>
        <v>45689</v>
      </c>
      <c r="C110" s="3" t="str">
        <f aca="false">Cleaned_Data!C110</f>
        <v>West</v>
      </c>
      <c r="D110" s="3" t="str">
        <f aca="false">Cleaned_Data!D110</f>
        <v>High Street</v>
      </c>
      <c r="E110" s="3" t="n">
        <f aca="false">IF($D110="Airport",1,0)</f>
        <v>0</v>
      </c>
      <c r="F110" s="3" t="n">
        <f aca="false">IF($D110="Mall",1,0)</f>
        <v>0</v>
      </c>
      <c r="G110" s="3" t="n">
        <f aca="false">IF($D110="Residential",1,0)</f>
        <v>0</v>
      </c>
      <c r="H110" s="3" t="n">
        <f aca="false">IF($C110="North",1,0)</f>
        <v>0</v>
      </c>
      <c r="I110" s="3" t="n">
        <f aca="false">IF($C110="South",1,0)</f>
        <v>0</v>
      </c>
      <c r="J110" s="3" t="n">
        <f aca="false">IF($C110="West",1,0)</f>
        <v>1</v>
      </c>
    </row>
    <row r="111" customFormat="false" ht="15" hidden="false" customHeight="true" outlineLevel="0" collapsed="false">
      <c r="A111" s="3" t="str">
        <f aca="false">Cleaned_Data!A111</f>
        <v>STR-1027</v>
      </c>
      <c r="B111" s="4" t="n">
        <f aca="false">Cleaned_Data!B111</f>
        <v>45717</v>
      </c>
      <c r="C111" s="3" t="str">
        <f aca="false">Cleaned_Data!C111</f>
        <v>West</v>
      </c>
      <c r="D111" s="3" t="str">
        <f aca="false">Cleaned_Data!D111</f>
        <v>High Street</v>
      </c>
      <c r="E111" s="3" t="n">
        <f aca="false">IF($D111="Airport",1,0)</f>
        <v>0</v>
      </c>
      <c r="F111" s="3" t="n">
        <f aca="false">IF($D111="Mall",1,0)</f>
        <v>0</v>
      </c>
      <c r="G111" s="3" t="n">
        <f aca="false">IF($D111="Residential",1,0)</f>
        <v>0</v>
      </c>
      <c r="H111" s="3" t="n">
        <f aca="false">IF($C111="North",1,0)</f>
        <v>0</v>
      </c>
      <c r="I111" s="3" t="n">
        <f aca="false">IF($C111="South",1,0)</f>
        <v>0</v>
      </c>
      <c r="J111" s="3" t="n">
        <f aca="false">IF($C111="West",1,0)</f>
        <v>1</v>
      </c>
    </row>
    <row r="112" customFormat="false" ht="15" hidden="false" customHeight="true" outlineLevel="0" collapsed="false">
      <c r="A112" s="3" t="str">
        <f aca="false">Cleaned_Data!A112</f>
        <v>STR-1027</v>
      </c>
      <c r="B112" s="4" t="n">
        <f aca="false">Cleaned_Data!B112</f>
        <v>45748</v>
      </c>
      <c r="C112" s="3" t="str">
        <f aca="false">Cleaned_Data!C112</f>
        <v>West</v>
      </c>
      <c r="D112" s="3" t="str">
        <f aca="false">Cleaned_Data!D112</f>
        <v>High Street</v>
      </c>
      <c r="E112" s="3" t="n">
        <f aca="false">IF($D112="Airport",1,0)</f>
        <v>0</v>
      </c>
      <c r="F112" s="3" t="n">
        <f aca="false">IF($D112="Mall",1,0)</f>
        <v>0</v>
      </c>
      <c r="G112" s="3" t="n">
        <f aca="false">IF($D112="Residential",1,0)</f>
        <v>0</v>
      </c>
      <c r="H112" s="3" t="n">
        <f aca="false">IF($C112="North",1,0)</f>
        <v>0</v>
      </c>
      <c r="I112" s="3" t="n">
        <f aca="false">IF($C112="South",1,0)</f>
        <v>0</v>
      </c>
      <c r="J112" s="3" t="n">
        <f aca="false">IF($C112="West",1,0)</f>
        <v>1</v>
      </c>
    </row>
    <row r="113" customFormat="false" ht="15" hidden="false" customHeight="true" outlineLevel="0" collapsed="false">
      <c r="A113" s="3" t="str">
        <f aca="false">Cleaned_Data!A113</f>
        <v>STR-1028</v>
      </c>
      <c r="B113" s="4" t="n">
        <f aca="false">Cleaned_Data!B113</f>
        <v>45658</v>
      </c>
      <c r="C113" s="3" t="str">
        <f aca="false">Cleaned_Data!C113</f>
        <v>East</v>
      </c>
      <c r="D113" s="3" t="str">
        <f aca="false">Cleaned_Data!D113</f>
        <v>Mall</v>
      </c>
      <c r="E113" s="3" t="n">
        <f aca="false">IF($D113="Airport",1,0)</f>
        <v>0</v>
      </c>
      <c r="F113" s="3" t="n">
        <f aca="false">IF($D113="Mall",1,0)</f>
        <v>1</v>
      </c>
      <c r="G113" s="3" t="n">
        <f aca="false">IF($D113="Residential",1,0)</f>
        <v>0</v>
      </c>
      <c r="H113" s="3" t="n">
        <f aca="false">IF($C113="North",1,0)</f>
        <v>0</v>
      </c>
      <c r="I113" s="3" t="n">
        <f aca="false">IF($C113="South",1,0)</f>
        <v>0</v>
      </c>
      <c r="J113" s="3" t="n">
        <f aca="false">IF($C113="West",1,0)</f>
        <v>0</v>
      </c>
    </row>
    <row r="114" customFormat="false" ht="15" hidden="false" customHeight="true" outlineLevel="0" collapsed="false">
      <c r="A114" s="3" t="str">
        <f aca="false">Cleaned_Data!A114</f>
        <v>STR-1028</v>
      </c>
      <c r="B114" s="4" t="n">
        <f aca="false">Cleaned_Data!B114</f>
        <v>45689</v>
      </c>
      <c r="C114" s="3" t="str">
        <f aca="false">Cleaned_Data!C114</f>
        <v>East</v>
      </c>
      <c r="D114" s="3" t="str">
        <f aca="false">Cleaned_Data!D114</f>
        <v>Mall</v>
      </c>
      <c r="E114" s="3" t="n">
        <f aca="false">IF($D114="Airport",1,0)</f>
        <v>0</v>
      </c>
      <c r="F114" s="3" t="n">
        <f aca="false">IF($D114="Mall",1,0)</f>
        <v>1</v>
      </c>
      <c r="G114" s="3" t="n">
        <f aca="false">IF($D114="Residential",1,0)</f>
        <v>0</v>
      </c>
      <c r="H114" s="3" t="n">
        <f aca="false">IF($C114="North",1,0)</f>
        <v>0</v>
      </c>
      <c r="I114" s="3" t="n">
        <f aca="false">IF($C114="South",1,0)</f>
        <v>0</v>
      </c>
      <c r="J114" s="3" t="n">
        <f aca="false">IF($C114="West",1,0)</f>
        <v>0</v>
      </c>
    </row>
    <row r="115" customFormat="false" ht="15" hidden="false" customHeight="true" outlineLevel="0" collapsed="false">
      <c r="A115" s="3" t="str">
        <f aca="false">Cleaned_Data!A115</f>
        <v>STR-1028</v>
      </c>
      <c r="B115" s="4" t="n">
        <f aca="false">Cleaned_Data!B115</f>
        <v>45717</v>
      </c>
      <c r="C115" s="3" t="str">
        <f aca="false">Cleaned_Data!C115</f>
        <v>East</v>
      </c>
      <c r="D115" s="3" t="str">
        <f aca="false">Cleaned_Data!D115</f>
        <v>Mall</v>
      </c>
      <c r="E115" s="3" t="n">
        <f aca="false">IF($D115="Airport",1,0)</f>
        <v>0</v>
      </c>
      <c r="F115" s="3" t="n">
        <f aca="false">IF($D115="Mall",1,0)</f>
        <v>1</v>
      </c>
      <c r="G115" s="3" t="n">
        <f aca="false">IF($D115="Residential",1,0)</f>
        <v>0</v>
      </c>
      <c r="H115" s="3" t="n">
        <f aca="false">IF($C115="North",1,0)</f>
        <v>0</v>
      </c>
      <c r="I115" s="3" t="n">
        <f aca="false">IF($C115="South",1,0)</f>
        <v>0</v>
      </c>
      <c r="J115" s="3" t="n">
        <f aca="false">IF($C115="West",1,0)</f>
        <v>0</v>
      </c>
    </row>
    <row r="116" customFormat="false" ht="15" hidden="false" customHeight="true" outlineLevel="0" collapsed="false">
      <c r="A116" s="3" t="str">
        <f aca="false">Cleaned_Data!A116</f>
        <v>STR-1028</v>
      </c>
      <c r="B116" s="4" t="n">
        <f aca="false">Cleaned_Data!B116</f>
        <v>45748</v>
      </c>
      <c r="C116" s="3" t="str">
        <f aca="false">Cleaned_Data!C116</f>
        <v>East</v>
      </c>
      <c r="D116" s="3" t="str">
        <f aca="false">Cleaned_Data!D116</f>
        <v>Mall</v>
      </c>
      <c r="E116" s="3" t="n">
        <f aca="false">IF($D116="Airport",1,0)</f>
        <v>0</v>
      </c>
      <c r="F116" s="3" t="n">
        <f aca="false">IF($D116="Mall",1,0)</f>
        <v>1</v>
      </c>
      <c r="G116" s="3" t="n">
        <f aca="false">IF($D116="Residential",1,0)</f>
        <v>0</v>
      </c>
      <c r="H116" s="3" t="n">
        <f aca="false">IF($C116="North",1,0)</f>
        <v>0</v>
      </c>
      <c r="I116" s="3" t="n">
        <f aca="false">IF($C116="South",1,0)</f>
        <v>0</v>
      </c>
      <c r="J116" s="3" t="n">
        <f aca="false">IF($C116="West",1,0)</f>
        <v>0</v>
      </c>
    </row>
    <row r="117" customFormat="false" ht="15" hidden="false" customHeight="true" outlineLevel="0" collapsed="false">
      <c r="A117" s="3" t="str">
        <f aca="false">Cleaned_Data!A117</f>
        <v>STR-1029</v>
      </c>
      <c r="B117" s="4" t="n">
        <f aca="false">Cleaned_Data!B117</f>
        <v>45658</v>
      </c>
      <c r="C117" s="3" t="str">
        <f aca="false">Cleaned_Data!C117</f>
        <v>West</v>
      </c>
      <c r="D117" s="3" t="str">
        <f aca="false">Cleaned_Data!D117</f>
        <v>Mall</v>
      </c>
      <c r="E117" s="3" t="n">
        <f aca="false">IF($D117="Airport",1,0)</f>
        <v>0</v>
      </c>
      <c r="F117" s="3" t="n">
        <f aca="false">IF($D117="Mall",1,0)</f>
        <v>1</v>
      </c>
      <c r="G117" s="3" t="n">
        <f aca="false">IF($D117="Residential",1,0)</f>
        <v>0</v>
      </c>
      <c r="H117" s="3" t="n">
        <f aca="false">IF($C117="North",1,0)</f>
        <v>0</v>
      </c>
      <c r="I117" s="3" t="n">
        <f aca="false">IF($C117="South",1,0)</f>
        <v>0</v>
      </c>
      <c r="J117" s="3" t="n">
        <f aca="false">IF($C117="West",1,0)</f>
        <v>1</v>
      </c>
    </row>
    <row r="118" customFormat="false" ht="15" hidden="false" customHeight="true" outlineLevel="0" collapsed="false">
      <c r="A118" s="3" t="str">
        <f aca="false">Cleaned_Data!A118</f>
        <v>STR-1029</v>
      </c>
      <c r="B118" s="4" t="n">
        <f aca="false">Cleaned_Data!B118</f>
        <v>45689</v>
      </c>
      <c r="C118" s="3" t="str">
        <f aca="false">Cleaned_Data!C118</f>
        <v>West</v>
      </c>
      <c r="D118" s="3" t="str">
        <f aca="false">Cleaned_Data!D118</f>
        <v>Mall</v>
      </c>
      <c r="E118" s="3" t="n">
        <f aca="false">IF($D118="Airport",1,0)</f>
        <v>0</v>
      </c>
      <c r="F118" s="3" t="n">
        <f aca="false">IF($D118="Mall",1,0)</f>
        <v>1</v>
      </c>
      <c r="G118" s="3" t="n">
        <f aca="false">IF($D118="Residential",1,0)</f>
        <v>0</v>
      </c>
      <c r="H118" s="3" t="n">
        <f aca="false">IF($C118="North",1,0)</f>
        <v>0</v>
      </c>
      <c r="I118" s="3" t="n">
        <f aca="false">IF($C118="South",1,0)</f>
        <v>0</v>
      </c>
      <c r="J118" s="3" t="n">
        <f aca="false">IF($C118="West",1,0)</f>
        <v>1</v>
      </c>
    </row>
    <row r="119" customFormat="false" ht="15" hidden="false" customHeight="true" outlineLevel="0" collapsed="false">
      <c r="A119" s="3" t="str">
        <f aca="false">Cleaned_Data!A119</f>
        <v>STR-1029</v>
      </c>
      <c r="B119" s="4" t="n">
        <f aca="false">Cleaned_Data!B119</f>
        <v>45717</v>
      </c>
      <c r="C119" s="3" t="str">
        <f aca="false">Cleaned_Data!C119</f>
        <v>West</v>
      </c>
      <c r="D119" s="3" t="str">
        <f aca="false">Cleaned_Data!D119</f>
        <v>Mall</v>
      </c>
      <c r="E119" s="3" t="n">
        <f aca="false">IF($D119="Airport",1,0)</f>
        <v>0</v>
      </c>
      <c r="F119" s="3" t="n">
        <f aca="false">IF($D119="Mall",1,0)</f>
        <v>1</v>
      </c>
      <c r="G119" s="3" t="n">
        <f aca="false">IF($D119="Residential",1,0)</f>
        <v>0</v>
      </c>
      <c r="H119" s="3" t="n">
        <f aca="false">IF($C119="North",1,0)</f>
        <v>0</v>
      </c>
      <c r="I119" s="3" t="n">
        <f aca="false">IF($C119="South",1,0)</f>
        <v>0</v>
      </c>
      <c r="J119" s="3" t="n">
        <f aca="false">IF($C119="West",1,0)</f>
        <v>1</v>
      </c>
    </row>
    <row r="120" customFormat="false" ht="15" hidden="false" customHeight="true" outlineLevel="0" collapsed="false">
      <c r="A120" s="3" t="str">
        <f aca="false">Cleaned_Data!A120</f>
        <v>STR-1029</v>
      </c>
      <c r="B120" s="4" t="n">
        <f aca="false">Cleaned_Data!B120</f>
        <v>45748</v>
      </c>
      <c r="C120" s="3" t="str">
        <f aca="false">Cleaned_Data!C120</f>
        <v>West</v>
      </c>
      <c r="D120" s="3" t="str">
        <f aca="false">Cleaned_Data!D120</f>
        <v>Mall</v>
      </c>
      <c r="E120" s="3" t="n">
        <f aca="false">IF($D120="Airport",1,0)</f>
        <v>0</v>
      </c>
      <c r="F120" s="3" t="n">
        <f aca="false">IF($D120="Mall",1,0)</f>
        <v>1</v>
      </c>
      <c r="G120" s="3" t="n">
        <f aca="false">IF($D120="Residential",1,0)</f>
        <v>0</v>
      </c>
      <c r="H120" s="3" t="n">
        <f aca="false">IF($C120="North",1,0)</f>
        <v>0</v>
      </c>
      <c r="I120" s="3" t="n">
        <f aca="false">IF($C120="South",1,0)</f>
        <v>0</v>
      </c>
      <c r="J120" s="3" t="n">
        <f aca="false">IF($C120="West",1,0)</f>
        <v>1</v>
      </c>
    </row>
    <row r="121" customFormat="false" ht="15" hidden="false" customHeight="true" outlineLevel="0" collapsed="false">
      <c r="A121" s="3" t="str">
        <f aca="false">Cleaned_Data!A121</f>
        <v>STR-1030</v>
      </c>
      <c r="B121" s="4" t="n">
        <f aca="false">Cleaned_Data!B121</f>
        <v>45658</v>
      </c>
      <c r="C121" s="3" t="str">
        <f aca="false">Cleaned_Data!C121</f>
        <v>West</v>
      </c>
      <c r="D121" s="3" t="str">
        <f aca="false">Cleaned_Data!D121</f>
        <v>Residential</v>
      </c>
      <c r="E121" s="3" t="n">
        <f aca="false">IF($D121="Airport",1,0)</f>
        <v>0</v>
      </c>
      <c r="F121" s="3" t="n">
        <f aca="false">IF($D121="Mall",1,0)</f>
        <v>0</v>
      </c>
      <c r="G121" s="3" t="n">
        <f aca="false">IF($D121="Residential",1,0)</f>
        <v>1</v>
      </c>
      <c r="H121" s="3" t="n">
        <f aca="false">IF($C121="North",1,0)</f>
        <v>0</v>
      </c>
      <c r="I121" s="3" t="n">
        <f aca="false">IF($C121="South",1,0)</f>
        <v>0</v>
      </c>
      <c r="J121" s="3" t="n">
        <f aca="false">IF($C121="West",1,0)</f>
        <v>1</v>
      </c>
    </row>
    <row r="122" customFormat="false" ht="15" hidden="false" customHeight="true" outlineLevel="0" collapsed="false">
      <c r="A122" s="3" t="str">
        <f aca="false">Cleaned_Data!A122</f>
        <v>STR-1030</v>
      </c>
      <c r="B122" s="4" t="n">
        <f aca="false">Cleaned_Data!B122</f>
        <v>45689</v>
      </c>
      <c r="C122" s="3" t="str">
        <f aca="false">Cleaned_Data!C122</f>
        <v>West</v>
      </c>
      <c r="D122" s="3" t="str">
        <f aca="false">Cleaned_Data!D122</f>
        <v>Residential</v>
      </c>
      <c r="E122" s="3" t="n">
        <f aca="false">IF($D122="Airport",1,0)</f>
        <v>0</v>
      </c>
      <c r="F122" s="3" t="n">
        <f aca="false">IF($D122="Mall",1,0)</f>
        <v>0</v>
      </c>
      <c r="G122" s="3" t="n">
        <f aca="false">IF($D122="Residential",1,0)</f>
        <v>1</v>
      </c>
      <c r="H122" s="3" t="n">
        <f aca="false">IF($C122="North",1,0)</f>
        <v>0</v>
      </c>
      <c r="I122" s="3" t="n">
        <f aca="false">IF($C122="South",1,0)</f>
        <v>0</v>
      </c>
      <c r="J122" s="3" t="n">
        <f aca="false">IF($C122="West",1,0)</f>
        <v>1</v>
      </c>
    </row>
    <row r="123" customFormat="false" ht="15" hidden="false" customHeight="true" outlineLevel="0" collapsed="false">
      <c r="A123" s="3" t="str">
        <f aca="false">Cleaned_Data!A123</f>
        <v>STR-1030</v>
      </c>
      <c r="B123" s="4" t="n">
        <f aca="false">Cleaned_Data!B123</f>
        <v>45717</v>
      </c>
      <c r="C123" s="3" t="str">
        <f aca="false">Cleaned_Data!C123</f>
        <v>West</v>
      </c>
      <c r="D123" s="3" t="str">
        <f aca="false">Cleaned_Data!D123</f>
        <v>Residential</v>
      </c>
      <c r="E123" s="3" t="n">
        <f aca="false">IF($D123="Airport",1,0)</f>
        <v>0</v>
      </c>
      <c r="F123" s="3" t="n">
        <f aca="false">IF($D123="Mall",1,0)</f>
        <v>0</v>
      </c>
      <c r="G123" s="3" t="n">
        <f aca="false">IF($D123="Residential",1,0)</f>
        <v>1</v>
      </c>
      <c r="H123" s="3" t="n">
        <f aca="false">IF($C123="North",1,0)</f>
        <v>0</v>
      </c>
      <c r="I123" s="3" t="n">
        <f aca="false">IF($C123="South",1,0)</f>
        <v>0</v>
      </c>
      <c r="J123" s="3" t="n">
        <f aca="false">IF($C123="West",1,0)</f>
        <v>1</v>
      </c>
    </row>
    <row r="124" customFormat="false" ht="15" hidden="false" customHeight="true" outlineLevel="0" collapsed="false">
      <c r="A124" s="3" t="str">
        <f aca="false">Cleaned_Data!A124</f>
        <v>STR-1030</v>
      </c>
      <c r="B124" s="4" t="n">
        <f aca="false">Cleaned_Data!B124</f>
        <v>45748</v>
      </c>
      <c r="C124" s="3" t="str">
        <f aca="false">Cleaned_Data!C124</f>
        <v>West</v>
      </c>
      <c r="D124" s="3" t="str">
        <f aca="false">Cleaned_Data!D124</f>
        <v>Residential</v>
      </c>
      <c r="E124" s="3" t="n">
        <f aca="false">IF($D124="Airport",1,0)</f>
        <v>0</v>
      </c>
      <c r="F124" s="3" t="n">
        <f aca="false">IF($D124="Mall",1,0)</f>
        <v>0</v>
      </c>
      <c r="G124" s="3" t="n">
        <f aca="false">IF($D124="Residential",1,0)</f>
        <v>1</v>
      </c>
      <c r="H124" s="3" t="n">
        <f aca="false">IF($C124="North",1,0)</f>
        <v>0</v>
      </c>
      <c r="I124" s="3" t="n">
        <f aca="false">IF($C124="South",1,0)</f>
        <v>0</v>
      </c>
      <c r="J124" s="3" t="n">
        <f aca="false">IF($C124="West",1,0)</f>
        <v>1</v>
      </c>
    </row>
    <row r="125" customFormat="false" ht="15" hidden="false" customHeight="true" outlineLevel="0" collapsed="false">
      <c r="A125" s="3" t="str">
        <f aca="false">Cleaned_Data!A125</f>
        <v>STR-1031</v>
      </c>
      <c r="B125" s="4" t="n">
        <f aca="false">Cleaned_Data!B125</f>
        <v>45658</v>
      </c>
      <c r="C125" s="3" t="str">
        <f aca="false">Cleaned_Data!C125</f>
        <v>North</v>
      </c>
      <c r="D125" s="3" t="str">
        <f aca="false">Cleaned_Data!D125</f>
        <v>High Street</v>
      </c>
      <c r="E125" s="3" t="n">
        <f aca="false">IF($D125="Airport",1,0)</f>
        <v>0</v>
      </c>
      <c r="F125" s="3" t="n">
        <f aca="false">IF($D125="Mall",1,0)</f>
        <v>0</v>
      </c>
      <c r="G125" s="3" t="n">
        <f aca="false">IF($D125="Residential",1,0)</f>
        <v>0</v>
      </c>
      <c r="H125" s="3" t="n">
        <f aca="false">IF($C125="North",1,0)</f>
        <v>1</v>
      </c>
      <c r="I125" s="3" t="n">
        <f aca="false">IF($C125="South",1,0)</f>
        <v>0</v>
      </c>
      <c r="J125" s="3" t="n">
        <f aca="false">IF($C125="West",1,0)</f>
        <v>0</v>
      </c>
    </row>
    <row r="126" customFormat="false" ht="15" hidden="false" customHeight="true" outlineLevel="0" collapsed="false">
      <c r="A126" s="3" t="str">
        <f aca="false">Cleaned_Data!A126</f>
        <v>STR-1031</v>
      </c>
      <c r="B126" s="4" t="n">
        <f aca="false">Cleaned_Data!B126</f>
        <v>45689</v>
      </c>
      <c r="C126" s="3" t="str">
        <f aca="false">Cleaned_Data!C126</f>
        <v>North</v>
      </c>
      <c r="D126" s="3" t="str">
        <f aca="false">Cleaned_Data!D126</f>
        <v>High Street</v>
      </c>
      <c r="E126" s="3" t="n">
        <f aca="false">IF($D126="Airport",1,0)</f>
        <v>0</v>
      </c>
      <c r="F126" s="3" t="n">
        <f aca="false">IF($D126="Mall",1,0)</f>
        <v>0</v>
      </c>
      <c r="G126" s="3" t="n">
        <f aca="false">IF($D126="Residential",1,0)</f>
        <v>0</v>
      </c>
      <c r="H126" s="3" t="n">
        <f aca="false">IF($C126="North",1,0)</f>
        <v>1</v>
      </c>
      <c r="I126" s="3" t="n">
        <f aca="false">IF($C126="South",1,0)</f>
        <v>0</v>
      </c>
      <c r="J126" s="3" t="n">
        <f aca="false">IF($C126="West",1,0)</f>
        <v>0</v>
      </c>
    </row>
    <row r="127" customFormat="false" ht="15" hidden="false" customHeight="true" outlineLevel="0" collapsed="false">
      <c r="A127" s="3" t="str">
        <f aca="false">Cleaned_Data!A127</f>
        <v>STR-1031</v>
      </c>
      <c r="B127" s="4" t="n">
        <f aca="false">Cleaned_Data!B127</f>
        <v>45717</v>
      </c>
      <c r="C127" s="3" t="str">
        <f aca="false">Cleaned_Data!C127</f>
        <v>North</v>
      </c>
      <c r="D127" s="3" t="str">
        <f aca="false">Cleaned_Data!D127</f>
        <v>High Street</v>
      </c>
      <c r="E127" s="3" t="n">
        <f aca="false">IF($D127="Airport",1,0)</f>
        <v>0</v>
      </c>
      <c r="F127" s="3" t="n">
        <f aca="false">IF($D127="Mall",1,0)</f>
        <v>0</v>
      </c>
      <c r="G127" s="3" t="n">
        <f aca="false">IF($D127="Residential",1,0)</f>
        <v>0</v>
      </c>
      <c r="H127" s="3" t="n">
        <f aca="false">IF($C127="North",1,0)</f>
        <v>1</v>
      </c>
      <c r="I127" s="3" t="n">
        <f aca="false">IF($C127="South",1,0)</f>
        <v>0</v>
      </c>
      <c r="J127" s="3" t="n">
        <f aca="false">IF($C127="West",1,0)</f>
        <v>0</v>
      </c>
    </row>
    <row r="128" customFormat="false" ht="15" hidden="false" customHeight="true" outlineLevel="0" collapsed="false">
      <c r="A128" s="3" t="str">
        <f aca="false">Cleaned_Data!A128</f>
        <v>STR-1031</v>
      </c>
      <c r="B128" s="4" t="n">
        <f aca="false">Cleaned_Data!B128</f>
        <v>45748</v>
      </c>
      <c r="C128" s="3" t="str">
        <f aca="false">Cleaned_Data!C128</f>
        <v>North</v>
      </c>
      <c r="D128" s="3" t="str">
        <f aca="false">Cleaned_Data!D128</f>
        <v>High Street</v>
      </c>
      <c r="E128" s="3" t="n">
        <f aca="false">IF($D128="Airport",1,0)</f>
        <v>0</v>
      </c>
      <c r="F128" s="3" t="n">
        <f aca="false">IF($D128="Mall",1,0)</f>
        <v>0</v>
      </c>
      <c r="G128" s="3" t="n">
        <f aca="false">IF($D128="Residential",1,0)</f>
        <v>0</v>
      </c>
      <c r="H128" s="3" t="n">
        <f aca="false">IF($C128="North",1,0)</f>
        <v>1</v>
      </c>
      <c r="I128" s="3" t="n">
        <f aca="false">IF($C128="South",1,0)</f>
        <v>0</v>
      </c>
      <c r="J128" s="3" t="n">
        <f aca="false">IF($C128="West",1,0)</f>
        <v>0</v>
      </c>
    </row>
    <row r="129" customFormat="false" ht="15" hidden="false" customHeight="true" outlineLevel="0" collapsed="false">
      <c r="A129" s="3" t="str">
        <f aca="false">Cleaned_Data!A129</f>
        <v>STR-1032</v>
      </c>
      <c r="B129" s="4" t="n">
        <f aca="false">Cleaned_Data!B129</f>
        <v>45658</v>
      </c>
      <c r="C129" s="3" t="str">
        <f aca="false">Cleaned_Data!C129</f>
        <v>South</v>
      </c>
      <c r="D129" s="3" t="str">
        <f aca="false">Cleaned_Data!D129</f>
        <v>High Street</v>
      </c>
      <c r="E129" s="3" t="n">
        <f aca="false">IF($D129="Airport",1,0)</f>
        <v>0</v>
      </c>
      <c r="F129" s="3" t="n">
        <f aca="false">IF($D129="Mall",1,0)</f>
        <v>0</v>
      </c>
      <c r="G129" s="3" t="n">
        <f aca="false">IF($D129="Residential",1,0)</f>
        <v>0</v>
      </c>
      <c r="H129" s="3" t="n">
        <f aca="false">IF($C129="North",1,0)</f>
        <v>0</v>
      </c>
      <c r="I129" s="3" t="n">
        <f aca="false">IF($C129="South",1,0)</f>
        <v>1</v>
      </c>
      <c r="J129" s="3" t="n">
        <f aca="false">IF($C129="West",1,0)</f>
        <v>0</v>
      </c>
    </row>
    <row r="130" customFormat="false" ht="15" hidden="false" customHeight="true" outlineLevel="0" collapsed="false">
      <c r="A130" s="3" t="str">
        <f aca="false">Cleaned_Data!A130</f>
        <v>STR-1032</v>
      </c>
      <c r="B130" s="4" t="n">
        <f aca="false">Cleaned_Data!B130</f>
        <v>45689</v>
      </c>
      <c r="C130" s="3" t="str">
        <f aca="false">Cleaned_Data!C130</f>
        <v>South</v>
      </c>
      <c r="D130" s="3" t="str">
        <f aca="false">Cleaned_Data!D130</f>
        <v>High Street</v>
      </c>
      <c r="E130" s="3" t="n">
        <f aca="false">IF($D130="Airport",1,0)</f>
        <v>0</v>
      </c>
      <c r="F130" s="3" t="n">
        <f aca="false">IF($D130="Mall",1,0)</f>
        <v>0</v>
      </c>
      <c r="G130" s="3" t="n">
        <f aca="false">IF($D130="Residential",1,0)</f>
        <v>0</v>
      </c>
      <c r="H130" s="3" t="n">
        <f aca="false">IF($C130="North",1,0)</f>
        <v>0</v>
      </c>
      <c r="I130" s="3" t="n">
        <f aca="false">IF($C130="South",1,0)</f>
        <v>1</v>
      </c>
      <c r="J130" s="3" t="n">
        <f aca="false">IF($C130="West",1,0)</f>
        <v>0</v>
      </c>
    </row>
    <row r="131" customFormat="false" ht="15" hidden="false" customHeight="true" outlineLevel="0" collapsed="false">
      <c r="A131" s="3" t="str">
        <f aca="false">Cleaned_Data!A131</f>
        <v>STR-1032</v>
      </c>
      <c r="B131" s="4" t="n">
        <f aca="false">Cleaned_Data!B131</f>
        <v>45717</v>
      </c>
      <c r="C131" s="3" t="str">
        <f aca="false">Cleaned_Data!C131</f>
        <v>South</v>
      </c>
      <c r="D131" s="3" t="str">
        <f aca="false">Cleaned_Data!D131</f>
        <v>High Street</v>
      </c>
      <c r="E131" s="3" t="n">
        <f aca="false">IF($D131="Airport",1,0)</f>
        <v>0</v>
      </c>
      <c r="F131" s="3" t="n">
        <f aca="false">IF($D131="Mall",1,0)</f>
        <v>0</v>
      </c>
      <c r="G131" s="3" t="n">
        <f aca="false">IF($D131="Residential",1,0)</f>
        <v>0</v>
      </c>
      <c r="H131" s="3" t="n">
        <f aca="false">IF($C131="North",1,0)</f>
        <v>0</v>
      </c>
      <c r="I131" s="3" t="n">
        <f aca="false">IF($C131="South",1,0)</f>
        <v>1</v>
      </c>
      <c r="J131" s="3" t="n">
        <f aca="false">IF($C131="West",1,0)</f>
        <v>0</v>
      </c>
    </row>
    <row r="132" customFormat="false" ht="15" hidden="false" customHeight="true" outlineLevel="0" collapsed="false">
      <c r="A132" s="3" t="str">
        <f aca="false">Cleaned_Data!A132</f>
        <v>STR-1032</v>
      </c>
      <c r="B132" s="4" t="n">
        <f aca="false">Cleaned_Data!B132</f>
        <v>45748</v>
      </c>
      <c r="C132" s="3" t="str">
        <f aca="false">Cleaned_Data!C132</f>
        <v>South</v>
      </c>
      <c r="D132" s="3" t="str">
        <f aca="false">Cleaned_Data!D132</f>
        <v>High Street</v>
      </c>
      <c r="E132" s="3" t="n">
        <f aca="false">IF($D132="Airport",1,0)</f>
        <v>0</v>
      </c>
      <c r="F132" s="3" t="n">
        <f aca="false">IF($D132="Mall",1,0)</f>
        <v>0</v>
      </c>
      <c r="G132" s="3" t="n">
        <f aca="false">IF($D132="Residential",1,0)</f>
        <v>0</v>
      </c>
      <c r="H132" s="3" t="n">
        <f aca="false">IF($C132="North",1,0)</f>
        <v>0</v>
      </c>
      <c r="I132" s="3" t="n">
        <f aca="false">IF($C132="South",1,0)</f>
        <v>1</v>
      </c>
      <c r="J132" s="3" t="n">
        <f aca="false">IF($C132="West",1,0)</f>
        <v>0</v>
      </c>
    </row>
    <row r="133" customFormat="false" ht="15" hidden="false" customHeight="true" outlineLevel="0" collapsed="false">
      <c r="A133" s="3" t="str">
        <f aca="false">Cleaned_Data!A133</f>
        <v>STR-1033</v>
      </c>
      <c r="B133" s="4" t="n">
        <f aca="false">Cleaned_Data!B133</f>
        <v>45658</v>
      </c>
      <c r="C133" s="3" t="str">
        <f aca="false">Cleaned_Data!C133</f>
        <v>East</v>
      </c>
      <c r="D133" s="3" t="str">
        <f aca="false">Cleaned_Data!D133</f>
        <v>High Street</v>
      </c>
      <c r="E133" s="3" t="n">
        <f aca="false">IF($D133="Airport",1,0)</f>
        <v>0</v>
      </c>
      <c r="F133" s="3" t="n">
        <f aca="false">IF($D133="Mall",1,0)</f>
        <v>0</v>
      </c>
      <c r="G133" s="3" t="n">
        <f aca="false">IF($D133="Residential",1,0)</f>
        <v>0</v>
      </c>
      <c r="H133" s="3" t="n">
        <f aca="false">IF($C133="North",1,0)</f>
        <v>0</v>
      </c>
      <c r="I133" s="3" t="n">
        <f aca="false">IF($C133="South",1,0)</f>
        <v>0</v>
      </c>
      <c r="J133" s="3" t="n">
        <f aca="false">IF($C133="West",1,0)</f>
        <v>0</v>
      </c>
    </row>
    <row r="134" customFormat="false" ht="15" hidden="false" customHeight="true" outlineLevel="0" collapsed="false">
      <c r="A134" s="3" t="str">
        <f aca="false">Cleaned_Data!A134</f>
        <v>STR-1033</v>
      </c>
      <c r="B134" s="4" t="n">
        <f aca="false">Cleaned_Data!B134</f>
        <v>45689</v>
      </c>
      <c r="C134" s="3" t="str">
        <f aca="false">Cleaned_Data!C134</f>
        <v>East</v>
      </c>
      <c r="D134" s="3" t="str">
        <f aca="false">Cleaned_Data!D134</f>
        <v>High Street</v>
      </c>
      <c r="E134" s="3" t="n">
        <f aca="false">IF($D134="Airport",1,0)</f>
        <v>0</v>
      </c>
      <c r="F134" s="3" t="n">
        <f aca="false">IF($D134="Mall",1,0)</f>
        <v>0</v>
      </c>
      <c r="G134" s="3" t="n">
        <f aca="false">IF($D134="Residential",1,0)</f>
        <v>0</v>
      </c>
      <c r="H134" s="3" t="n">
        <f aca="false">IF($C134="North",1,0)</f>
        <v>0</v>
      </c>
      <c r="I134" s="3" t="n">
        <f aca="false">IF($C134="South",1,0)</f>
        <v>0</v>
      </c>
      <c r="J134" s="3" t="n">
        <f aca="false">IF($C134="West",1,0)</f>
        <v>0</v>
      </c>
    </row>
    <row r="135" customFormat="false" ht="15" hidden="false" customHeight="true" outlineLevel="0" collapsed="false">
      <c r="A135" s="3" t="str">
        <f aca="false">Cleaned_Data!A135</f>
        <v>STR-1033</v>
      </c>
      <c r="B135" s="4" t="n">
        <f aca="false">Cleaned_Data!B135</f>
        <v>45717</v>
      </c>
      <c r="C135" s="3" t="str">
        <f aca="false">Cleaned_Data!C135</f>
        <v>East</v>
      </c>
      <c r="D135" s="3" t="str">
        <f aca="false">Cleaned_Data!D135</f>
        <v>High Street</v>
      </c>
      <c r="E135" s="3" t="n">
        <f aca="false">IF($D135="Airport",1,0)</f>
        <v>0</v>
      </c>
      <c r="F135" s="3" t="n">
        <f aca="false">IF($D135="Mall",1,0)</f>
        <v>0</v>
      </c>
      <c r="G135" s="3" t="n">
        <f aca="false">IF($D135="Residential",1,0)</f>
        <v>0</v>
      </c>
      <c r="H135" s="3" t="n">
        <f aca="false">IF($C135="North",1,0)</f>
        <v>0</v>
      </c>
      <c r="I135" s="3" t="n">
        <f aca="false">IF($C135="South",1,0)</f>
        <v>0</v>
      </c>
      <c r="J135" s="3" t="n">
        <f aca="false">IF($C135="West",1,0)</f>
        <v>0</v>
      </c>
    </row>
    <row r="136" customFormat="false" ht="15" hidden="false" customHeight="true" outlineLevel="0" collapsed="false">
      <c r="A136" s="3" t="str">
        <f aca="false">Cleaned_Data!A136</f>
        <v>STR-1033</v>
      </c>
      <c r="B136" s="4" t="n">
        <f aca="false">Cleaned_Data!B136</f>
        <v>45748</v>
      </c>
      <c r="C136" s="3" t="str">
        <f aca="false">Cleaned_Data!C136</f>
        <v>East</v>
      </c>
      <c r="D136" s="3" t="str">
        <f aca="false">Cleaned_Data!D136</f>
        <v>High Street</v>
      </c>
      <c r="E136" s="3" t="n">
        <f aca="false">IF($D136="Airport",1,0)</f>
        <v>0</v>
      </c>
      <c r="F136" s="3" t="n">
        <f aca="false">IF($D136="Mall",1,0)</f>
        <v>0</v>
      </c>
      <c r="G136" s="3" t="n">
        <f aca="false">IF($D136="Residential",1,0)</f>
        <v>0</v>
      </c>
      <c r="H136" s="3" t="n">
        <f aca="false">IF($C136="North",1,0)</f>
        <v>0</v>
      </c>
      <c r="I136" s="3" t="n">
        <f aca="false">IF($C136="South",1,0)</f>
        <v>0</v>
      </c>
      <c r="J136" s="3" t="n">
        <f aca="false">IF($C136="West",1,0)</f>
        <v>0</v>
      </c>
    </row>
    <row r="137" customFormat="false" ht="15" hidden="false" customHeight="true" outlineLevel="0" collapsed="false">
      <c r="A137" s="3" t="str">
        <f aca="false">Cleaned_Data!A137</f>
        <v>STR-1034</v>
      </c>
      <c r="B137" s="4" t="n">
        <f aca="false">Cleaned_Data!B137</f>
        <v>45658</v>
      </c>
      <c r="C137" s="3" t="str">
        <f aca="false">Cleaned_Data!C137</f>
        <v>North</v>
      </c>
      <c r="D137" s="3" t="str">
        <f aca="false">Cleaned_Data!D137</f>
        <v>High Street</v>
      </c>
      <c r="E137" s="3" t="n">
        <f aca="false">IF($D137="Airport",1,0)</f>
        <v>0</v>
      </c>
      <c r="F137" s="3" t="n">
        <f aca="false">IF($D137="Mall",1,0)</f>
        <v>0</v>
      </c>
      <c r="G137" s="3" t="n">
        <f aca="false">IF($D137="Residential",1,0)</f>
        <v>0</v>
      </c>
      <c r="H137" s="3" t="n">
        <f aca="false">IF($C137="North",1,0)</f>
        <v>1</v>
      </c>
      <c r="I137" s="3" t="n">
        <f aca="false">IF($C137="South",1,0)</f>
        <v>0</v>
      </c>
      <c r="J137" s="3" t="n">
        <f aca="false">IF($C137="West",1,0)</f>
        <v>0</v>
      </c>
    </row>
    <row r="138" customFormat="false" ht="15" hidden="false" customHeight="true" outlineLevel="0" collapsed="false">
      <c r="A138" s="3" t="str">
        <f aca="false">Cleaned_Data!A138</f>
        <v>STR-1034</v>
      </c>
      <c r="B138" s="4" t="n">
        <f aca="false">Cleaned_Data!B138</f>
        <v>45689</v>
      </c>
      <c r="C138" s="3" t="str">
        <f aca="false">Cleaned_Data!C138</f>
        <v>North</v>
      </c>
      <c r="D138" s="3" t="str">
        <f aca="false">Cleaned_Data!D138</f>
        <v>High Street</v>
      </c>
      <c r="E138" s="3" t="n">
        <f aca="false">IF($D138="Airport",1,0)</f>
        <v>0</v>
      </c>
      <c r="F138" s="3" t="n">
        <f aca="false">IF($D138="Mall",1,0)</f>
        <v>0</v>
      </c>
      <c r="G138" s="3" t="n">
        <f aca="false">IF($D138="Residential",1,0)</f>
        <v>0</v>
      </c>
      <c r="H138" s="3" t="n">
        <f aca="false">IF($C138="North",1,0)</f>
        <v>1</v>
      </c>
      <c r="I138" s="3" t="n">
        <f aca="false">IF($C138="South",1,0)</f>
        <v>0</v>
      </c>
      <c r="J138" s="3" t="n">
        <f aca="false">IF($C138="West",1,0)</f>
        <v>0</v>
      </c>
    </row>
    <row r="139" customFormat="false" ht="15" hidden="false" customHeight="true" outlineLevel="0" collapsed="false">
      <c r="A139" s="3" t="str">
        <f aca="false">Cleaned_Data!A139</f>
        <v>STR-1034</v>
      </c>
      <c r="B139" s="4" t="n">
        <f aca="false">Cleaned_Data!B139</f>
        <v>45717</v>
      </c>
      <c r="C139" s="3" t="str">
        <f aca="false">Cleaned_Data!C139</f>
        <v>North</v>
      </c>
      <c r="D139" s="3" t="str">
        <f aca="false">Cleaned_Data!D139</f>
        <v>High Street</v>
      </c>
      <c r="E139" s="3" t="n">
        <f aca="false">IF($D139="Airport",1,0)</f>
        <v>0</v>
      </c>
      <c r="F139" s="3" t="n">
        <f aca="false">IF($D139="Mall",1,0)</f>
        <v>0</v>
      </c>
      <c r="G139" s="3" t="n">
        <f aca="false">IF($D139="Residential",1,0)</f>
        <v>0</v>
      </c>
      <c r="H139" s="3" t="n">
        <f aca="false">IF($C139="North",1,0)</f>
        <v>1</v>
      </c>
      <c r="I139" s="3" t="n">
        <f aca="false">IF($C139="South",1,0)</f>
        <v>0</v>
      </c>
      <c r="J139" s="3" t="n">
        <f aca="false">IF($C139="West",1,0)</f>
        <v>0</v>
      </c>
    </row>
    <row r="140" customFormat="false" ht="15" hidden="false" customHeight="true" outlineLevel="0" collapsed="false">
      <c r="A140" s="3" t="str">
        <f aca="false">Cleaned_Data!A140</f>
        <v>STR-1034</v>
      </c>
      <c r="B140" s="4" t="n">
        <f aca="false">Cleaned_Data!B140</f>
        <v>45748</v>
      </c>
      <c r="C140" s="3" t="str">
        <f aca="false">Cleaned_Data!C140</f>
        <v>North</v>
      </c>
      <c r="D140" s="3" t="str">
        <f aca="false">Cleaned_Data!D140</f>
        <v>High Street</v>
      </c>
      <c r="E140" s="3" t="n">
        <f aca="false">IF($D140="Airport",1,0)</f>
        <v>0</v>
      </c>
      <c r="F140" s="3" t="n">
        <f aca="false">IF($D140="Mall",1,0)</f>
        <v>0</v>
      </c>
      <c r="G140" s="3" t="n">
        <f aca="false">IF($D140="Residential",1,0)</f>
        <v>0</v>
      </c>
      <c r="H140" s="3" t="n">
        <f aca="false">IF($C140="North",1,0)</f>
        <v>1</v>
      </c>
      <c r="I140" s="3" t="n">
        <f aca="false">IF($C140="South",1,0)</f>
        <v>0</v>
      </c>
      <c r="J140" s="3" t="n">
        <f aca="false">IF($C140="West",1,0)</f>
        <v>0</v>
      </c>
    </row>
    <row r="141" customFormat="false" ht="15" hidden="false" customHeight="true" outlineLevel="0" collapsed="false">
      <c r="A141" s="3" t="str">
        <f aca="false">Cleaned_Data!A141</f>
        <v>STR-1035</v>
      </c>
      <c r="B141" s="4" t="n">
        <f aca="false">Cleaned_Data!B141</f>
        <v>45658</v>
      </c>
      <c r="C141" s="3" t="str">
        <f aca="false">Cleaned_Data!C141</f>
        <v>South</v>
      </c>
      <c r="D141" s="3" t="str">
        <f aca="false">Cleaned_Data!D141</f>
        <v>Residential</v>
      </c>
      <c r="E141" s="3" t="n">
        <f aca="false">IF($D141="Airport",1,0)</f>
        <v>0</v>
      </c>
      <c r="F141" s="3" t="n">
        <f aca="false">IF($D141="Mall",1,0)</f>
        <v>0</v>
      </c>
      <c r="G141" s="3" t="n">
        <f aca="false">IF($D141="Residential",1,0)</f>
        <v>1</v>
      </c>
      <c r="H141" s="3" t="n">
        <f aca="false">IF($C141="North",1,0)</f>
        <v>0</v>
      </c>
      <c r="I141" s="3" t="n">
        <f aca="false">IF($C141="South",1,0)</f>
        <v>1</v>
      </c>
      <c r="J141" s="3" t="n">
        <f aca="false">IF($C141="West",1,0)</f>
        <v>0</v>
      </c>
    </row>
    <row r="142" customFormat="false" ht="15" hidden="false" customHeight="true" outlineLevel="0" collapsed="false">
      <c r="A142" s="3" t="str">
        <f aca="false">Cleaned_Data!A142</f>
        <v>STR-1035</v>
      </c>
      <c r="B142" s="4" t="n">
        <f aca="false">Cleaned_Data!B142</f>
        <v>45689</v>
      </c>
      <c r="C142" s="3" t="str">
        <f aca="false">Cleaned_Data!C142</f>
        <v>South</v>
      </c>
      <c r="D142" s="3" t="str">
        <f aca="false">Cleaned_Data!D142</f>
        <v>Residential</v>
      </c>
      <c r="E142" s="3" t="n">
        <f aca="false">IF($D142="Airport",1,0)</f>
        <v>0</v>
      </c>
      <c r="F142" s="3" t="n">
        <f aca="false">IF($D142="Mall",1,0)</f>
        <v>0</v>
      </c>
      <c r="G142" s="3" t="n">
        <f aca="false">IF($D142="Residential",1,0)</f>
        <v>1</v>
      </c>
      <c r="H142" s="3" t="n">
        <f aca="false">IF($C142="North",1,0)</f>
        <v>0</v>
      </c>
      <c r="I142" s="3" t="n">
        <f aca="false">IF($C142="South",1,0)</f>
        <v>1</v>
      </c>
      <c r="J142" s="3" t="n">
        <f aca="false">IF($C142="West",1,0)</f>
        <v>0</v>
      </c>
    </row>
    <row r="143" customFormat="false" ht="15" hidden="false" customHeight="true" outlineLevel="0" collapsed="false">
      <c r="A143" s="3" t="str">
        <f aca="false">Cleaned_Data!A143</f>
        <v>STR-1035</v>
      </c>
      <c r="B143" s="4" t="n">
        <f aca="false">Cleaned_Data!B143</f>
        <v>45717</v>
      </c>
      <c r="C143" s="3" t="str">
        <f aca="false">Cleaned_Data!C143</f>
        <v>South</v>
      </c>
      <c r="D143" s="3" t="str">
        <f aca="false">Cleaned_Data!D143</f>
        <v>Residential</v>
      </c>
      <c r="E143" s="3" t="n">
        <f aca="false">IF($D143="Airport",1,0)</f>
        <v>0</v>
      </c>
      <c r="F143" s="3" t="n">
        <f aca="false">IF($D143="Mall",1,0)</f>
        <v>0</v>
      </c>
      <c r="G143" s="3" t="n">
        <f aca="false">IF($D143="Residential",1,0)</f>
        <v>1</v>
      </c>
      <c r="H143" s="3" t="n">
        <f aca="false">IF($C143="North",1,0)</f>
        <v>0</v>
      </c>
      <c r="I143" s="3" t="n">
        <f aca="false">IF($C143="South",1,0)</f>
        <v>1</v>
      </c>
      <c r="J143" s="3" t="n">
        <f aca="false">IF($C143="West",1,0)</f>
        <v>0</v>
      </c>
    </row>
    <row r="144" customFormat="false" ht="15" hidden="false" customHeight="true" outlineLevel="0" collapsed="false">
      <c r="A144" s="3" t="str">
        <f aca="false">Cleaned_Data!A144</f>
        <v>STR-1035</v>
      </c>
      <c r="B144" s="4" t="n">
        <f aca="false">Cleaned_Data!B144</f>
        <v>45748</v>
      </c>
      <c r="C144" s="3" t="str">
        <f aca="false">Cleaned_Data!C144</f>
        <v>South</v>
      </c>
      <c r="D144" s="3" t="str">
        <f aca="false">Cleaned_Data!D144</f>
        <v>Residential</v>
      </c>
      <c r="E144" s="3" t="n">
        <f aca="false">IF($D144="Airport",1,0)</f>
        <v>0</v>
      </c>
      <c r="F144" s="3" t="n">
        <f aca="false">IF($D144="Mall",1,0)</f>
        <v>0</v>
      </c>
      <c r="G144" s="3" t="n">
        <f aca="false">IF($D144="Residential",1,0)</f>
        <v>1</v>
      </c>
      <c r="H144" s="3" t="n">
        <f aca="false">IF($C144="North",1,0)</f>
        <v>0</v>
      </c>
      <c r="I144" s="3" t="n">
        <f aca="false">IF($C144="South",1,0)</f>
        <v>1</v>
      </c>
      <c r="J144" s="3" t="n">
        <f aca="false">IF($C144="West",1,0)</f>
        <v>0</v>
      </c>
    </row>
    <row r="145" customFormat="false" ht="15" hidden="false" customHeight="true" outlineLevel="0" collapsed="false">
      <c r="A145" s="3" t="str">
        <f aca="false">Cleaned_Data!A145</f>
        <v>STR-1036</v>
      </c>
      <c r="B145" s="4" t="n">
        <f aca="false">Cleaned_Data!B145</f>
        <v>45658</v>
      </c>
      <c r="C145" s="3" t="str">
        <f aca="false">Cleaned_Data!C145</f>
        <v>West</v>
      </c>
      <c r="D145" s="3" t="str">
        <f aca="false">Cleaned_Data!D145</f>
        <v>High Street</v>
      </c>
      <c r="E145" s="3" t="n">
        <f aca="false">IF($D145="Airport",1,0)</f>
        <v>0</v>
      </c>
      <c r="F145" s="3" t="n">
        <f aca="false">IF($D145="Mall",1,0)</f>
        <v>0</v>
      </c>
      <c r="G145" s="3" t="n">
        <f aca="false">IF($D145="Residential",1,0)</f>
        <v>0</v>
      </c>
      <c r="H145" s="3" t="n">
        <f aca="false">IF($C145="North",1,0)</f>
        <v>0</v>
      </c>
      <c r="I145" s="3" t="n">
        <f aca="false">IF($C145="South",1,0)</f>
        <v>0</v>
      </c>
      <c r="J145" s="3" t="n">
        <f aca="false">IF($C145="West",1,0)</f>
        <v>1</v>
      </c>
    </row>
    <row r="146" customFormat="false" ht="15" hidden="false" customHeight="true" outlineLevel="0" collapsed="false">
      <c r="A146" s="3" t="str">
        <f aca="false">Cleaned_Data!A146</f>
        <v>STR-1036</v>
      </c>
      <c r="B146" s="4" t="n">
        <f aca="false">Cleaned_Data!B146</f>
        <v>45689</v>
      </c>
      <c r="C146" s="3" t="str">
        <f aca="false">Cleaned_Data!C146</f>
        <v>West</v>
      </c>
      <c r="D146" s="3" t="str">
        <f aca="false">Cleaned_Data!D146</f>
        <v>High Street</v>
      </c>
      <c r="E146" s="3" t="n">
        <f aca="false">IF($D146="Airport",1,0)</f>
        <v>0</v>
      </c>
      <c r="F146" s="3" t="n">
        <f aca="false">IF($D146="Mall",1,0)</f>
        <v>0</v>
      </c>
      <c r="G146" s="3" t="n">
        <f aca="false">IF($D146="Residential",1,0)</f>
        <v>0</v>
      </c>
      <c r="H146" s="3" t="n">
        <f aca="false">IF($C146="North",1,0)</f>
        <v>0</v>
      </c>
      <c r="I146" s="3" t="n">
        <f aca="false">IF($C146="South",1,0)</f>
        <v>0</v>
      </c>
      <c r="J146" s="3" t="n">
        <f aca="false">IF($C146="West",1,0)</f>
        <v>1</v>
      </c>
    </row>
    <row r="147" customFormat="false" ht="15" hidden="false" customHeight="true" outlineLevel="0" collapsed="false">
      <c r="A147" s="3" t="str">
        <f aca="false">Cleaned_Data!A147</f>
        <v>STR-1036</v>
      </c>
      <c r="B147" s="4" t="n">
        <f aca="false">Cleaned_Data!B147</f>
        <v>45717</v>
      </c>
      <c r="C147" s="3" t="str">
        <f aca="false">Cleaned_Data!C147</f>
        <v>West</v>
      </c>
      <c r="D147" s="3" t="str">
        <f aca="false">Cleaned_Data!D147</f>
        <v>High Street</v>
      </c>
      <c r="E147" s="3" t="n">
        <f aca="false">IF($D147="Airport",1,0)</f>
        <v>0</v>
      </c>
      <c r="F147" s="3" t="n">
        <f aca="false">IF($D147="Mall",1,0)</f>
        <v>0</v>
      </c>
      <c r="G147" s="3" t="n">
        <f aca="false">IF($D147="Residential",1,0)</f>
        <v>0</v>
      </c>
      <c r="H147" s="3" t="n">
        <f aca="false">IF($C147="North",1,0)</f>
        <v>0</v>
      </c>
      <c r="I147" s="3" t="n">
        <f aca="false">IF($C147="South",1,0)</f>
        <v>0</v>
      </c>
      <c r="J147" s="3" t="n">
        <f aca="false">IF($C147="West",1,0)</f>
        <v>1</v>
      </c>
    </row>
    <row r="148" customFormat="false" ht="15" hidden="false" customHeight="true" outlineLevel="0" collapsed="false">
      <c r="A148" s="3" t="str">
        <f aca="false">Cleaned_Data!A148</f>
        <v>STR-1036</v>
      </c>
      <c r="B148" s="4" t="n">
        <f aca="false">Cleaned_Data!B148</f>
        <v>45748</v>
      </c>
      <c r="C148" s="3" t="str">
        <f aca="false">Cleaned_Data!C148</f>
        <v>West</v>
      </c>
      <c r="D148" s="3" t="str">
        <f aca="false">Cleaned_Data!D148</f>
        <v>High Street</v>
      </c>
      <c r="E148" s="3" t="n">
        <f aca="false">IF($D148="Airport",1,0)</f>
        <v>0</v>
      </c>
      <c r="F148" s="3" t="n">
        <f aca="false">IF($D148="Mall",1,0)</f>
        <v>0</v>
      </c>
      <c r="G148" s="3" t="n">
        <f aca="false">IF($D148="Residential",1,0)</f>
        <v>0</v>
      </c>
      <c r="H148" s="3" t="n">
        <f aca="false">IF($C148="North",1,0)</f>
        <v>0</v>
      </c>
      <c r="I148" s="3" t="n">
        <f aca="false">IF($C148="South",1,0)</f>
        <v>0</v>
      </c>
      <c r="J148" s="3" t="n">
        <f aca="false">IF($C148="West",1,0)</f>
        <v>1</v>
      </c>
    </row>
    <row r="149" customFormat="false" ht="15" hidden="false" customHeight="true" outlineLevel="0" collapsed="false">
      <c r="A149" s="3" t="str">
        <f aca="false">Cleaned_Data!A149</f>
        <v>STR-1037</v>
      </c>
      <c r="B149" s="4" t="n">
        <f aca="false">Cleaned_Data!B149</f>
        <v>45658</v>
      </c>
      <c r="C149" s="3" t="str">
        <f aca="false">Cleaned_Data!C149</f>
        <v>North</v>
      </c>
      <c r="D149" s="3" t="str">
        <f aca="false">Cleaned_Data!D149</f>
        <v>Residential</v>
      </c>
      <c r="E149" s="3" t="n">
        <f aca="false">IF($D149="Airport",1,0)</f>
        <v>0</v>
      </c>
      <c r="F149" s="3" t="n">
        <f aca="false">IF($D149="Mall",1,0)</f>
        <v>0</v>
      </c>
      <c r="G149" s="3" t="n">
        <f aca="false">IF($D149="Residential",1,0)</f>
        <v>1</v>
      </c>
      <c r="H149" s="3" t="n">
        <f aca="false">IF($C149="North",1,0)</f>
        <v>1</v>
      </c>
      <c r="I149" s="3" t="n">
        <f aca="false">IF($C149="South",1,0)</f>
        <v>0</v>
      </c>
      <c r="J149" s="3" t="n">
        <f aca="false">IF($C149="West",1,0)</f>
        <v>0</v>
      </c>
    </row>
    <row r="150" customFormat="false" ht="15" hidden="false" customHeight="true" outlineLevel="0" collapsed="false">
      <c r="A150" s="3" t="str">
        <f aca="false">Cleaned_Data!A150</f>
        <v>STR-1037</v>
      </c>
      <c r="B150" s="4" t="n">
        <f aca="false">Cleaned_Data!B150</f>
        <v>45689</v>
      </c>
      <c r="C150" s="3" t="str">
        <f aca="false">Cleaned_Data!C150</f>
        <v>North</v>
      </c>
      <c r="D150" s="3" t="str">
        <f aca="false">Cleaned_Data!D150</f>
        <v>Residential</v>
      </c>
      <c r="E150" s="3" t="n">
        <f aca="false">IF($D150="Airport",1,0)</f>
        <v>0</v>
      </c>
      <c r="F150" s="3" t="n">
        <f aca="false">IF($D150="Mall",1,0)</f>
        <v>0</v>
      </c>
      <c r="G150" s="3" t="n">
        <f aca="false">IF($D150="Residential",1,0)</f>
        <v>1</v>
      </c>
      <c r="H150" s="3" t="n">
        <f aca="false">IF($C150="North",1,0)</f>
        <v>1</v>
      </c>
      <c r="I150" s="3" t="n">
        <f aca="false">IF($C150="South",1,0)</f>
        <v>0</v>
      </c>
      <c r="J150" s="3" t="n">
        <f aca="false">IF($C150="West",1,0)</f>
        <v>0</v>
      </c>
    </row>
    <row r="151" customFormat="false" ht="15" hidden="false" customHeight="true" outlineLevel="0" collapsed="false">
      <c r="A151" s="3" t="str">
        <f aca="false">Cleaned_Data!A151</f>
        <v>STR-1037</v>
      </c>
      <c r="B151" s="4" t="n">
        <f aca="false">Cleaned_Data!B151</f>
        <v>45717</v>
      </c>
      <c r="C151" s="3" t="str">
        <f aca="false">Cleaned_Data!C151</f>
        <v>North</v>
      </c>
      <c r="D151" s="3" t="str">
        <f aca="false">Cleaned_Data!D151</f>
        <v>Residential</v>
      </c>
      <c r="E151" s="3" t="n">
        <f aca="false">IF($D151="Airport",1,0)</f>
        <v>0</v>
      </c>
      <c r="F151" s="3" t="n">
        <f aca="false">IF($D151="Mall",1,0)</f>
        <v>0</v>
      </c>
      <c r="G151" s="3" t="n">
        <f aca="false">IF($D151="Residential",1,0)</f>
        <v>1</v>
      </c>
      <c r="H151" s="3" t="n">
        <f aca="false">IF($C151="North",1,0)</f>
        <v>1</v>
      </c>
      <c r="I151" s="3" t="n">
        <f aca="false">IF($C151="South",1,0)</f>
        <v>0</v>
      </c>
      <c r="J151" s="3" t="n">
        <f aca="false">IF($C151="West",1,0)</f>
        <v>0</v>
      </c>
    </row>
    <row r="152" customFormat="false" ht="15" hidden="false" customHeight="true" outlineLevel="0" collapsed="false">
      <c r="A152" s="3" t="str">
        <f aca="false">Cleaned_Data!A152</f>
        <v>STR-1037</v>
      </c>
      <c r="B152" s="4" t="n">
        <f aca="false">Cleaned_Data!B152</f>
        <v>45748</v>
      </c>
      <c r="C152" s="3" t="str">
        <f aca="false">Cleaned_Data!C152</f>
        <v>North</v>
      </c>
      <c r="D152" s="3" t="str">
        <f aca="false">Cleaned_Data!D152</f>
        <v>Residential</v>
      </c>
      <c r="E152" s="3" t="n">
        <f aca="false">IF($D152="Airport",1,0)</f>
        <v>0</v>
      </c>
      <c r="F152" s="3" t="n">
        <f aca="false">IF($D152="Mall",1,0)</f>
        <v>0</v>
      </c>
      <c r="G152" s="3" t="n">
        <f aca="false">IF($D152="Residential",1,0)</f>
        <v>1</v>
      </c>
      <c r="H152" s="3" t="n">
        <f aca="false">IF($C152="North",1,0)</f>
        <v>1</v>
      </c>
      <c r="I152" s="3" t="n">
        <f aca="false">IF($C152="South",1,0)</f>
        <v>0</v>
      </c>
      <c r="J152" s="3" t="n">
        <f aca="false">IF($C152="West",1,0)</f>
        <v>0</v>
      </c>
    </row>
    <row r="153" customFormat="false" ht="15" hidden="false" customHeight="true" outlineLevel="0" collapsed="false">
      <c r="A153" s="3" t="str">
        <f aca="false">Cleaned_Data!A153</f>
        <v>STR-1038</v>
      </c>
      <c r="B153" s="4" t="n">
        <f aca="false">Cleaned_Data!B153</f>
        <v>45658</v>
      </c>
      <c r="C153" s="3" t="str">
        <f aca="false">Cleaned_Data!C153</f>
        <v>South</v>
      </c>
      <c r="D153" s="3" t="str">
        <f aca="false">Cleaned_Data!D153</f>
        <v>Mall</v>
      </c>
      <c r="E153" s="3" t="n">
        <f aca="false">IF($D153="Airport",1,0)</f>
        <v>0</v>
      </c>
      <c r="F153" s="3" t="n">
        <f aca="false">IF($D153="Mall",1,0)</f>
        <v>1</v>
      </c>
      <c r="G153" s="3" t="n">
        <f aca="false">IF($D153="Residential",1,0)</f>
        <v>0</v>
      </c>
      <c r="H153" s="3" t="n">
        <f aca="false">IF($C153="North",1,0)</f>
        <v>0</v>
      </c>
      <c r="I153" s="3" t="n">
        <f aca="false">IF($C153="South",1,0)</f>
        <v>1</v>
      </c>
      <c r="J153" s="3" t="n">
        <f aca="false">IF($C153="West",1,0)</f>
        <v>0</v>
      </c>
    </row>
    <row r="154" customFormat="false" ht="15" hidden="false" customHeight="true" outlineLevel="0" collapsed="false">
      <c r="A154" s="3" t="str">
        <f aca="false">Cleaned_Data!A154</f>
        <v>STR-1038</v>
      </c>
      <c r="B154" s="4" t="n">
        <f aca="false">Cleaned_Data!B154</f>
        <v>45689</v>
      </c>
      <c r="C154" s="3" t="str">
        <f aca="false">Cleaned_Data!C154</f>
        <v>South</v>
      </c>
      <c r="D154" s="3" t="str">
        <f aca="false">Cleaned_Data!D154</f>
        <v>Mall</v>
      </c>
      <c r="E154" s="3" t="n">
        <f aca="false">IF($D154="Airport",1,0)</f>
        <v>0</v>
      </c>
      <c r="F154" s="3" t="n">
        <f aca="false">IF($D154="Mall",1,0)</f>
        <v>1</v>
      </c>
      <c r="G154" s="3" t="n">
        <f aca="false">IF($D154="Residential",1,0)</f>
        <v>0</v>
      </c>
      <c r="H154" s="3" t="n">
        <f aca="false">IF($C154="North",1,0)</f>
        <v>0</v>
      </c>
      <c r="I154" s="3" t="n">
        <f aca="false">IF($C154="South",1,0)</f>
        <v>1</v>
      </c>
      <c r="J154" s="3" t="n">
        <f aca="false">IF($C154="West",1,0)</f>
        <v>0</v>
      </c>
    </row>
    <row r="155" customFormat="false" ht="15" hidden="false" customHeight="true" outlineLevel="0" collapsed="false">
      <c r="A155" s="3" t="str">
        <f aca="false">Cleaned_Data!A155</f>
        <v>STR-1038</v>
      </c>
      <c r="B155" s="4" t="n">
        <f aca="false">Cleaned_Data!B155</f>
        <v>45717</v>
      </c>
      <c r="C155" s="3" t="str">
        <f aca="false">Cleaned_Data!C155</f>
        <v>South</v>
      </c>
      <c r="D155" s="3" t="str">
        <f aca="false">Cleaned_Data!D155</f>
        <v>Mall</v>
      </c>
      <c r="E155" s="3" t="n">
        <f aca="false">IF($D155="Airport",1,0)</f>
        <v>0</v>
      </c>
      <c r="F155" s="3" t="n">
        <f aca="false">IF($D155="Mall",1,0)</f>
        <v>1</v>
      </c>
      <c r="G155" s="3" t="n">
        <f aca="false">IF($D155="Residential",1,0)</f>
        <v>0</v>
      </c>
      <c r="H155" s="3" t="n">
        <f aca="false">IF($C155="North",1,0)</f>
        <v>0</v>
      </c>
      <c r="I155" s="3" t="n">
        <f aca="false">IF($C155="South",1,0)</f>
        <v>1</v>
      </c>
      <c r="J155" s="3" t="n">
        <f aca="false">IF($C155="West",1,0)</f>
        <v>0</v>
      </c>
    </row>
    <row r="156" customFormat="false" ht="15" hidden="false" customHeight="true" outlineLevel="0" collapsed="false">
      <c r="A156" s="3" t="str">
        <f aca="false">Cleaned_Data!A156</f>
        <v>STR-1038</v>
      </c>
      <c r="B156" s="4" t="n">
        <f aca="false">Cleaned_Data!B156</f>
        <v>45748</v>
      </c>
      <c r="C156" s="3" t="str">
        <f aca="false">Cleaned_Data!C156</f>
        <v>South</v>
      </c>
      <c r="D156" s="3" t="str">
        <f aca="false">Cleaned_Data!D156</f>
        <v>Mall</v>
      </c>
      <c r="E156" s="3" t="n">
        <f aca="false">IF($D156="Airport",1,0)</f>
        <v>0</v>
      </c>
      <c r="F156" s="3" t="n">
        <f aca="false">IF($D156="Mall",1,0)</f>
        <v>1</v>
      </c>
      <c r="G156" s="3" t="n">
        <f aca="false">IF($D156="Residential",1,0)</f>
        <v>0</v>
      </c>
      <c r="H156" s="3" t="n">
        <f aca="false">IF($C156="North",1,0)</f>
        <v>0</v>
      </c>
      <c r="I156" s="3" t="n">
        <f aca="false">IF($C156="South",1,0)</f>
        <v>1</v>
      </c>
      <c r="J156" s="3" t="n">
        <f aca="false">IF($C156="West",1,0)</f>
        <v>0</v>
      </c>
    </row>
    <row r="157" customFormat="false" ht="15" hidden="false" customHeight="true" outlineLevel="0" collapsed="false">
      <c r="A157" s="3" t="str">
        <f aca="false">Cleaned_Data!A157</f>
        <v>STR-1039</v>
      </c>
      <c r="B157" s="4" t="n">
        <f aca="false">Cleaned_Data!B157</f>
        <v>45658</v>
      </c>
      <c r="C157" s="3" t="str">
        <f aca="false">Cleaned_Data!C157</f>
        <v>East</v>
      </c>
      <c r="D157" s="3" t="str">
        <f aca="false">Cleaned_Data!D157</f>
        <v>High Street</v>
      </c>
      <c r="E157" s="3" t="n">
        <f aca="false">IF($D157="Airport",1,0)</f>
        <v>0</v>
      </c>
      <c r="F157" s="3" t="n">
        <f aca="false">IF($D157="Mall",1,0)</f>
        <v>0</v>
      </c>
      <c r="G157" s="3" t="n">
        <f aca="false">IF($D157="Residential",1,0)</f>
        <v>0</v>
      </c>
      <c r="H157" s="3" t="n">
        <f aca="false">IF($C157="North",1,0)</f>
        <v>0</v>
      </c>
      <c r="I157" s="3" t="n">
        <f aca="false">IF($C157="South",1,0)</f>
        <v>0</v>
      </c>
      <c r="J157" s="3" t="n">
        <f aca="false">IF($C157="West",1,0)</f>
        <v>0</v>
      </c>
    </row>
    <row r="158" customFormat="false" ht="15" hidden="false" customHeight="true" outlineLevel="0" collapsed="false">
      <c r="A158" s="3" t="str">
        <f aca="false">Cleaned_Data!A158</f>
        <v>STR-1039</v>
      </c>
      <c r="B158" s="4" t="n">
        <f aca="false">Cleaned_Data!B158</f>
        <v>45689</v>
      </c>
      <c r="C158" s="3" t="str">
        <f aca="false">Cleaned_Data!C158</f>
        <v>East</v>
      </c>
      <c r="D158" s="3" t="str">
        <f aca="false">Cleaned_Data!D158</f>
        <v>High Street</v>
      </c>
      <c r="E158" s="3" t="n">
        <f aca="false">IF($D158="Airport",1,0)</f>
        <v>0</v>
      </c>
      <c r="F158" s="3" t="n">
        <f aca="false">IF($D158="Mall",1,0)</f>
        <v>0</v>
      </c>
      <c r="G158" s="3" t="n">
        <f aca="false">IF($D158="Residential",1,0)</f>
        <v>0</v>
      </c>
      <c r="H158" s="3" t="n">
        <f aca="false">IF($C158="North",1,0)</f>
        <v>0</v>
      </c>
      <c r="I158" s="3" t="n">
        <f aca="false">IF($C158="South",1,0)</f>
        <v>0</v>
      </c>
      <c r="J158" s="3" t="n">
        <f aca="false">IF($C158="West",1,0)</f>
        <v>0</v>
      </c>
    </row>
    <row r="159" customFormat="false" ht="15" hidden="false" customHeight="true" outlineLevel="0" collapsed="false">
      <c r="A159" s="3" t="str">
        <f aca="false">Cleaned_Data!A159</f>
        <v>STR-1039</v>
      </c>
      <c r="B159" s="4" t="n">
        <f aca="false">Cleaned_Data!B159</f>
        <v>45717</v>
      </c>
      <c r="C159" s="3" t="str">
        <f aca="false">Cleaned_Data!C159</f>
        <v>East</v>
      </c>
      <c r="D159" s="3" t="str">
        <f aca="false">Cleaned_Data!D159</f>
        <v>High Street</v>
      </c>
      <c r="E159" s="3" t="n">
        <f aca="false">IF($D159="Airport",1,0)</f>
        <v>0</v>
      </c>
      <c r="F159" s="3" t="n">
        <f aca="false">IF($D159="Mall",1,0)</f>
        <v>0</v>
      </c>
      <c r="G159" s="3" t="n">
        <f aca="false">IF($D159="Residential",1,0)</f>
        <v>0</v>
      </c>
      <c r="H159" s="3" t="n">
        <f aca="false">IF($C159="North",1,0)</f>
        <v>0</v>
      </c>
      <c r="I159" s="3" t="n">
        <f aca="false">IF($C159="South",1,0)</f>
        <v>0</v>
      </c>
      <c r="J159" s="3" t="n">
        <f aca="false">IF($C159="West",1,0)</f>
        <v>0</v>
      </c>
    </row>
    <row r="160" customFormat="false" ht="15" hidden="false" customHeight="true" outlineLevel="0" collapsed="false">
      <c r="A160" s="3" t="str">
        <f aca="false">Cleaned_Data!A160</f>
        <v>STR-1039</v>
      </c>
      <c r="B160" s="4" t="n">
        <f aca="false">Cleaned_Data!B160</f>
        <v>45748</v>
      </c>
      <c r="C160" s="3" t="str">
        <f aca="false">Cleaned_Data!C160</f>
        <v>East</v>
      </c>
      <c r="D160" s="3" t="str">
        <f aca="false">Cleaned_Data!D160</f>
        <v>High Street</v>
      </c>
      <c r="E160" s="3" t="n">
        <f aca="false">IF($D160="Airport",1,0)</f>
        <v>0</v>
      </c>
      <c r="F160" s="3" t="n">
        <f aca="false">IF($D160="Mall",1,0)</f>
        <v>0</v>
      </c>
      <c r="G160" s="3" t="n">
        <f aca="false">IF($D160="Residential",1,0)</f>
        <v>0</v>
      </c>
      <c r="H160" s="3" t="n">
        <f aca="false">IF($C160="North",1,0)</f>
        <v>0</v>
      </c>
      <c r="I160" s="3" t="n">
        <f aca="false">IF($C160="South",1,0)</f>
        <v>0</v>
      </c>
      <c r="J160" s="3" t="n">
        <f aca="false">IF($C160="West",1,0)</f>
        <v>0</v>
      </c>
    </row>
    <row r="161" customFormat="false" ht="15" hidden="false" customHeight="true" outlineLevel="0" collapsed="false">
      <c r="A161" s="3" t="str">
        <f aca="false">Cleaned_Data!A161</f>
        <v>STR-1040</v>
      </c>
      <c r="B161" s="4" t="n">
        <f aca="false">Cleaned_Data!B161</f>
        <v>45658</v>
      </c>
      <c r="C161" s="3" t="str">
        <f aca="false">Cleaned_Data!C161</f>
        <v>North</v>
      </c>
      <c r="D161" s="3" t="str">
        <f aca="false">Cleaned_Data!D161</f>
        <v>Mall</v>
      </c>
      <c r="E161" s="3" t="n">
        <f aca="false">IF($D161="Airport",1,0)</f>
        <v>0</v>
      </c>
      <c r="F161" s="3" t="n">
        <f aca="false">IF($D161="Mall",1,0)</f>
        <v>1</v>
      </c>
      <c r="G161" s="3" t="n">
        <f aca="false">IF($D161="Residential",1,0)</f>
        <v>0</v>
      </c>
      <c r="H161" s="3" t="n">
        <f aca="false">IF($C161="North",1,0)</f>
        <v>1</v>
      </c>
      <c r="I161" s="3" t="n">
        <f aca="false">IF($C161="South",1,0)</f>
        <v>0</v>
      </c>
      <c r="J161" s="3" t="n">
        <f aca="false">IF($C161="West",1,0)</f>
        <v>0</v>
      </c>
    </row>
    <row r="162" customFormat="false" ht="15" hidden="false" customHeight="true" outlineLevel="0" collapsed="false">
      <c r="A162" s="3" t="str">
        <f aca="false">Cleaned_Data!A162</f>
        <v>STR-1040</v>
      </c>
      <c r="B162" s="4" t="n">
        <f aca="false">Cleaned_Data!B162</f>
        <v>45689</v>
      </c>
      <c r="C162" s="3" t="str">
        <f aca="false">Cleaned_Data!C162</f>
        <v>North</v>
      </c>
      <c r="D162" s="3" t="str">
        <f aca="false">Cleaned_Data!D162</f>
        <v>Mall</v>
      </c>
      <c r="E162" s="3" t="n">
        <f aca="false">IF($D162="Airport",1,0)</f>
        <v>0</v>
      </c>
      <c r="F162" s="3" t="n">
        <f aca="false">IF($D162="Mall",1,0)</f>
        <v>1</v>
      </c>
      <c r="G162" s="3" t="n">
        <f aca="false">IF($D162="Residential",1,0)</f>
        <v>0</v>
      </c>
      <c r="H162" s="3" t="n">
        <f aca="false">IF($C162="North",1,0)</f>
        <v>1</v>
      </c>
      <c r="I162" s="3" t="n">
        <f aca="false">IF($C162="South",1,0)</f>
        <v>0</v>
      </c>
      <c r="J162" s="3" t="n">
        <f aca="false">IF($C162="West",1,0)</f>
        <v>0</v>
      </c>
    </row>
    <row r="163" customFormat="false" ht="15" hidden="false" customHeight="true" outlineLevel="0" collapsed="false">
      <c r="A163" s="3" t="str">
        <f aca="false">Cleaned_Data!A163</f>
        <v>STR-1040</v>
      </c>
      <c r="B163" s="4" t="n">
        <f aca="false">Cleaned_Data!B163</f>
        <v>45717</v>
      </c>
      <c r="C163" s="3" t="str">
        <f aca="false">Cleaned_Data!C163</f>
        <v>North</v>
      </c>
      <c r="D163" s="3" t="str">
        <f aca="false">Cleaned_Data!D163</f>
        <v>Mall</v>
      </c>
      <c r="E163" s="3" t="n">
        <f aca="false">IF($D163="Airport",1,0)</f>
        <v>0</v>
      </c>
      <c r="F163" s="3" t="n">
        <f aca="false">IF($D163="Mall",1,0)</f>
        <v>1</v>
      </c>
      <c r="G163" s="3" t="n">
        <f aca="false">IF($D163="Residential",1,0)</f>
        <v>0</v>
      </c>
      <c r="H163" s="3" t="n">
        <f aca="false">IF($C163="North",1,0)</f>
        <v>1</v>
      </c>
      <c r="I163" s="3" t="n">
        <f aca="false">IF($C163="South",1,0)</f>
        <v>0</v>
      </c>
      <c r="J163" s="3" t="n">
        <f aca="false">IF($C163="West",1,0)</f>
        <v>0</v>
      </c>
    </row>
    <row r="164" customFormat="false" ht="15" hidden="false" customHeight="true" outlineLevel="0" collapsed="false">
      <c r="A164" s="3" t="str">
        <f aca="false">Cleaned_Data!A164</f>
        <v>STR-1040</v>
      </c>
      <c r="B164" s="4" t="n">
        <f aca="false">Cleaned_Data!B164</f>
        <v>45748</v>
      </c>
      <c r="C164" s="3" t="str">
        <f aca="false">Cleaned_Data!C164</f>
        <v>North</v>
      </c>
      <c r="D164" s="3" t="str">
        <f aca="false">Cleaned_Data!D164</f>
        <v>Mall</v>
      </c>
      <c r="E164" s="3" t="n">
        <f aca="false">IF($D164="Airport",1,0)</f>
        <v>0</v>
      </c>
      <c r="F164" s="3" t="n">
        <f aca="false">IF($D164="Mall",1,0)</f>
        <v>1</v>
      </c>
      <c r="G164" s="3" t="n">
        <f aca="false">IF($D164="Residential",1,0)</f>
        <v>0</v>
      </c>
      <c r="H164" s="3" t="n">
        <f aca="false">IF($C164="North",1,0)</f>
        <v>1</v>
      </c>
      <c r="I164" s="3" t="n">
        <f aca="false">IF($C164="South",1,0)</f>
        <v>0</v>
      </c>
      <c r="J164" s="3" t="n">
        <f aca="false">IF($C164="West",1,0)</f>
        <v>0</v>
      </c>
    </row>
    <row r="165" customFormat="false" ht="15" hidden="false" customHeight="true" outlineLevel="0" collapsed="false">
      <c r="A165" s="3" t="str">
        <f aca="false">Cleaned_Data!A165</f>
        <v>STR-1041</v>
      </c>
      <c r="B165" s="4" t="n">
        <f aca="false">Cleaned_Data!B165</f>
        <v>45658</v>
      </c>
      <c r="C165" s="3" t="str">
        <f aca="false">Cleaned_Data!C165</f>
        <v>South</v>
      </c>
      <c r="D165" s="3" t="str">
        <f aca="false">Cleaned_Data!D165</f>
        <v>High Street</v>
      </c>
      <c r="E165" s="3" t="n">
        <f aca="false">IF($D165="Airport",1,0)</f>
        <v>0</v>
      </c>
      <c r="F165" s="3" t="n">
        <f aca="false">IF($D165="Mall",1,0)</f>
        <v>0</v>
      </c>
      <c r="G165" s="3" t="n">
        <f aca="false">IF($D165="Residential",1,0)</f>
        <v>0</v>
      </c>
      <c r="H165" s="3" t="n">
        <f aca="false">IF($C165="North",1,0)</f>
        <v>0</v>
      </c>
      <c r="I165" s="3" t="n">
        <f aca="false">IF($C165="South",1,0)</f>
        <v>1</v>
      </c>
      <c r="J165" s="3" t="n">
        <f aca="false">IF($C165="West",1,0)</f>
        <v>0</v>
      </c>
    </row>
    <row r="166" customFormat="false" ht="15" hidden="false" customHeight="true" outlineLevel="0" collapsed="false">
      <c r="A166" s="3" t="str">
        <f aca="false">Cleaned_Data!A166</f>
        <v>STR-1041</v>
      </c>
      <c r="B166" s="4" t="n">
        <f aca="false">Cleaned_Data!B166</f>
        <v>45689</v>
      </c>
      <c r="C166" s="3" t="str">
        <f aca="false">Cleaned_Data!C166</f>
        <v>South</v>
      </c>
      <c r="D166" s="3" t="str">
        <f aca="false">Cleaned_Data!D166</f>
        <v>High Street</v>
      </c>
      <c r="E166" s="3" t="n">
        <f aca="false">IF($D166="Airport",1,0)</f>
        <v>0</v>
      </c>
      <c r="F166" s="3" t="n">
        <f aca="false">IF($D166="Mall",1,0)</f>
        <v>0</v>
      </c>
      <c r="G166" s="3" t="n">
        <f aca="false">IF($D166="Residential",1,0)</f>
        <v>0</v>
      </c>
      <c r="H166" s="3" t="n">
        <f aca="false">IF($C166="North",1,0)</f>
        <v>0</v>
      </c>
      <c r="I166" s="3" t="n">
        <f aca="false">IF($C166="South",1,0)</f>
        <v>1</v>
      </c>
      <c r="J166" s="3" t="n">
        <f aca="false">IF($C166="West",1,0)</f>
        <v>0</v>
      </c>
    </row>
    <row r="167" customFormat="false" ht="15" hidden="false" customHeight="true" outlineLevel="0" collapsed="false">
      <c r="A167" s="3" t="str">
        <f aca="false">Cleaned_Data!A167</f>
        <v>STR-1041</v>
      </c>
      <c r="B167" s="4" t="n">
        <f aca="false">Cleaned_Data!B167</f>
        <v>45717</v>
      </c>
      <c r="C167" s="3" t="str">
        <f aca="false">Cleaned_Data!C167</f>
        <v>South</v>
      </c>
      <c r="D167" s="3" t="str">
        <f aca="false">Cleaned_Data!D167</f>
        <v>High Street</v>
      </c>
      <c r="E167" s="3" t="n">
        <f aca="false">IF($D167="Airport",1,0)</f>
        <v>0</v>
      </c>
      <c r="F167" s="3" t="n">
        <f aca="false">IF($D167="Mall",1,0)</f>
        <v>0</v>
      </c>
      <c r="G167" s="3" t="n">
        <f aca="false">IF($D167="Residential",1,0)</f>
        <v>0</v>
      </c>
      <c r="H167" s="3" t="n">
        <f aca="false">IF($C167="North",1,0)</f>
        <v>0</v>
      </c>
      <c r="I167" s="3" t="n">
        <f aca="false">IF($C167="South",1,0)</f>
        <v>1</v>
      </c>
      <c r="J167" s="3" t="n">
        <f aca="false">IF($C167="West",1,0)</f>
        <v>0</v>
      </c>
    </row>
    <row r="168" customFormat="false" ht="15" hidden="false" customHeight="true" outlineLevel="0" collapsed="false">
      <c r="A168" s="3" t="str">
        <f aca="false">Cleaned_Data!A168</f>
        <v>STR-1041</v>
      </c>
      <c r="B168" s="4" t="n">
        <f aca="false">Cleaned_Data!B168</f>
        <v>45748</v>
      </c>
      <c r="C168" s="3" t="str">
        <f aca="false">Cleaned_Data!C168</f>
        <v>South</v>
      </c>
      <c r="D168" s="3" t="str">
        <f aca="false">Cleaned_Data!D168</f>
        <v>High Street</v>
      </c>
      <c r="E168" s="3" t="n">
        <f aca="false">IF($D168="Airport",1,0)</f>
        <v>0</v>
      </c>
      <c r="F168" s="3" t="n">
        <f aca="false">IF($D168="Mall",1,0)</f>
        <v>0</v>
      </c>
      <c r="G168" s="3" t="n">
        <f aca="false">IF($D168="Residential",1,0)</f>
        <v>0</v>
      </c>
      <c r="H168" s="3" t="n">
        <f aca="false">IF($C168="North",1,0)</f>
        <v>0</v>
      </c>
      <c r="I168" s="3" t="n">
        <f aca="false">IF($C168="South",1,0)</f>
        <v>1</v>
      </c>
      <c r="J168" s="3" t="n">
        <f aca="false">IF($C168="West",1,0)</f>
        <v>0</v>
      </c>
    </row>
    <row r="169" customFormat="false" ht="15" hidden="false" customHeight="true" outlineLevel="0" collapsed="false">
      <c r="A169" s="3" t="str">
        <f aca="false">Cleaned_Data!A169</f>
        <v>STR-1042</v>
      </c>
      <c r="B169" s="4" t="n">
        <f aca="false">Cleaned_Data!B169</f>
        <v>45658</v>
      </c>
      <c r="C169" s="3" t="str">
        <f aca="false">Cleaned_Data!C169</f>
        <v>North</v>
      </c>
      <c r="D169" s="3" t="str">
        <f aca="false">Cleaned_Data!D169</f>
        <v>Mall</v>
      </c>
      <c r="E169" s="3" t="n">
        <f aca="false">IF($D169="Airport",1,0)</f>
        <v>0</v>
      </c>
      <c r="F169" s="3" t="n">
        <f aca="false">IF($D169="Mall",1,0)</f>
        <v>1</v>
      </c>
      <c r="G169" s="3" t="n">
        <f aca="false">IF($D169="Residential",1,0)</f>
        <v>0</v>
      </c>
      <c r="H169" s="3" t="n">
        <f aca="false">IF($C169="North",1,0)</f>
        <v>1</v>
      </c>
      <c r="I169" s="3" t="n">
        <f aca="false">IF($C169="South",1,0)</f>
        <v>0</v>
      </c>
      <c r="J169" s="3" t="n">
        <f aca="false">IF($C169="West",1,0)</f>
        <v>0</v>
      </c>
    </row>
    <row r="170" customFormat="false" ht="15" hidden="false" customHeight="true" outlineLevel="0" collapsed="false">
      <c r="A170" s="3" t="str">
        <f aca="false">Cleaned_Data!A170</f>
        <v>STR-1042</v>
      </c>
      <c r="B170" s="4" t="n">
        <f aca="false">Cleaned_Data!B170</f>
        <v>45689</v>
      </c>
      <c r="C170" s="3" t="str">
        <f aca="false">Cleaned_Data!C170</f>
        <v>North</v>
      </c>
      <c r="D170" s="3" t="str">
        <f aca="false">Cleaned_Data!D170</f>
        <v>Mall</v>
      </c>
      <c r="E170" s="3" t="n">
        <f aca="false">IF($D170="Airport",1,0)</f>
        <v>0</v>
      </c>
      <c r="F170" s="3" t="n">
        <f aca="false">IF($D170="Mall",1,0)</f>
        <v>1</v>
      </c>
      <c r="G170" s="3" t="n">
        <f aca="false">IF($D170="Residential",1,0)</f>
        <v>0</v>
      </c>
      <c r="H170" s="3" t="n">
        <f aca="false">IF($C170="North",1,0)</f>
        <v>1</v>
      </c>
      <c r="I170" s="3" t="n">
        <f aca="false">IF($C170="South",1,0)</f>
        <v>0</v>
      </c>
      <c r="J170" s="3" t="n">
        <f aca="false">IF($C170="West",1,0)</f>
        <v>0</v>
      </c>
    </row>
    <row r="171" customFormat="false" ht="15" hidden="false" customHeight="true" outlineLevel="0" collapsed="false">
      <c r="A171" s="3" t="str">
        <f aca="false">Cleaned_Data!A171</f>
        <v>STR-1042</v>
      </c>
      <c r="B171" s="4" t="n">
        <f aca="false">Cleaned_Data!B171</f>
        <v>45717</v>
      </c>
      <c r="C171" s="3" t="str">
        <f aca="false">Cleaned_Data!C171</f>
        <v>North</v>
      </c>
      <c r="D171" s="3" t="str">
        <f aca="false">Cleaned_Data!D171</f>
        <v>Mall</v>
      </c>
      <c r="E171" s="3" t="n">
        <f aca="false">IF($D171="Airport",1,0)</f>
        <v>0</v>
      </c>
      <c r="F171" s="3" t="n">
        <f aca="false">IF($D171="Mall",1,0)</f>
        <v>1</v>
      </c>
      <c r="G171" s="3" t="n">
        <f aca="false">IF($D171="Residential",1,0)</f>
        <v>0</v>
      </c>
      <c r="H171" s="3" t="n">
        <f aca="false">IF($C171="North",1,0)</f>
        <v>1</v>
      </c>
      <c r="I171" s="3" t="n">
        <f aca="false">IF($C171="South",1,0)</f>
        <v>0</v>
      </c>
      <c r="J171" s="3" t="n">
        <f aca="false">IF($C171="West",1,0)</f>
        <v>0</v>
      </c>
    </row>
    <row r="172" customFormat="false" ht="15" hidden="false" customHeight="true" outlineLevel="0" collapsed="false">
      <c r="A172" s="3" t="str">
        <f aca="false">Cleaned_Data!A172</f>
        <v>STR-1042</v>
      </c>
      <c r="B172" s="4" t="n">
        <f aca="false">Cleaned_Data!B172</f>
        <v>45748</v>
      </c>
      <c r="C172" s="3" t="str">
        <f aca="false">Cleaned_Data!C172</f>
        <v>North</v>
      </c>
      <c r="D172" s="3" t="str">
        <f aca="false">Cleaned_Data!D172</f>
        <v>Mall</v>
      </c>
      <c r="E172" s="3" t="n">
        <f aca="false">IF($D172="Airport",1,0)</f>
        <v>0</v>
      </c>
      <c r="F172" s="3" t="n">
        <f aca="false">IF($D172="Mall",1,0)</f>
        <v>1</v>
      </c>
      <c r="G172" s="3" t="n">
        <f aca="false">IF($D172="Residential",1,0)</f>
        <v>0</v>
      </c>
      <c r="H172" s="3" t="n">
        <f aca="false">IF($C172="North",1,0)</f>
        <v>1</v>
      </c>
      <c r="I172" s="3" t="n">
        <f aca="false">IF($C172="South",1,0)</f>
        <v>0</v>
      </c>
      <c r="J172" s="3" t="n">
        <f aca="false">IF($C172="West",1,0)</f>
        <v>0</v>
      </c>
    </row>
    <row r="173" customFormat="false" ht="15" hidden="false" customHeight="true" outlineLevel="0" collapsed="false">
      <c r="A173" s="3" t="str">
        <f aca="false">Cleaned_Data!A173</f>
        <v>STR-1043</v>
      </c>
      <c r="B173" s="4" t="n">
        <f aca="false">Cleaned_Data!B173</f>
        <v>45658</v>
      </c>
      <c r="C173" s="3" t="str">
        <f aca="false">Cleaned_Data!C173</f>
        <v>East</v>
      </c>
      <c r="D173" s="3" t="str">
        <f aca="false">Cleaned_Data!D173</f>
        <v>Residential</v>
      </c>
      <c r="E173" s="3" t="n">
        <f aca="false">IF($D173="Airport",1,0)</f>
        <v>0</v>
      </c>
      <c r="F173" s="3" t="n">
        <f aca="false">IF($D173="Mall",1,0)</f>
        <v>0</v>
      </c>
      <c r="G173" s="3" t="n">
        <f aca="false">IF($D173="Residential",1,0)</f>
        <v>1</v>
      </c>
      <c r="H173" s="3" t="n">
        <f aca="false">IF($C173="North",1,0)</f>
        <v>0</v>
      </c>
      <c r="I173" s="3" t="n">
        <f aca="false">IF($C173="South",1,0)</f>
        <v>0</v>
      </c>
      <c r="J173" s="3" t="n">
        <f aca="false">IF($C173="West",1,0)</f>
        <v>0</v>
      </c>
    </row>
    <row r="174" customFormat="false" ht="15" hidden="false" customHeight="true" outlineLevel="0" collapsed="false">
      <c r="A174" s="3" t="str">
        <f aca="false">Cleaned_Data!A174</f>
        <v>STR-1043</v>
      </c>
      <c r="B174" s="4" t="n">
        <f aca="false">Cleaned_Data!B174</f>
        <v>45689</v>
      </c>
      <c r="C174" s="3" t="str">
        <f aca="false">Cleaned_Data!C174</f>
        <v>East</v>
      </c>
      <c r="D174" s="3" t="str">
        <f aca="false">Cleaned_Data!D174</f>
        <v>Residential</v>
      </c>
      <c r="E174" s="3" t="n">
        <f aca="false">IF($D174="Airport",1,0)</f>
        <v>0</v>
      </c>
      <c r="F174" s="3" t="n">
        <f aca="false">IF($D174="Mall",1,0)</f>
        <v>0</v>
      </c>
      <c r="G174" s="3" t="n">
        <f aca="false">IF($D174="Residential",1,0)</f>
        <v>1</v>
      </c>
      <c r="H174" s="3" t="n">
        <f aca="false">IF($C174="North",1,0)</f>
        <v>0</v>
      </c>
      <c r="I174" s="3" t="n">
        <f aca="false">IF($C174="South",1,0)</f>
        <v>0</v>
      </c>
      <c r="J174" s="3" t="n">
        <f aca="false">IF($C174="West",1,0)</f>
        <v>0</v>
      </c>
    </row>
    <row r="175" customFormat="false" ht="15" hidden="false" customHeight="true" outlineLevel="0" collapsed="false">
      <c r="A175" s="3" t="str">
        <f aca="false">Cleaned_Data!A175</f>
        <v>STR-1043</v>
      </c>
      <c r="B175" s="4" t="n">
        <f aca="false">Cleaned_Data!B175</f>
        <v>45717</v>
      </c>
      <c r="C175" s="3" t="str">
        <f aca="false">Cleaned_Data!C175</f>
        <v>East</v>
      </c>
      <c r="D175" s="3" t="str">
        <f aca="false">Cleaned_Data!D175</f>
        <v>Residential</v>
      </c>
      <c r="E175" s="3" t="n">
        <f aca="false">IF($D175="Airport",1,0)</f>
        <v>0</v>
      </c>
      <c r="F175" s="3" t="n">
        <f aca="false">IF($D175="Mall",1,0)</f>
        <v>0</v>
      </c>
      <c r="G175" s="3" t="n">
        <f aca="false">IF($D175="Residential",1,0)</f>
        <v>1</v>
      </c>
      <c r="H175" s="3" t="n">
        <f aca="false">IF($C175="North",1,0)</f>
        <v>0</v>
      </c>
      <c r="I175" s="3" t="n">
        <f aca="false">IF($C175="South",1,0)</f>
        <v>0</v>
      </c>
      <c r="J175" s="3" t="n">
        <f aca="false">IF($C175="West",1,0)</f>
        <v>0</v>
      </c>
    </row>
    <row r="176" customFormat="false" ht="15" hidden="false" customHeight="true" outlineLevel="0" collapsed="false">
      <c r="A176" s="3" t="str">
        <f aca="false">Cleaned_Data!A176</f>
        <v>STR-1043</v>
      </c>
      <c r="B176" s="4" t="n">
        <f aca="false">Cleaned_Data!B176</f>
        <v>45748</v>
      </c>
      <c r="C176" s="3" t="str">
        <f aca="false">Cleaned_Data!C176</f>
        <v>East</v>
      </c>
      <c r="D176" s="3" t="str">
        <f aca="false">Cleaned_Data!D176</f>
        <v>Residential</v>
      </c>
      <c r="E176" s="3" t="n">
        <f aca="false">IF($D176="Airport",1,0)</f>
        <v>0</v>
      </c>
      <c r="F176" s="3" t="n">
        <f aca="false">IF($D176="Mall",1,0)</f>
        <v>0</v>
      </c>
      <c r="G176" s="3" t="n">
        <f aca="false">IF($D176="Residential",1,0)</f>
        <v>1</v>
      </c>
      <c r="H176" s="3" t="n">
        <f aca="false">IF($C176="North",1,0)</f>
        <v>0</v>
      </c>
      <c r="I176" s="3" t="n">
        <f aca="false">IF($C176="South",1,0)</f>
        <v>0</v>
      </c>
      <c r="J176" s="3" t="n">
        <f aca="false">IF($C176="West",1,0)</f>
        <v>0</v>
      </c>
    </row>
    <row r="177" customFormat="false" ht="15" hidden="false" customHeight="true" outlineLevel="0" collapsed="false">
      <c r="A177" s="3" t="str">
        <f aca="false">Cleaned_Data!A177</f>
        <v>STR-1044</v>
      </c>
      <c r="B177" s="4" t="n">
        <f aca="false">Cleaned_Data!B177</f>
        <v>45658</v>
      </c>
      <c r="C177" s="3" t="str">
        <f aca="false">Cleaned_Data!C177</f>
        <v>East</v>
      </c>
      <c r="D177" s="3" t="str">
        <f aca="false">Cleaned_Data!D177</f>
        <v>Residential</v>
      </c>
      <c r="E177" s="3" t="n">
        <f aca="false">IF($D177="Airport",1,0)</f>
        <v>0</v>
      </c>
      <c r="F177" s="3" t="n">
        <f aca="false">IF($D177="Mall",1,0)</f>
        <v>0</v>
      </c>
      <c r="G177" s="3" t="n">
        <f aca="false">IF($D177="Residential",1,0)</f>
        <v>1</v>
      </c>
      <c r="H177" s="3" t="n">
        <f aca="false">IF($C177="North",1,0)</f>
        <v>0</v>
      </c>
      <c r="I177" s="3" t="n">
        <f aca="false">IF($C177="South",1,0)</f>
        <v>0</v>
      </c>
      <c r="J177" s="3" t="n">
        <f aca="false">IF($C177="West",1,0)</f>
        <v>0</v>
      </c>
    </row>
    <row r="178" customFormat="false" ht="15" hidden="false" customHeight="true" outlineLevel="0" collapsed="false">
      <c r="A178" s="3" t="str">
        <f aca="false">Cleaned_Data!A178</f>
        <v>STR-1044</v>
      </c>
      <c r="B178" s="4" t="n">
        <f aca="false">Cleaned_Data!B178</f>
        <v>45689</v>
      </c>
      <c r="C178" s="3" t="str">
        <f aca="false">Cleaned_Data!C178</f>
        <v>East</v>
      </c>
      <c r="D178" s="3" t="str">
        <f aca="false">Cleaned_Data!D178</f>
        <v>Residential</v>
      </c>
      <c r="E178" s="3" t="n">
        <f aca="false">IF($D178="Airport",1,0)</f>
        <v>0</v>
      </c>
      <c r="F178" s="3" t="n">
        <f aca="false">IF($D178="Mall",1,0)</f>
        <v>0</v>
      </c>
      <c r="G178" s="3" t="n">
        <f aca="false">IF($D178="Residential",1,0)</f>
        <v>1</v>
      </c>
      <c r="H178" s="3" t="n">
        <f aca="false">IF($C178="North",1,0)</f>
        <v>0</v>
      </c>
      <c r="I178" s="3" t="n">
        <f aca="false">IF($C178="South",1,0)</f>
        <v>0</v>
      </c>
      <c r="J178" s="3" t="n">
        <f aca="false">IF($C178="West",1,0)</f>
        <v>0</v>
      </c>
    </row>
    <row r="179" customFormat="false" ht="15" hidden="false" customHeight="true" outlineLevel="0" collapsed="false">
      <c r="A179" s="3" t="str">
        <f aca="false">Cleaned_Data!A179</f>
        <v>STR-1044</v>
      </c>
      <c r="B179" s="4" t="n">
        <f aca="false">Cleaned_Data!B179</f>
        <v>45717</v>
      </c>
      <c r="C179" s="3" t="str">
        <f aca="false">Cleaned_Data!C179</f>
        <v>East</v>
      </c>
      <c r="D179" s="3" t="str">
        <f aca="false">Cleaned_Data!D179</f>
        <v>Residential</v>
      </c>
      <c r="E179" s="3" t="n">
        <f aca="false">IF($D179="Airport",1,0)</f>
        <v>0</v>
      </c>
      <c r="F179" s="3" t="n">
        <f aca="false">IF($D179="Mall",1,0)</f>
        <v>0</v>
      </c>
      <c r="G179" s="3" t="n">
        <f aca="false">IF($D179="Residential",1,0)</f>
        <v>1</v>
      </c>
      <c r="H179" s="3" t="n">
        <f aca="false">IF($C179="North",1,0)</f>
        <v>0</v>
      </c>
      <c r="I179" s="3" t="n">
        <f aca="false">IF($C179="South",1,0)</f>
        <v>0</v>
      </c>
      <c r="J179" s="3" t="n">
        <f aca="false">IF($C179="West",1,0)</f>
        <v>0</v>
      </c>
    </row>
    <row r="180" customFormat="false" ht="15" hidden="false" customHeight="true" outlineLevel="0" collapsed="false">
      <c r="A180" s="3" t="str">
        <f aca="false">Cleaned_Data!A180</f>
        <v>STR-1044</v>
      </c>
      <c r="B180" s="4" t="n">
        <f aca="false">Cleaned_Data!B180</f>
        <v>45748</v>
      </c>
      <c r="C180" s="3" t="str">
        <f aca="false">Cleaned_Data!C180</f>
        <v>East</v>
      </c>
      <c r="D180" s="3" t="str">
        <f aca="false">Cleaned_Data!D180</f>
        <v>Residential</v>
      </c>
      <c r="E180" s="3" t="n">
        <f aca="false">IF($D180="Airport",1,0)</f>
        <v>0</v>
      </c>
      <c r="F180" s="3" t="n">
        <f aca="false">IF($D180="Mall",1,0)</f>
        <v>0</v>
      </c>
      <c r="G180" s="3" t="n">
        <f aca="false">IF($D180="Residential",1,0)</f>
        <v>1</v>
      </c>
      <c r="H180" s="3" t="n">
        <f aca="false">IF($C180="North",1,0)</f>
        <v>0</v>
      </c>
      <c r="I180" s="3" t="n">
        <f aca="false">IF($C180="South",1,0)</f>
        <v>0</v>
      </c>
      <c r="J180" s="3" t="n">
        <f aca="false">IF($C180="West",1,0)</f>
        <v>0</v>
      </c>
    </row>
    <row r="181" customFormat="false" ht="15" hidden="false" customHeight="true" outlineLevel="0" collapsed="false">
      <c r="A181" s="3" t="str">
        <f aca="false">Cleaned_Data!A181</f>
        <v>STR-1045</v>
      </c>
      <c r="B181" s="4" t="n">
        <f aca="false">Cleaned_Data!B181</f>
        <v>45658</v>
      </c>
      <c r="C181" s="3" t="str">
        <f aca="false">Cleaned_Data!C181</f>
        <v>West</v>
      </c>
      <c r="D181" s="3" t="str">
        <f aca="false">Cleaned_Data!D181</f>
        <v>Airport</v>
      </c>
      <c r="E181" s="3" t="n">
        <f aca="false">IF($D181="Airport",1,0)</f>
        <v>1</v>
      </c>
      <c r="F181" s="3" t="n">
        <f aca="false">IF($D181="Mall",1,0)</f>
        <v>0</v>
      </c>
      <c r="G181" s="3" t="n">
        <f aca="false">IF($D181="Residential",1,0)</f>
        <v>0</v>
      </c>
      <c r="H181" s="3" t="n">
        <f aca="false">IF($C181="North",1,0)</f>
        <v>0</v>
      </c>
      <c r="I181" s="3" t="n">
        <f aca="false">IF($C181="South",1,0)</f>
        <v>0</v>
      </c>
      <c r="J181" s="3" t="n">
        <f aca="false">IF($C181="West",1,0)</f>
        <v>1</v>
      </c>
    </row>
    <row r="182" customFormat="false" ht="15" hidden="false" customHeight="true" outlineLevel="0" collapsed="false">
      <c r="A182" s="3" t="str">
        <f aca="false">Cleaned_Data!A182</f>
        <v>STR-1045</v>
      </c>
      <c r="B182" s="4" t="n">
        <f aca="false">Cleaned_Data!B182</f>
        <v>45689</v>
      </c>
      <c r="C182" s="3" t="str">
        <f aca="false">Cleaned_Data!C182</f>
        <v>West</v>
      </c>
      <c r="D182" s="3" t="str">
        <f aca="false">Cleaned_Data!D182</f>
        <v>Airport</v>
      </c>
      <c r="E182" s="3" t="n">
        <f aca="false">IF($D182="Airport",1,0)</f>
        <v>1</v>
      </c>
      <c r="F182" s="3" t="n">
        <f aca="false">IF($D182="Mall",1,0)</f>
        <v>0</v>
      </c>
      <c r="G182" s="3" t="n">
        <f aca="false">IF($D182="Residential",1,0)</f>
        <v>0</v>
      </c>
      <c r="H182" s="3" t="n">
        <f aca="false">IF($C182="North",1,0)</f>
        <v>0</v>
      </c>
      <c r="I182" s="3" t="n">
        <f aca="false">IF($C182="South",1,0)</f>
        <v>0</v>
      </c>
      <c r="J182" s="3" t="n">
        <f aca="false">IF($C182="West",1,0)</f>
        <v>1</v>
      </c>
    </row>
    <row r="183" customFormat="false" ht="15" hidden="false" customHeight="true" outlineLevel="0" collapsed="false">
      <c r="A183" s="3" t="str">
        <f aca="false">Cleaned_Data!A183</f>
        <v>STR-1045</v>
      </c>
      <c r="B183" s="4" t="n">
        <f aca="false">Cleaned_Data!B183</f>
        <v>45717</v>
      </c>
      <c r="C183" s="3" t="str">
        <f aca="false">Cleaned_Data!C183</f>
        <v>West</v>
      </c>
      <c r="D183" s="3" t="str">
        <f aca="false">Cleaned_Data!D183</f>
        <v>Airport</v>
      </c>
      <c r="E183" s="3" t="n">
        <f aca="false">IF($D183="Airport",1,0)</f>
        <v>1</v>
      </c>
      <c r="F183" s="3" t="n">
        <f aca="false">IF($D183="Mall",1,0)</f>
        <v>0</v>
      </c>
      <c r="G183" s="3" t="n">
        <f aca="false">IF($D183="Residential",1,0)</f>
        <v>0</v>
      </c>
      <c r="H183" s="3" t="n">
        <f aca="false">IF($C183="North",1,0)</f>
        <v>0</v>
      </c>
      <c r="I183" s="3" t="n">
        <f aca="false">IF($C183="South",1,0)</f>
        <v>0</v>
      </c>
      <c r="J183" s="3" t="n">
        <f aca="false">IF($C183="West",1,0)</f>
        <v>1</v>
      </c>
    </row>
    <row r="184" customFormat="false" ht="15" hidden="false" customHeight="true" outlineLevel="0" collapsed="false">
      <c r="A184" s="3" t="str">
        <f aca="false">Cleaned_Data!A184</f>
        <v>STR-1045</v>
      </c>
      <c r="B184" s="4" t="n">
        <f aca="false">Cleaned_Data!B184</f>
        <v>45748</v>
      </c>
      <c r="C184" s="3" t="str">
        <f aca="false">Cleaned_Data!C184</f>
        <v>West</v>
      </c>
      <c r="D184" s="3" t="str">
        <f aca="false">Cleaned_Data!D184</f>
        <v>Airport</v>
      </c>
      <c r="E184" s="3" t="n">
        <f aca="false">IF($D184="Airport",1,0)</f>
        <v>1</v>
      </c>
      <c r="F184" s="3" t="n">
        <f aca="false">IF($D184="Mall",1,0)</f>
        <v>0</v>
      </c>
      <c r="G184" s="3" t="n">
        <f aca="false">IF($D184="Residential",1,0)</f>
        <v>0</v>
      </c>
      <c r="H184" s="3" t="n">
        <f aca="false">IF($C184="North",1,0)</f>
        <v>0</v>
      </c>
      <c r="I184" s="3" t="n">
        <f aca="false">IF($C184="South",1,0)</f>
        <v>0</v>
      </c>
      <c r="J184" s="3" t="n">
        <f aca="false">IF($C184="West",1,0)</f>
        <v>1</v>
      </c>
    </row>
    <row r="185" customFormat="false" ht="15" hidden="false" customHeight="true" outlineLevel="0" collapsed="false">
      <c r="A185" s="3" t="str">
        <f aca="false">Cleaned_Data!A185</f>
        <v>STR-1046</v>
      </c>
      <c r="B185" s="4" t="n">
        <f aca="false">Cleaned_Data!B185</f>
        <v>45658</v>
      </c>
      <c r="C185" s="3" t="str">
        <f aca="false">Cleaned_Data!C185</f>
        <v>West</v>
      </c>
      <c r="D185" s="3" t="str">
        <f aca="false">Cleaned_Data!D185</f>
        <v>Residential</v>
      </c>
      <c r="E185" s="3" t="n">
        <f aca="false">IF($D185="Airport",1,0)</f>
        <v>0</v>
      </c>
      <c r="F185" s="3" t="n">
        <f aca="false">IF($D185="Mall",1,0)</f>
        <v>0</v>
      </c>
      <c r="G185" s="3" t="n">
        <f aca="false">IF($D185="Residential",1,0)</f>
        <v>1</v>
      </c>
      <c r="H185" s="3" t="n">
        <f aca="false">IF($C185="North",1,0)</f>
        <v>0</v>
      </c>
      <c r="I185" s="3" t="n">
        <f aca="false">IF($C185="South",1,0)</f>
        <v>0</v>
      </c>
      <c r="J185" s="3" t="n">
        <f aca="false">IF($C185="West",1,0)</f>
        <v>1</v>
      </c>
    </row>
    <row r="186" customFormat="false" ht="15" hidden="false" customHeight="true" outlineLevel="0" collapsed="false">
      <c r="A186" s="3" t="str">
        <f aca="false">Cleaned_Data!A186</f>
        <v>STR-1046</v>
      </c>
      <c r="B186" s="4" t="n">
        <f aca="false">Cleaned_Data!B186</f>
        <v>45689</v>
      </c>
      <c r="C186" s="3" t="str">
        <f aca="false">Cleaned_Data!C186</f>
        <v>West</v>
      </c>
      <c r="D186" s="3" t="str">
        <f aca="false">Cleaned_Data!D186</f>
        <v>Residential</v>
      </c>
      <c r="E186" s="3" t="n">
        <f aca="false">IF($D186="Airport",1,0)</f>
        <v>0</v>
      </c>
      <c r="F186" s="3" t="n">
        <f aca="false">IF($D186="Mall",1,0)</f>
        <v>0</v>
      </c>
      <c r="G186" s="3" t="n">
        <f aca="false">IF($D186="Residential",1,0)</f>
        <v>1</v>
      </c>
      <c r="H186" s="3" t="n">
        <f aca="false">IF($C186="North",1,0)</f>
        <v>0</v>
      </c>
      <c r="I186" s="3" t="n">
        <f aca="false">IF($C186="South",1,0)</f>
        <v>0</v>
      </c>
      <c r="J186" s="3" t="n">
        <f aca="false">IF($C186="West",1,0)</f>
        <v>1</v>
      </c>
    </row>
    <row r="187" customFormat="false" ht="15" hidden="false" customHeight="true" outlineLevel="0" collapsed="false">
      <c r="A187" s="3" t="str">
        <f aca="false">Cleaned_Data!A187</f>
        <v>STR-1046</v>
      </c>
      <c r="B187" s="4" t="n">
        <f aca="false">Cleaned_Data!B187</f>
        <v>45717</v>
      </c>
      <c r="C187" s="3" t="str">
        <f aca="false">Cleaned_Data!C187</f>
        <v>West</v>
      </c>
      <c r="D187" s="3" t="str">
        <f aca="false">Cleaned_Data!D187</f>
        <v>Residential</v>
      </c>
      <c r="E187" s="3" t="n">
        <f aca="false">IF($D187="Airport",1,0)</f>
        <v>0</v>
      </c>
      <c r="F187" s="3" t="n">
        <f aca="false">IF($D187="Mall",1,0)</f>
        <v>0</v>
      </c>
      <c r="G187" s="3" t="n">
        <f aca="false">IF($D187="Residential",1,0)</f>
        <v>1</v>
      </c>
      <c r="H187" s="3" t="n">
        <f aca="false">IF($C187="North",1,0)</f>
        <v>0</v>
      </c>
      <c r="I187" s="3" t="n">
        <f aca="false">IF($C187="South",1,0)</f>
        <v>0</v>
      </c>
      <c r="J187" s="3" t="n">
        <f aca="false">IF($C187="West",1,0)</f>
        <v>1</v>
      </c>
    </row>
    <row r="188" customFormat="false" ht="15" hidden="false" customHeight="true" outlineLevel="0" collapsed="false">
      <c r="A188" s="3" t="str">
        <f aca="false">Cleaned_Data!A188</f>
        <v>STR-1046</v>
      </c>
      <c r="B188" s="4" t="n">
        <f aca="false">Cleaned_Data!B188</f>
        <v>45748</v>
      </c>
      <c r="C188" s="3" t="str">
        <f aca="false">Cleaned_Data!C188</f>
        <v>West</v>
      </c>
      <c r="D188" s="3" t="str">
        <f aca="false">Cleaned_Data!D188</f>
        <v>Residential</v>
      </c>
      <c r="E188" s="3" t="n">
        <f aca="false">IF($D188="Airport",1,0)</f>
        <v>0</v>
      </c>
      <c r="F188" s="3" t="n">
        <f aca="false">IF($D188="Mall",1,0)</f>
        <v>0</v>
      </c>
      <c r="G188" s="3" t="n">
        <f aca="false">IF($D188="Residential",1,0)</f>
        <v>1</v>
      </c>
      <c r="H188" s="3" t="n">
        <f aca="false">IF($C188="North",1,0)</f>
        <v>0</v>
      </c>
      <c r="I188" s="3" t="n">
        <f aca="false">IF($C188="South",1,0)</f>
        <v>0</v>
      </c>
      <c r="J188" s="3" t="n">
        <f aca="false">IF($C188="West",1,0)</f>
        <v>1</v>
      </c>
    </row>
    <row r="189" customFormat="false" ht="15" hidden="false" customHeight="true" outlineLevel="0" collapsed="false">
      <c r="A189" s="3" t="str">
        <f aca="false">Cleaned_Data!A189</f>
        <v>STR-1047</v>
      </c>
      <c r="B189" s="4" t="n">
        <f aca="false">Cleaned_Data!B189</f>
        <v>45658</v>
      </c>
      <c r="C189" s="3" t="str">
        <f aca="false">Cleaned_Data!C189</f>
        <v>North</v>
      </c>
      <c r="D189" s="3" t="str">
        <f aca="false">Cleaned_Data!D189</f>
        <v>High Street</v>
      </c>
      <c r="E189" s="3" t="n">
        <f aca="false">IF($D189="Airport",1,0)</f>
        <v>0</v>
      </c>
      <c r="F189" s="3" t="n">
        <f aca="false">IF($D189="Mall",1,0)</f>
        <v>0</v>
      </c>
      <c r="G189" s="3" t="n">
        <f aca="false">IF($D189="Residential",1,0)</f>
        <v>0</v>
      </c>
      <c r="H189" s="3" t="n">
        <f aca="false">IF($C189="North",1,0)</f>
        <v>1</v>
      </c>
      <c r="I189" s="3" t="n">
        <f aca="false">IF($C189="South",1,0)</f>
        <v>0</v>
      </c>
      <c r="J189" s="3" t="n">
        <f aca="false">IF($C189="West",1,0)</f>
        <v>0</v>
      </c>
    </row>
    <row r="190" customFormat="false" ht="15" hidden="false" customHeight="true" outlineLevel="0" collapsed="false">
      <c r="A190" s="3" t="str">
        <f aca="false">Cleaned_Data!A190</f>
        <v>STR-1047</v>
      </c>
      <c r="B190" s="4" t="n">
        <f aca="false">Cleaned_Data!B190</f>
        <v>45689</v>
      </c>
      <c r="C190" s="3" t="str">
        <f aca="false">Cleaned_Data!C190</f>
        <v>North</v>
      </c>
      <c r="D190" s="3" t="str">
        <f aca="false">Cleaned_Data!D190</f>
        <v>High Street</v>
      </c>
      <c r="E190" s="3" t="n">
        <f aca="false">IF($D190="Airport",1,0)</f>
        <v>0</v>
      </c>
      <c r="F190" s="3" t="n">
        <f aca="false">IF($D190="Mall",1,0)</f>
        <v>0</v>
      </c>
      <c r="G190" s="3" t="n">
        <f aca="false">IF($D190="Residential",1,0)</f>
        <v>0</v>
      </c>
      <c r="H190" s="3" t="n">
        <f aca="false">IF($C190="North",1,0)</f>
        <v>1</v>
      </c>
      <c r="I190" s="3" t="n">
        <f aca="false">IF($C190="South",1,0)</f>
        <v>0</v>
      </c>
      <c r="J190" s="3" t="n">
        <f aca="false">IF($C190="West",1,0)</f>
        <v>0</v>
      </c>
    </row>
    <row r="191" customFormat="false" ht="15" hidden="false" customHeight="true" outlineLevel="0" collapsed="false">
      <c r="A191" s="3" t="str">
        <f aca="false">Cleaned_Data!A191</f>
        <v>STR-1047</v>
      </c>
      <c r="B191" s="4" t="n">
        <f aca="false">Cleaned_Data!B191</f>
        <v>45717</v>
      </c>
      <c r="C191" s="3" t="str">
        <f aca="false">Cleaned_Data!C191</f>
        <v>North</v>
      </c>
      <c r="D191" s="3" t="str">
        <f aca="false">Cleaned_Data!D191</f>
        <v>High Street</v>
      </c>
      <c r="E191" s="3" t="n">
        <f aca="false">IF($D191="Airport",1,0)</f>
        <v>0</v>
      </c>
      <c r="F191" s="3" t="n">
        <f aca="false">IF($D191="Mall",1,0)</f>
        <v>0</v>
      </c>
      <c r="G191" s="3" t="n">
        <f aca="false">IF($D191="Residential",1,0)</f>
        <v>0</v>
      </c>
      <c r="H191" s="3" t="n">
        <f aca="false">IF($C191="North",1,0)</f>
        <v>1</v>
      </c>
      <c r="I191" s="3" t="n">
        <f aca="false">IF($C191="South",1,0)</f>
        <v>0</v>
      </c>
      <c r="J191" s="3" t="n">
        <f aca="false">IF($C191="West",1,0)</f>
        <v>0</v>
      </c>
    </row>
    <row r="192" customFormat="false" ht="15" hidden="false" customHeight="true" outlineLevel="0" collapsed="false">
      <c r="A192" s="3" t="str">
        <f aca="false">Cleaned_Data!A192</f>
        <v>STR-1047</v>
      </c>
      <c r="B192" s="4" t="n">
        <f aca="false">Cleaned_Data!B192</f>
        <v>45748</v>
      </c>
      <c r="C192" s="3" t="str">
        <f aca="false">Cleaned_Data!C192</f>
        <v>North</v>
      </c>
      <c r="D192" s="3" t="str">
        <f aca="false">Cleaned_Data!D192</f>
        <v>High Street</v>
      </c>
      <c r="E192" s="3" t="n">
        <f aca="false">IF($D192="Airport",1,0)</f>
        <v>0</v>
      </c>
      <c r="F192" s="3" t="n">
        <f aca="false">IF($D192="Mall",1,0)</f>
        <v>0</v>
      </c>
      <c r="G192" s="3" t="n">
        <f aca="false">IF($D192="Residential",1,0)</f>
        <v>0</v>
      </c>
      <c r="H192" s="3" t="n">
        <f aca="false">IF($C192="North",1,0)</f>
        <v>1</v>
      </c>
      <c r="I192" s="3" t="n">
        <f aca="false">IF($C192="South",1,0)</f>
        <v>0</v>
      </c>
      <c r="J192" s="3" t="n">
        <f aca="false">IF($C192="West",1,0)</f>
        <v>0</v>
      </c>
    </row>
    <row r="193" customFormat="false" ht="15" hidden="false" customHeight="true" outlineLevel="0" collapsed="false">
      <c r="A193" s="3" t="str">
        <f aca="false">Cleaned_Data!A193</f>
        <v>STR-1048</v>
      </c>
      <c r="B193" s="4" t="n">
        <f aca="false">Cleaned_Data!B193</f>
        <v>45658</v>
      </c>
      <c r="C193" s="3" t="str">
        <f aca="false">Cleaned_Data!C193</f>
        <v>East</v>
      </c>
      <c r="D193" s="3" t="str">
        <f aca="false">Cleaned_Data!D193</f>
        <v>High Street</v>
      </c>
      <c r="E193" s="3" t="n">
        <f aca="false">IF($D193="Airport",1,0)</f>
        <v>0</v>
      </c>
      <c r="F193" s="3" t="n">
        <f aca="false">IF($D193="Mall",1,0)</f>
        <v>0</v>
      </c>
      <c r="G193" s="3" t="n">
        <f aca="false">IF($D193="Residential",1,0)</f>
        <v>0</v>
      </c>
      <c r="H193" s="3" t="n">
        <f aca="false">IF($C193="North",1,0)</f>
        <v>0</v>
      </c>
      <c r="I193" s="3" t="n">
        <f aca="false">IF($C193="South",1,0)</f>
        <v>0</v>
      </c>
      <c r="J193" s="3" t="n">
        <f aca="false">IF($C193="West",1,0)</f>
        <v>0</v>
      </c>
    </row>
    <row r="194" customFormat="false" ht="15" hidden="false" customHeight="true" outlineLevel="0" collapsed="false">
      <c r="A194" s="3" t="str">
        <f aca="false">Cleaned_Data!A194</f>
        <v>STR-1048</v>
      </c>
      <c r="B194" s="4" t="n">
        <f aca="false">Cleaned_Data!B194</f>
        <v>45689</v>
      </c>
      <c r="C194" s="3" t="str">
        <f aca="false">Cleaned_Data!C194</f>
        <v>East</v>
      </c>
      <c r="D194" s="3" t="str">
        <f aca="false">Cleaned_Data!D194</f>
        <v>High Street</v>
      </c>
      <c r="E194" s="3" t="n">
        <f aca="false">IF($D194="Airport",1,0)</f>
        <v>0</v>
      </c>
      <c r="F194" s="3" t="n">
        <f aca="false">IF($D194="Mall",1,0)</f>
        <v>0</v>
      </c>
      <c r="G194" s="3" t="n">
        <f aca="false">IF($D194="Residential",1,0)</f>
        <v>0</v>
      </c>
      <c r="H194" s="3" t="n">
        <f aca="false">IF($C194="North",1,0)</f>
        <v>0</v>
      </c>
      <c r="I194" s="3" t="n">
        <f aca="false">IF($C194="South",1,0)</f>
        <v>0</v>
      </c>
      <c r="J194" s="3" t="n">
        <f aca="false">IF($C194="West",1,0)</f>
        <v>0</v>
      </c>
    </row>
    <row r="195" customFormat="false" ht="15" hidden="false" customHeight="true" outlineLevel="0" collapsed="false">
      <c r="A195" s="3" t="str">
        <f aca="false">Cleaned_Data!A195</f>
        <v>STR-1048</v>
      </c>
      <c r="B195" s="4" t="n">
        <f aca="false">Cleaned_Data!B195</f>
        <v>45717</v>
      </c>
      <c r="C195" s="3" t="str">
        <f aca="false">Cleaned_Data!C195</f>
        <v>East</v>
      </c>
      <c r="D195" s="3" t="str">
        <f aca="false">Cleaned_Data!D195</f>
        <v>High Street</v>
      </c>
      <c r="E195" s="3" t="n">
        <f aca="false">IF($D195="Airport",1,0)</f>
        <v>0</v>
      </c>
      <c r="F195" s="3" t="n">
        <f aca="false">IF($D195="Mall",1,0)</f>
        <v>0</v>
      </c>
      <c r="G195" s="3" t="n">
        <f aca="false">IF($D195="Residential",1,0)</f>
        <v>0</v>
      </c>
      <c r="H195" s="3" t="n">
        <f aca="false">IF($C195="North",1,0)</f>
        <v>0</v>
      </c>
      <c r="I195" s="3" t="n">
        <f aca="false">IF($C195="South",1,0)</f>
        <v>0</v>
      </c>
      <c r="J195" s="3" t="n">
        <f aca="false">IF($C195="West",1,0)</f>
        <v>0</v>
      </c>
    </row>
    <row r="196" customFormat="false" ht="15" hidden="false" customHeight="true" outlineLevel="0" collapsed="false">
      <c r="A196" s="3" t="str">
        <f aca="false">Cleaned_Data!A196</f>
        <v>STR-1048</v>
      </c>
      <c r="B196" s="4" t="n">
        <f aca="false">Cleaned_Data!B196</f>
        <v>45748</v>
      </c>
      <c r="C196" s="3" t="str">
        <f aca="false">Cleaned_Data!C196</f>
        <v>East</v>
      </c>
      <c r="D196" s="3" t="str">
        <f aca="false">Cleaned_Data!D196</f>
        <v>High Street</v>
      </c>
      <c r="E196" s="3" t="n">
        <f aca="false">IF($D196="Airport",1,0)</f>
        <v>0</v>
      </c>
      <c r="F196" s="3" t="n">
        <f aca="false">IF($D196="Mall",1,0)</f>
        <v>0</v>
      </c>
      <c r="G196" s="3" t="n">
        <f aca="false">IF($D196="Residential",1,0)</f>
        <v>0</v>
      </c>
      <c r="H196" s="3" t="n">
        <f aca="false">IF($C196="North",1,0)</f>
        <v>0</v>
      </c>
      <c r="I196" s="3" t="n">
        <f aca="false">IF($C196="South",1,0)</f>
        <v>0</v>
      </c>
      <c r="J196" s="3" t="n">
        <f aca="false">IF($C196="West",1,0)</f>
        <v>0</v>
      </c>
    </row>
    <row r="197" customFormat="false" ht="15" hidden="false" customHeight="true" outlineLevel="0" collapsed="false">
      <c r="A197" s="3" t="str">
        <f aca="false">Cleaned_Data!A197</f>
        <v>STR-1049</v>
      </c>
      <c r="B197" s="4" t="n">
        <f aca="false">Cleaned_Data!B197</f>
        <v>45658</v>
      </c>
      <c r="C197" s="3" t="str">
        <f aca="false">Cleaned_Data!C197</f>
        <v>West</v>
      </c>
      <c r="D197" s="3" t="str">
        <f aca="false">Cleaned_Data!D197</f>
        <v>Residential</v>
      </c>
      <c r="E197" s="3" t="n">
        <f aca="false">IF($D197="Airport",1,0)</f>
        <v>0</v>
      </c>
      <c r="F197" s="3" t="n">
        <f aca="false">IF($D197="Mall",1,0)</f>
        <v>0</v>
      </c>
      <c r="G197" s="3" t="n">
        <f aca="false">IF($D197="Residential",1,0)</f>
        <v>1</v>
      </c>
      <c r="H197" s="3" t="n">
        <f aca="false">IF($C197="North",1,0)</f>
        <v>0</v>
      </c>
      <c r="I197" s="3" t="n">
        <f aca="false">IF($C197="South",1,0)</f>
        <v>0</v>
      </c>
      <c r="J197" s="3" t="n">
        <f aca="false">IF($C197="West",1,0)</f>
        <v>1</v>
      </c>
    </row>
    <row r="198" customFormat="false" ht="15" hidden="false" customHeight="true" outlineLevel="0" collapsed="false">
      <c r="A198" s="3" t="str">
        <f aca="false">Cleaned_Data!A198</f>
        <v>STR-1049</v>
      </c>
      <c r="B198" s="4" t="n">
        <f aca="false">Cleaned_Data!B198</f>
        <v>45689</v>
      </c>
      <c r="C198" s="3" t="str">
        <f aca="false">Cleaned_Data!C198</f>
        <v>West</v>
      </c>
      <c r="D198" s="3" t="str">
        <f aca="false">Cleaned_Data!D198</f>
        <v>Residential</v>
      </c>
      <c r="E198" s="3" t="n">
        <f aca="false">IF($D198="Airport",1,0)</f>
        <v>0</v>
      </c>
      <c r="F198" s="3" t="n">
        <f aca="false">IF($D198="Mall",1,0)</f>
        <v>0</v>
      </c>
      <c r="G198" s="3" t="n">
        <f aca="false">IF($D198="Residential",1,0)</f>
        <v>1</v>
      </c>
      <c r="H198" s="3" t="n">
        <f aca="false">IF($C198="North",1,0)</f>
        <v>0</v>
      </c>
      <c r="I198" s="3" t="n">
        <f aca="false">IF($C198="South",1,0)</f>
        <v>0</v>
      </c>
      <c r="J198" s="3" t="n">
        <f aca="false">IF($C198="West",1,0)</f>
        <v>1</v>
      </c>
    </row>
    <row r="199" customFormat="false" ht="15" hidden="false" customHeight="true" outlineLevel="0" collapsed="false">
      <c r="A199" s="3" t="str">
        <f aca="false">Cleaned_Data!A199</f>
        <v>STR-1049</v>
      </c>
      <c r="B199" s="4" t="n">
        <f aca="false">Cleaned_Data!B199</f>
        <v>45717</v>
      </c>
      <c r="C199" s="3" t="str">
        <f aca="false">Cleaned_Data!C199</f>
        <v>West</v>
      </c>
      <c r="D199" s="3" t="str">
        <f aca="false">Cleaned_Data!D199</f>
        <v>Residential</v>
      </c>
      <c r="E199" s="3" t="n">
        <f aca="false">IF($D199="Airport",1,0)</f>
        <v>0</v>
      </c>
      <c r="F199" s="3" t="n">
        <f aca="false">IF($D199="Mall",1,0)</f>
        <v>0</v>
      </c>
      <c r="G199" s="3" t="n">
        <f aca="false">IF($D199="Residential",1,0)</f>
        <v>1</v>
      </c>
      <c r="H199" s="3" t="n">
        <f aca="false">IF($C199="North",1,0)</f>
        <v>0</v>
      </c>
      <c r="I199" s="3" t="n">
        <f aca="false">IF($C199="South",1,0)</f>
        <v>0</v>
      </c>
      <c r="J199" s="3" t="n">
        <f aca="false">IF($C199="West",1,0)</f>
        <v>1</v>
      </c>
    </row>
    <row r="200" customFormat="false" ht="15" hidden="false" customHeight="true" outlineLevel="0" collapsed="false">
      <c r="A200" s="3" t="str">
        <f aca="false">Cleaned_Data!A200</f>
        <v>STR-1049</v>
      </c>
      <c r="B200" s="4" t="n">
        <f aca="false">Cleaned_Data!B200</f>
        <v>45748</v>
      </c>
      <c r="C200" s="3" t="str">
        <f aca="false">Cleaned_Data!C200</f>
        <v>West</v>
      </c>
      <c r="D200" s="3" t="str">
        <f aca="false">Cleaned_Data!D200</f>
        <v>Residential</v>
      </c>
      <c r="E200" s="3" t="n">
        <f aca="false">IF($D200="Airport",1,0)</f>
        <v>0</v>
      </c>
      <c r="F200" s="3" t="n">
        <f aca="false">IF($D200="Mall",1,0)</f>
        <v>0</v>
      </c>
      <c r="G200" s="3" t="n">
        <f aca="false">IF($D200="Residential",1,0)</f>
        <v>1</v>
      </c>
      <c r="H200" s="3" t="n">
        <f aca="false">IF($C200="North",1,0)</f>
        <v>0</v>
      </c>
      <c r="I200" s="3" t="n">
        <f aca="false">IF($C200="South",1,0)</f>
        <v>0</v>
      </c>
      <c r="J200" s="3" t="n">
        <f aca="false">IF($C200="West",1,0)</f>
        <v>1</v>
      </c>
    </row>
    <row r="201" customFormat="false" ht="15" hidden="false" customHeight="true" outlineLevel="0" collapsed="false">
      <c r="A201" s="3" t="str">
        <f aca="false">Cleaned_Data!A201</f>
        <v>STR-1050</v>
      </c>
      <c r="B201" s="4" t="n">
        <f aca="false">Cleaned_Data!B201</f>
        <v>45658</v>
      </c>
      <c r="C201" s="3" t="str">
        <f aca="false">Cleaned_Data!C201</f>
        <v>North</v>
      </c>
      <c r="D201" s="3" t="str">
        <f aca="false">Cleaned_Data!D201</f>
        <v>Residential</v>
      </c>
      <c r="E201" s="3" t="n">
        <f aca="false">IF($D201="Airport",1,0)</f>
        <v>0</v>
      </c>
      <c r="F201" s="3" t="n">
        <f aca="false">IF($D201="Mall",1,0)</f>
        <v>0</v>
      </c>
      <c r="G201" s="3" t="n">
        <f aca="false">IF($D201="Residential",1,0)</f>
        <v>1</v>
      </c>
      <c r="H201" s="3" t="n">
        <f aca="false">IF($C201="North",1,0)</f>
        <v>1</v>
      </c>
      <c r="I201" s="3" t="n">
        <f aca="false">IF($C201="South",1,0)</f>
        <v>0</v>
      </c>
      <c r="J201" s="3" t="n">
        <f aca="false">IF($C201="West",1,0)</f>
        <v>0</v>
      </c>
    </row>
    <row r="202" customFormat="false" ht="15" hidden="false" customHeight="true" outlineLevel="0" collapsed="false">
      <c r="A202" s="3" t="str">
        <f aca="false">Cleaned_Data!A202</f>
        <v>STR-1050</v>
      </c>
      <c r="B202" s="4" t="n">
        <f aca="false">Cleaned_Data!B202</f>
        <v>45689</v>
      </c>
      <c r="C202" s="3" t="str">
        <f aca="false">Cleaned_Data!C202</f>
        <v>North</v>
      </c>
      <c r="D202" s="3" t="str">
        <f aca="false">Cleaned_Data!D202</f>
        <v>Residential</v>
      </c>
      <c r="E202" s="3" t="n">
        <f aca="false">IF($D202="Airport",1,0)</f>
        <v>0</v>
      </c>
      <c r="F202" s="3" t="n">
        <f aca="false">IF($D202="Mall",1,0)</f>
        <v>0</v>
      </c>
      <c r="G202" s="3" t="n">
        <f aca="false">IF($D202="Residential",1,0)</f>
        <v>1</v>
      </c>
      <c r="H202" s="3" t="n">
        <f aca="false">IF($C202="North",1,0)</f>
        <v>1</v>
      </c>
      <c r="I202" s="3" t="n">
        <f aca="false">IF($C202="South",1,0)</f>
        <v>0</v>
      </c>
      <c r="J202" s="3" t="n">
        <f aca="false">IF($C202="West",1,0)</f>
        <v>0</v>
      </c>
    </row>
    <row r="203" customFormat="false" ht="15" hidden="false" customHeight="true" outlineLevel="0" collapsed="false">
      <c r="A203" s="3" t="str">
        <f aca="false">Cleaned_Data!A203</f>
        <v>STR-1050</v>
      </c>
      <c r="B203" s="4" t="n">
        <f aca="false">Cleaned_Data!B203</f>
        <v>45717</v>
      </c>
      <c r="C203" s="3" t="str">
        <f aca="false">Cleaned_Data!C203</f>
        <v>North</v>
      </c>
      <c r="D203" s="3" t="str">
        <f aca="false">Cleaned_Data!D203</f>
        <v>Residential</v>
      </c>
      <c r="E203" s="3" t="n">
        <f aca="false">IF($D203="Airport",1,0)</f>
        <v>0</v>
      </c>
      <c r="F203" s="3" t="n">
        <f aca="false">IF($D203="Mall",1,0)</f>
        <v>0</v>
      </c>
      <c r="G203" s="3" t="n">
        <f aca="false">IF($D203="Residential",1,0)</f>
        <v>1</v>
      </c>
      <c r="H203" s="3" t="n">
        <f aca="false">IF($C203="North",1,0)</f>
        <v>1</v>
      </c>
      <c r="I203" s="3" t="n">
        <f aca="false">IF($C203="South",1,0)</f>
        <v>0</v>
      </c>
      <c r="J203" s="3" t="n">
        <f aca="false">IF($C203="West",1,0)</f>
        <v>0</v>
      </c>
    </row>
    <row r="204" customFormat="false" ht="15" hidden="false" customHeight="true" outlineLevel="0" collapsed="false">
      <c r="A204" s="3" t="str">
        <f aca="false">Cleaned_Data!A204</f>
        <v>STR-1050</v>
      </c>
      <c r="B204" s="4" t="n">
        <f aca="false">Cleaned_Data!B204</f>
        <v>45748</v>
      </c>
      <c r="C204" s="3" t="str">
        <f aca="false">Cleaned_Data!C204</f>
        <v>North</v>
      </c>
      <c r="D204" s="3" t="str">
        <f aca="false">Cleaned_Data!D204</f>
        <v>Residential</v>
      </c>
      <c r="E204" s="3" t="n">
        <f aca="false">IF($D204="Airport",1,0)</f>
        <v>0</v>
      </c>
      <c r="F204" s="3" t="n">
        <f aca="false">IF($D204="Mall",1,0)</f>
        <v>0</v>
      </c>
      <c r="G204" s="3" t="n">
        <f aca="false">IF($D204="Residential",1,0)</f>
        <v>1</v>
      </c>
      <c r="H204" s="3" t="n">
        <f aca="false">IF($C204="North",1,0)</f>
        <v>1</v>
      </c>
      <c r="I204" s="3" t="n">
        <f aca="false">IF($C204="South",1,0)</f>
        <v>0</v>
      </c>
      <c r="J204" s="3" t="n">
        <f aca="false">IF($C204="West",1,0)</f>
        <v>0</v>
      </c>
    </row>
    <row r="205" customFormat="false" ht="15" hidden="false" customHeight="true" outlineLevel="0" collapsed="false">
      <c r="A205" s="3" t="str">
        <f aca="false">Cleaned_Data!A205</f>
        <v>STR-1051</v>
      </c>
      <c r="B205" s="4" t="n">
        <f aca="false">Cleaned_Data!B205</f>
        <v>45658</v>
      </c>
      <c r="C205" s="3" t="str">
        <f aca="false">Cleaned_Data!C205</f>
        <v>East</v>
      </c>
      <c r="D205" s="3" t="str">
        <f aca="false">Cleaned_Data!D205</f>
        <v>Airport</v>
      </c>
      <c r="E205" s="3" t="n">
        <f aca="false">IF($D205="Airport",1,0)</f>
        <v>1</v>
      </c>
      <c r="F205" s="3" t="n">
        <f aca="false">IF($D205="Mall",1,0)</f>
        <v>0</v>
      </c>
      <c r="G205" s="3" t="n">
        <f aca="false">IF($D205="Residential",1,0)</f>
        <v>0</v>
      </c>
      <c r="H205" s="3" t="n">
        <f aca="false">IF($C205="North",1,0)</f>
        <v>0</v>
      </c>
      <c r="I205" s="3" t="n">
        <f aca="false">IF($C205="South",1,0)</f>
        <v>0</v>
      </c>
      <c r="J205" s="3" t="n">
        <f aca="false">IF($C205="West",1,0)</f>
        <v>0</v>
      </c>
    </row>
    <row r="206" customFormat="false" ht="15" hidden="false" customHeight="true" outlineLevel="0" collapsed="false">
      <c r="A206" s="3" t="str">
        <f aca="false">Cleaned_Data!A206</f>
        <v>STR-1051</v>
      </c>
      <c r="B206" s="4" t="n">
        <f aca="false">Cleaned_Data!B206</f>
        <v>45689</v>
      </c>
      <c r="C206" s="3" t="str">
        <f aca="false">Cleaned_Data!C206</f>
        <v>East</v>
      </c>
      <c r="D206" s="3" t="str">
        <f aca="false">Cleaned_Data!D206</f>
        <v>Airport</v>
      </c>
      <c r="E206" s="3" t="n">
        <f aca="false">IF($D206="Airport",1,0)</f>
        <v>1</v>
      </c>
      <c r="F206" s="3" t="n">
        <f aca="false">IF($D206="Mall",1,0)</f>
        <v>0</v>
      </c>
      <c r="G206" s="3" t="n">
        <f aca="false">IF($D206="Residential",1,0)</f>
        <v>0</v>
      </c>
      <c r="H206" s="3" t="n">
        <f aca="false">IF($C206="North",1,0)</f>
        <v>0</v>
      </c>
      <c r="I206" s="3" t="n">
        <f aca="false">IF($C206="South",1,0)</f>
        <v>0</v>
      </c>
      <c r="J206" s="3" t="n">
        <f aca="false">IF($C206="West",1,0)</f>
        <v>0</v>
      </c>
    </row>
    <row r="207" customFormat="false" ht="15" hidden="false" customHeight="true" outlineLevel="0" collapsed="false">
      <c r="A207" s="3" t="str">
        <f aca="false">Cleaned_Data!A207</f>
        <v>STR-1051</v>
      </c>
      <c r="B207" s="4" t="n">
        <f aca="false">Cleaned_Data!B207</f>
        <v>45717</v>
      </c>
      <c r="C207" s="3" t="str">
        <f aca="false">Cleaned_Data!C207</f>
        <v>East</v>
      </c>
      <c r="D207" s="3" t="str">
        <f aca="false">Cleaned_Data!D207</f>
        <v>Airport</v>
      </c>
      <c r="E207" s="3" t="n">
        <f aca="false">IF($D207="Airport",1,0)</f>
        <v>1</v>
      </c>
      <c r="F207" s="3" t="n">
        <f aca="false">IF($D207="Mall",1,0)</f>
        <v>0</v>
      </c>
      <c r="G207" s="3" t="n">
        <f aca="false">IF($D207="Residential",1,0)</f>
        <v>0</v>
      </c>
      <c r="H207" s="3" t="n">
        <f aca="false">IF($C207="North",1,0)</f>
        <v>0</v>
      </c>
      <c r="I207" s="3" t="n">
        <f aca="false">IF($C207="South",1,0)</f>
        <v>0</v>
      </c>
      <c r="J207" s="3" t="n">
        <f aca="false">IF($C207="West",1,0)</f>
        <v>0</v>
      </c>
    </row>
    <row r="208" customFormat="false" ht="15" hidden="false" customHeight="true" outlineLevel="0" collapsed="false">
      <c r="A208" s="3" t="str">
        <f aca="false">Cleaned_Data!A208</f>
        <v>STR-1051</v>
      </c>
      <c r="B208" s="4" t="n">
        <f aca="false">Cleaned_Data!B208</f>
        <v>45748</v>
      </c>
      <c r="C208" s="3" t="str">
        <f aca="false">Cleaned_Data!C208</f>
        <v>East</v>
      </c>
      <c r="D208" s="3" t="str">
        <f aca="false">Cleaned_Data!D208</f>
        <v>Airport</v>
      </c>
      <c r="E208" s="3" t="n">
        <f aca="false">IF($D208="Airport",1,0)</f>
        <v>1</v>
      </c>
      <c r="F208" s="3" t="n">
        <f aca="false">IF($D208="Mall",1,0)</f>
        <v>0</v>
      </c>
      <c r="G208" s="3" t="n">
        <f aca="false">IF($D208="Residential",1,0)</f>
        <v>0</v>
      </c>
      <c r="H208" s="3" t="n">
        <f aca="false">IF($C208="North",1,0)</f>
        <v>0</v>
      </c>
      <c r="I208" s="3" t="n">
        <f aca="false">IF($C208="South",1,0)</f>
        <v>0</v>
      </c>
      <c r="J208" s="3" t="n">
        <f aca="false">IF($C208="West",1,0)</f>
        <v>0</v>
      </c>
    </row>
    <row r="209" customFormat="false" ht="15" hidden="false" customHeight="true" outlineLevel="0" collapsed="false">
      <c r="A209" s="3" t="str">
        <f aca="false">Cleaned_Data!A209</f>
        <v>STR-1052</v>
      </c>
      <c r="B209" s="4" t="n">
        <f aca="false">Cleaned_Data!B209</f>
        <v>45658</v>
      </c>
      <c r="C209" s="3" t="str">
        <f aca="false">Cleaned_Data!C209</f>
        <v>East</v>
      </c>
      <c r="D209" s="3" t="str">
        <f aca="false">Cleaned_Data!D209</f>
        <v>Mall</v>
      </c>
      <c r="E209" s="3" t="n">
        <f aca="false">IF($D209="Airport",1,0)</f>
        <v>0</v>
      </c>
      <c r="F209" s="3" t="n">
        <f aca="false">IF($D209="Mall",1,0)</f>
        <v>1</v>
      </c>
      <c r="G209" s="3" t="n">
        <f aca="false">IF($D209="Residential",1,0)</f>
        <v>0</v>
      </c>
      <c r="H209" s="3" t="n">
        <f aca="false">IF($C209="North",1,0)</f>
        <v>0</v>
      </c>
      <c r="I209" s="3" t="n">
        <f aca="false">IF($C209="South",1,0)</f>
        <v>0</v>
      </c>
      <c r="J209" s="3" t="n">
        <f aca="false">IF($C209="West",1,0)</f>
        <v>0</v>
      </c>
    </row>
    <row r="210" customFormat="false" ht="15" hidden="false" customHeight="true" outlineLevel="0" collapsed="false">
      <c r="A210" s="3" t="str">
        <f aca="false">Cleaned_Data!A210</f>
        <v>STR-1052</v>
      </c>
      <c r="B210" s="4" t="n">
        <f aca="false">Cleaned_Data!B210</f>
        <v>45689</v>
      </c>
      <c r="C210" s="3" t="str">
        <f aca="false">Cleaned_Data!C210</f>
        <v>East</v>
      </c>
      <c r="D210" s="3" t="str">
        <f aca="false">Cleaned_Data!D210</f>
        <v>Mall</v>
      </c>
      <c r="E210" s="3" t="n">
        <f aca="false">IF($D210="Airport",1,0)</f>
        <v>0</v>
      </c>
      <c r="F210" s="3" t="n">
        <f aca="false">IF($D210="Mall",1,0)</f>
        <v>1</v>
      </c>
      <c r="G210" s="3" t="n">
        <f aca="false">IF($D210="Residential",1,0)</f>
        <v>0</v>
      </c>
      <c r="H210" s="3" t="n">
        <f aca="false">IF($C210="North",1,0)</f>
        <v>0</v>
      </c>
      <c r="I210" s="3" t="n">
        <f aca="false">IF($C210="South",1,0)</f>
        <v>0</v>
      </c>
      <c r="J210" s="3" t="n">
        <f aca="false">IF($C210="West",1,0)</f>
        <v>0</v>
      </c>
    </row>
    <row r="211" customFormat="false" ht="15" hidden="false" customHeight="true" outlineLevel="0" collapsed="false">
      <c r="A211" s="3" t="str">
        <f aca="false">Cleaned_Data!A211</f>
        <v>STR-1052</v>
      </c>
      <c r="B211" s="4" t="n">
        <f aca="false">Cleaned_Data!B211</f>
        <v>45717</v>
      </c>
      <c r="C211" s="3" t="str">
        <f aca="false">Cleaned_Data!C211</f>
        <v>East</v>
      </c>
      <c r="D211" s="3" t="str">
        <f aca="false">Cleaned_Data!D211</f>
        <v>Mall</v>
      </c>
      <c r="E211" s="3" t="n">
        <f aca="false">IF($D211="Airport",1,0)</f>
        <v>0</v>
      </c>
      <c r="F211" s="3" t="n">
        <f aca="false">IF($D211="Mall",1,0)</f>
        <v>1</v>
      </c>
      <c r="G211" s="3" t="n">
        <f aca="false">IF($D211="Residential",1,0)</f>
        <v>0</v>
      </c>
      <c r="H211" s="3" t="n">
        <f aca="false">IF($C211="North",1,0)</f>
        <v>0</v>
      </c>
      <c r="I211" s="3" t="n">
        <f aca="false">IF($C211="South",1,0)</f>
        <v>0</v>
      </c>
      <c r="J211" s="3" t="n">
        <f aca="false">IF($C211="West",1,0)</f>
        <v>0</v>
      </c>
    </row>
    <row r="212" customFormat="false" ht="15" hidden="false" customHeight="true" outlineLevel="0" collapsed="false">
      <c r="A212" s="3" t="str">
        <f aca="false">Cleaned_Data!A212</f>
        <v>STR-1052</v>
      </c>
      <c r="B212" s="4" t="n">
        <f aca="false">Cleaned_Data!B212</f>
        <v>45748</v>
      </c>
      <c r="C212" s="3" t="str">
        <f aca="false">Cleaned_Data!C212</f>
        <v>East</v>
      </c>
      <c r="D212" s="3" t="str">
        <f aca="false">Cleaned_Data!D212</f>
        <v>Mall</v>
      </c>
      <c r="E212" s="3" t="n">
        <f aca="false">IF($D212="Airport",1,0)</f>
        <v>0</v>
      </c>
      <c r="F212" s="3" t="n">
        <f aca="false">IF($D212="Mall",1,0)</f>
        <v>1</v>
      </c>
      <c r="G212" s="3" t="n">
        <f aca="false">IF($D212="Residential",1,0)</f>
        <v>0</v>
      </c>
      <c r="H212" s="3" t="n">
        <f aca="false">IF($C212="North",1,0)</f>
        <v>0</v>
      </c>
      <c r="I212" s="3" t="n">
        <f aca="false">IF($C212="South",1,0)</f>
        <v>0</v>
      </c>
      <c r="J212" s="3" t="n">
        <f aca="false">IF($C212="West",1,0)</f>
        <v>0</v>
      </c>
    </row>
    <row r="213" customFormat="false" ht="15" hidden="false" customHeight="true" outlineLevel="0" collapsed="false">
      <c r="A213" s="3" t="str">
        <f aca="false">Cleaned_Data!A213</f>
        <v>STR-1053</v>
      </c>
      <c r="B213" s="4" t="n">
        <f aca="false">Cleaned_Data!B213</f>
        <v>45658</v>
      </c>
      <c r="C213" s="3" t="str">
        <f aca="false">Cleaned_Data!C213</f>
        <v>East</v>
      </c>
      <c r="D213" s="3" t="str">
        <f aca="false">Cleaned_Data!D213</f>
        <v>High Street</v>
      </c>
      <c r="E213" s="3" t="n">
        <f aca="false">IF($D213="Airport",1,0)</f>
        <v>0</v>
      </c>
      <c r="F213" s="3" t="n">
        <f aca="false">IF($D213="Mall",1,0)</f>
        <v>0</v>
      </c>
      <c r="G213" s="3" t="n">
        <f aca="false">IF($D213="Residential",1,0)</f>
        <v>0</v>
      </c>
      <c r="H213" s="3" t="n">
        <f aca="false">IF($C213="North",1,0)</f>
        <v>0</v>
      </c>
      <c r="I213" s="3" t="n">
        <f aca="false">IF($C213="South",1,0)</f>
        <v>0</v>
      </c>
      <c r="J213" s="3" t="n">
        <f aca="false">IF($C213="West",1,0)</f>
        <v>0</v>
      </c>
    </row>
    <row r="214" customFormat="false" ht="15" hidden="false" customHeight="true" outlineLevel="0" collapsed="false">
      <c r="A214" s="3" t="str">
        <f aca="false">Cleaned_Data!A214</f>
        <v>STR-1053</v>
      </c>
      <c r="B214" s="4" t="n">
        <f aca="false">Cleaned_Data!B214</f>
        <v>45689</v>
      </c>
      <c r="C214" s="3" t="str">
        <f aca="false">Cleaned_Data!C214</f>
        <v>East</v>
      </c>
      <c r="D214" s="3" t="str">
        <f aca="false">Cleaned_Data!D214</f>
        <v>High Street</v>
      </c>
      <c r="E214" s="3" t="n">
        <f aca="false">IF($D214="Airport",1,0)</f>
        <v>0</v>
      </c>
      <c r="F214" s="3" t="n">
        <f aca="false">IF($D214="Mall",1,0)</f>
        <v>0</v>
      </c>
      <c r="G214" s="3" t="n">
        <f aca="false">IF($D214="Residential",1,0)</f>
        <v>0</v>
      </c>
      <c r="H214" s="3" t="n">
        <f aca="false">IF($C214="North",1,0)</f>
        <v>0</v>
      </c>
      <c r="I214" s="3" t="n">
        <f aca="false">IF($C214="South",1,0)</f>
        <v>0</v>
      </c>
      <c r="J214" s="3" t="n">
        <f aca="false">IF($C214="West",1,0)</f>
        <v>0</v>
      </c>
    </row>
    <row r="215" customFormat="false" ht="15" hidden="false" customHeight="true" outlineLevel="0" collapsed="false">
      <c r="A215" s="3" t="str">
        <f aca="false">Cleaned_Data!A215</f>
        <v>STR-1053</v>
      </c>
      <c r="B215" s="4" t="n">
        <f aca="false">Cleaned_Data!B215</f>
        <v>45717</v>
      </c>
      <c r="C215" s="3" t="str">
        <f aca="false">Cleaned_Data!C215</f>
        <v>East</v>
      </c>
      <c r="D215" s="3" t="str">
        <f aca="false">Cleaned_Data!D215</f>
        <v>High Street</v>
      </c>
      <c r="E215" s="3" t="n">
        <f aca="false">IF($D215="Airport",1,0)</f>
        <v>0</v>
      </c>
      <c r="F215" s="3" t="n">
        <f aca="false">IF($D215="Mall",1,0)</f>
        <v>0</v>
      </c>
      <c r="G215" s="3" t="n">
        <f aca="false">IF($D215="Residential",1,0)</f>
        <v>0</v>
      </c>
      <c r="H215" s="3" t="n">
        <f aca="false">IF($C215="North",1,0)</f>
        <v>0</v>
      </c>
      <c r="I215" s="3" t="n">
        <f aca="false">IF($C215="South",1,0)</f>
        <v>0</v>
      </c>
      <c r="J215" s="3" t="n">
        <f aca="false">IF($C215="West",1,0)</f>
        <v>0</v>
      </c>
    </row>
    <row r="216" customFormat="false" ht="15" hidden="false" customHeight="true" outlineLevel="0" collapsed="false">
      <c r="A216" s="3" t="str">
        <f aca="false">Cleaned_Data!A216</f>
        <v>STR-1053</v>
      </c>
      <c r="B216" s="4" t="n">
        <f aca="false">Cleaned_Data!B216</f>
        <v>45748</v>
      </c>
      <c r="C216" s="3" t="str">
        <f aca="false">Cleaned_Data!C216</f>
        <v>East</v>
      </c>
      <c r="D216" s="3" t="str">
        <f aca="false">Cleaned_Data!D216</f>
        <v>High Street</v>
      </c>
      <c r="E216" s="3" t="n">
        <f aca="false">IF($D216="Airport",1,0)</f>
        <v>0</v>
      </c>
      <c r="F216" s="3" t="n">
        <f aca="false">IF($D216="Mall",1,0)</f>
        <v>0</v>
      </c>
      <c r="G216" s="3" t="n">
        <f aca="false">IF($D216="Residential",1,0)</f>
        <v>0</v>
      </c>
      <c r="H216" s="3" t="n">
        <f aca="false">IF($C216="North",1,0)</f>
        <v>0</v>
      </c>
      <c r="I216" s="3" t="n">
        <f aca="false">IF($C216="South",1,0)</f>
        <v>0</v>
      </c>
      <c r="J216" s="3" t="n">
        <f aca="false">IF($C216="West",1,0)</f>
        <v>0</v>
      </c>
    </row>
    <row r="217" customFormat="false" ht="15" hidden="false" customHeight="true" outlineLevel="0" collapsed="false">
      <c r="A217" s="3" t="str">
        <f aca="false">Cleaned_Data!A217</f>
        <v>STR-1054</v>
      </c>
      <c r="B217" s="4" t="n">
        <f aca="false">Cleaned_Data!B217</f>
        <v>45658</v>
      </c>
      <c r="C217" s="3" t="str">
        <f aca="false">Cleaned_Data!C217</f>
        <v>West</v>
      </c>
      <c r="D217" s="3" t="str">
        <f aca="false">Cleaned_Data!D217</f>
        <v>Residential</v>
      </c>
      <c r="E217" s="3" t="n">
        <f aca="false">IF($D217="Airport",1,0)</f>
        <v>0</v>
      </c>
      <c r="F217" s="3" t="n">
        <f aca="false">IF($D217="Mall",1,0)</f>
        <v>0</v>
      </c>
      <c r="G217" s="3" t="n">
        <f aca="false">IF($D217="Residential",1,0)</f>
        <v>1</v>
      </c>
      <c r="H217" s="3" t="n">
        <f aca="false">IF($C217="North",1,0)</f>
        <v>0</v>
      </c>
      <c r="I217" s="3" t="n">
        <f aca="false">IF($C217="South",1,0)</f>
        <v>0</v>
      </c>
      <c r="J217" s="3" t="n">
        <f aca="false">IF($C217="West",1,0)</f>
        <v>1</v>
      </c>
    </row>
    <row r="218" customFormat="false" ht="15" hidden="false" customHeight="true" outlineLevel="0" collapsed="false">
      <c r="A218" s="3" t="str">
        <f aca="false">Cleaned_Data!A218</f>
        <v>STR-1054</v>
      </c>
      <c r="B218" s="4" t="n">
        <f aca="false">Cleaned_Data!B218</f>
        <v>45689</v>
      </c>
      <c r="C218" s="3" t="str">
        <f aca="false">Cleaned_Data!C218</f>
        <v>West</v>
      </c>
      <c r="D218" s="3" t="str">
        <f aca="false">Cleaned_Data!D218</f>
        <v>Residential</v>
      </c>
      <c r="E218" s="3" t="n">
        <f aca="false">IF($D218="Airport",1,0)</f>
        <v>0</v>
      </c>
      <c r="F218" s="3" t="n">
        <f aca="false">IF($D218="Mall",1,0)</f>
        <v>0</v>
      </c>
      <c r="G218" s="3" t="n">
        <f aca="false">IF($D218="Residential",1,0)</f>
        <v>1</v>
      </c>
      <c r="H218" s="3" t="n">
        <f aca="false">IF($C218="North",1,0)</f>
        <v>0</v>
      </c>
      <c r="I218" s="3" t="n">
        <f aca="false">IF($C218="South",1,0)</f>
        <v>0</v>
      </c>
      <c r="J218" s="3" t="n">
        <f aca="false">IF($C218="West",1,0)</f>
        <v>1</v>
      </c>
    </row>
    <row r="219" customFormat="false" ht="15" hidden="false" customHeight="true" outlineLevel="0" collapsed="false">
      <c r="A219" s="3" t="str">
        <f aca="false">Cleaned_Data!A219</f>
        <v>STR-1054</v>
      </c>
      <c r="B219" s="4" t="n">
        <f aca="false">Cleaned_Data!B219</f>
        <v>45717</v>
      </c>
      <c r="C219" s="3" t="str">
        <f aca="false">Cleaned_Data!C219</f>
        <v>West</v>
      </c>
      <c r="D219" s="3" t="str">
        <f aca="false">Cleaned_Data!D219</f>
        <v>Residential</v>
      </c>
      <c r="E219" s="3" t="n">
        <f aca="false">IF($D219="Airport",1,0)</f>
        <v>0</v>
      </c>
      <c r="F219" s="3" t="n">
        <f aca="false">IF($D219="Mall",1,0)</f>
        <v>0</v>
      </c>
      <c r="G219" s="3" t="n">
        <f aca="false">IF($D219="Residential",1,0)</f>
        <v>1</v>
      </c>
      <c r="H219" s="3" t="n">
        <f aca="false">IF($C219="North",1,0)</f>
        <v>0</v>
      </c>
      <c r="I219" s="3" t="n">
        <f aca="false">IF($C219="South",1,0)</f>
        <v>0</v>
      </c>
      <c r="J219" s="3" t="n">
        <f aca="false">IF($C219="West",1,0)</f>
        <v>1</v>
      </c>
    </row>
    <row r="220" customFormat="false" ht="15" hidden="false" customHeight="true" outlineLevel="0" collapsed="false">
      <c r="A220" s="3" t="str">
        <f aca="false">Cleaned_Data!A220</f>
        <v>STR-1054</v>
      </c>
      <c r="B220" s="4" t="n">
        <f aca="false">Cleaned_Data!B220</f>
        <v>45748</v>
      </c>
      <c r="C220" s="3" t="str">
        <f aca="false">Cleaned_Data!C220</f>
        <v>West</v>
      </c>
      <c r="D220" s="3" t="str">
        <f aca="false">Cleaned_Data!D220</f>
        <v>Residential</v>
      </c>
      <c r="E220" s="3" t="n">
        <f aca="false">IF($D220="Airport",1,0)</f>
        <v>0</v>
      </c>
      <c r="F220" s="3" t="n">
        <f aca="false">IF($D220="Mall",1,0)</f>
        <v>0</v>
      </c>
      <c r="G220" s="3" t="n">
        <f aca="false">IF($D220="Residential",1,0)</f>
        <v>1</v>
      </c>
      <c r="H220" s="3" t="n">
        <f aca="false">IF($C220="North",1,0)</f>
        <v>0</v>
      </c>
      <c r="I220" s="3" t="n">
        <f aca="false">IF($C220="South",1,0)</f>
        <v>0</v>
      </c>
      <c r="J220" s="3" t="n">
        <f aca="false">IF($C220="West",1,0)</f>
        <v>1</v>
      </c>
    </row>
    <row r="221" customFormat="false" ht="15" hidden="false" customHeight="true" outlineLevel="0" collapsed="false">
      <c r="A221" s="3" t="str">
        <f aca="false">Cleaned_Data!A221</f>
        <v>STR-1055</v>
      </c>
      <c r="B221" s="4" t="n">
        <f aca="false">Cleaned_Data!B221</f>
        <v>45658</v>
      </c>
      <c r="C221" s="3" t="str">
        <f aca="false">Cleaned_Data!C221</f>
        <v>North</v>
      </c>
      <c r="D221" s="3" t="str">
        <f aca="false">Cleaned_Data!D221</f>
        <v>Airport</v>
      </c>
      <c r="E221" s="3" t="n">
        <f aca="false">IF($D221="Airport",1,0)</f>
        <v>1</v>
      </c>
      <c r="F221" s="3" t="n">
        <f aca="false">IF($D221="Mall",1,0)</f>
        <v>0</v>
      </c>
      <c r="G221" s="3" t="n">
        <f aca="false">IF($D221="Residential",1,0)</f>
        <v>0</v>
      </c>
      <c r="H221" s="3" t="n">
        <f aca="false">IF($C221="North",1,0)</f>
        <v>1</v>
      </c>
      <c r="I221" s="3" t="n">
        <f aca="false">IF($C221="South",1,0)</f>
        <v>0</v>
      </c>
      <c r="J221" s="3" t="n">
        <f aca="false">IF($C221="West",1,0)</f>
        <v>0</v>
      </c>
    </row>
    <row r="222" customFormat="false" ht="15" hidden="false" customHeight="true" outlineLevel="0" collapsed="false">
      <c r="A222" s="3" t="str">
        <f aca="false">Cleaned_Data!A222</f>
        <v>STR-1055</v>
      </c>
      <c r="B222" s="4" t="n">
        <f aca="false">Cleaned_Data!B222</f>
        <v>45689</v>
      </c>
      <c r="C222" s="3" t="str">
        <f aca="false">Cleaned_Data!C222</f>
        <v>North</v>
      </c>
      <c r="D222" s="3" t="str">
        <f aca="false">Cleaned_Data!D222</f>
        <v>Airport</v>
      </c>
      <c r="E222" s="3" t="n">
        <f aca="false">IF($D222="Airport",1,0)</f>
        <v>1</v>
      </c>
      <c r="F222" s="3" t="n">
        <f aca="false">IF($D222="Mall",1,0)</f>
        <v>0</v>
      </c>
      <c r="G222" s="3" t="n">
        <f aca="false">IF($D222="Residential",1,0)</f>
        <v>0</v>
      </c>
      <c r="H222" s="3" t="n">
        <f aca="false">IF($C222="North",1,0)</f>
        <v>1</v>
      </c>
      <c r="I222" s="3" t="n">
        <f aca="false">IF($C222="South",1,0)</f>
        <v>0</v>
      </c>
      <c r="J222" s="3" t="n">
        <f aca="false">IF($C222="West",1,0)</f>
        <v>0</v>
      </c>
    </row>
    <row r="223" customFormat="false" ht="15" hidden="false" customHeight="true" outlineLevel="0" collapsed="false">
      <c r="A223" s="3" t="str">
        <f aca="false">Cleaned_Data!A223</f>
        <v>STR-1055</v>
      </c>
      <c r="B223" s="4" t="n">
        <f aca="false">Cleaned_Data!B223</f>
        <v>45717</v>
      </c>
      <c r="C223" s="3" t="str">
        <f aca="false">Cleaned_Data!C223</f>
        <v>North</v>
      </c>
      <c r="D223" s="3" t="str">
        <f aca="false">Cleaned_Data!D223</f>
        <v>Airport</v>
      </c>
      <c r="E223" s="3" t="n">
        <f aca="false">IF($D223="Airport",1,0)</f>
        <v>1</v>
      </c>
      <c r="F223" s="3" t="n">
        <f aca="false">IF($D223="Mall",1,0)</f>
        <v>0</v>
      </c>
      <c r="G223" s="3" t="n">
        <f aca="false">IF($D223="Residential",1,0)</f>
        <v>0</v>
      </c>
      <c r="H223" s="3" t="n">
        <f aca="false">IF($C223="North",1,0)</f>
        <v>1</v>
      </c>
      <c r="I223" s="3" t="n">
        <f aca="false">IF($C223="South",1,0)</f>
        <v>0</v>
      </c>
      <c r="J223" s="3" t="n">
        <f aca="false">IF($C223="West",1,0)</f>
        <v>0</v>
      </c>
    </row>
    <row r="224" customFormat="false" ht="15" hidden="false" customHeight="true" outlineLevel="0" collapsed="false">
      <c r="A224" s="3" t="str">
        <f aca="false">Cleaned_Data!A224</f>
        <v>STR-1055</v>
      </c>
      <c r="B224" s="4" t="n">
        <f aca="false">Cleaned_Data!B224</f>
        <v>45748</v>
      </c>
      <c r="C224" s="3" t="str">
        <f aca="false">Cleaned_Data!C224</f>
        <v>North</v>
      </c>
      <c r="D224" s="3" t="str">
        <f aca="false">Cleaned_Data!D224</f>
        <v>Airport</v>
      </c>
      <c r="E224" s="3" t="n">
        <f aca="false">IF($D224="Airport",1,0)</f>
        <v>1</v>
      </c>
      <c r="F224" s="3" t="n">
        <f aca="false">IF($D224="Mall",1,0)</f>
        <v>0</v>
      </c>
      <c r="G224" s="3" t="n">
        <f aca="false">IF($D224="Residential",1,0)</f>
        <v>0</v>
      </c>
      <c r="H224" s="3" t="n">
        <f aca="false">IF($C224="North",1,0)</f>
        <v>1</v>
      </c>
      <c r="I224" s="3" t="n">
        <f aca="false">IF($C224="South",1,0)</f>
        <v>0</v>
      </c>
      <c r="J224" s="3" t="n">
        <f aca="false">IF($C224="West",1,0)</f>
        <v>0</v>
      </c>
    </row>
    <row r="225" customFormat="false" ht="15" hidden="false" customHeight="true" outlineLevel="0" collapsed="false">
      <c r="A225" s="3" t="str">
        <f aca="false">Cleaned_Data!A225</f>
        <v>STR-1056</v>
      </c>
      <c r="B225" s="4" t="n">
        <f aca="false">Cleaned_Data!B225</f>
        <v>45658</v>
      </c>
      <c r="C225" s="3" t="str">
        <f aca="false">Cleaned_Data!C225</f>
        <v>East</v>
      </c>
      <c r="D225" s="3" t="str">
        <f aca="false">Cleaned_Data!D225</f>
        <v>High Street</v>
      </c>
      <c r="E225" s="3" t="n">
        <f aca="false">IF($D225="Airport",1,0)</f>
        <v>0</v>
      </c>
      <c r="F225" s="3" t="n">
        <f aca="false">IF($D225="Mall",1,0)</f>
        <v>0</v>
      </c>
      <c r="G225" s="3" t="n">
        <f aca="false">IF($D225="Residential",1,0)</f>
        <v>0</v>
      </c>
      <c r="H225" s="3" t="n">
        <f aca="false">IF($C225="North",1,0)</f>
        <v>0</v>
      </c>
      <c r="I225" s="3" t="n">
        <f aca="false">IF($C225="South",1,0)</f>
        <v>0</v>
      </c>
      <c r="J225" s="3" t="n">
        <f aca="false">IF($C225="West",1,0)</f>
        <v>0</v>
      </c>
    </row>
    <row r="226" customFormat="false" ht="15" hidden="false" customHeight="true" outlineLevel="0" collapsed="false">
      <c r="A226" s="3" t="str">
        <f aca="false">Cleaned_Data!A226</f>
        <v>STR-1056</v>
      </c>
      <c r="B226" s="4" t="n">
        <f aca="false">Cleaned_Data!B226</f>
        <v>45689</v>
      </c>
      <c r="C226" s="3" t="str">
        <f aca="false">Cleaned_Data!C226</f>
        <v>East</v>
      </c>
      <c r="D226" s="3" t="str">
        <f aca="false">Cleaned_Data!D226</f>
        <v>High Street</v>
      </c>
      <c r="E226" s="3" t="n">
        <f aca="false">IF($D226="Airport",1,0)</f>
        <v>0</v>
      </c>
      <c r="F226" s="3" t="n">
        <f aca="false">IF($D226="Mall",1,0)</f>
        <v>0</v>
      </c>
      <c r="G226" s="3" t="n">
        <f aca="false">IF($D226="Residential",1,0)</f>
        <v>0</v>
      </c>
      <c r="H226" s="3" t="n">
        <f aca="false">IF($C226="North",1,0)</f>
        <v>0</v>
      </c>
      <c r="I226" s="3" t="n">
        <f aca="false">IF($C226="South",1,0)</f>
        <v>0</v>
      </c>
      <c r="J226" s="3" t="n">
        <f aca="false">IF($C226="West",1,0)</f>
        <v>0</v>
      </c>
    </row>
    <row r="227" customFormat="false" ht="15" hidden="false" customHeight="true" outlineLevel="0" collapsed="false">
      <c r="A227" s="3" t="str">
        <f aca="false">Cleaned_Data!A227</f>
        <v>STR-1056</v>
      </c>
      <c r="B227" s="4" t="n">
        <f aca="false">Cleaned_Data!B227</f>
        <v>45717</v>
      </c>
      <c r="C227" s="3" t="str">
        <f aca="false">Cleaned_Data!C227</f>
        <v>East</v>
      </c>
      <c r="D227" s="3" t="str">
        <f aca="false">Cleaned_Data!D227</f>
        <v>High Street</v>
      </c>
      <c r="E227" s="3" t="n">
        <f aca="false">IF($D227="Airport",1,0)</f>
        <v>0</v>
      </c>
      <c r="F227" s="3" t="n">
        <f aca="false">IF($D227="Mall",1,0)</f>
        <v>0</v>
      </c>
      <c r="G227" s="3" t="n">
        <f aca="false">IF($D227="Residential",1,0)</f>
        <v>0</v>
      </c>
      <c r="H227" s="3" t="n">
        <f aca="false">IF($C227="North",1,0)</f>
        <v>0</v>
      </c>
      <c r="I227" s="3" t="n">
        <f aca="false">IF($C227="South",1,0)</f>
        <v>0</v>
      </c>
      <c r="J227" s="3" t="n">
        <f aca="false">IF($C227="West",1,0)</f>
        <v>0</v>
      </c>
    </row>
    <row r="228" customFormat="false" ht="15" hidden="false" customHeight="true" outlineLevel="0" collapsed="false">
      <c r="A228" s="3" t="str">
        <f aca="false">Cleaned_Data!A228</f>
        <v>STR-1056</v>
      </c>
      <c r="B228" s="4" t="n">
        <f aca="false">Cleaned_Data!B228</f>
        <v>45748</v>
      </c>
      <c r="C228" s="3" t="str">
        <f aca="false">Cleaned_Data!C228</f>
        <v>East</v>
      </c>
      <c r="D228" s="3" t="str">
        <f aca="false">Cleaned_Data!D228</f>
        <v>High Street</v>
      </c>
      <c r="E228" s="3" t="n">
        <f aca="false">IF($D228="Airport",1,0)</f>
        <v>0</v>
      </c>
      <c r="F228" s="3" t="n">
        <f aca="false">IF($D228="Mall",1,0)</f>
        <v>0</v>
      </c>
      <c r="G228" s="3" t="n">
        <f aca="false">IF($D228="Residential",1,0)</f>
        <v>0</v>
      </c>
      <c r="H228" s="3" t="n">
        <f aca="false">IF($C228="North",1,0)</f>
        <v>0</v>
      </c>
      <c r="I228" s="3" t="n">
        <f aca="false">IF($C228="South",1,0)</f>
        <v>0</v>
      </c>
      <c r="J228" s="3" t="n">
        <f aca="false">IF($C228="West",1,0)</f>
        <v>0</v>
      </c>
    </row>
    <row r="229" customFormat="false" ht="15" hidden="false" customHeight="true" outlineLevel="0" collapsed="false">
      <c r="A229" s="3" t="str">
        <f aca="false">Cleaned_Data!A229</f>
        <v>STR-1057</v>
      </c>
      <c r="B229" s="4" t="n">
        <f aca="false">Cleaned_Data!B229</f>
        <v>45658</v>
      </c>
      <c r="C229" s="3" t="str">
        <f aca="false">Cleaned_Data!C229</f>
        <v>East</v>
      </c>
      <c r="D229" s="3" t="str">
        <f aca="false">Cleaned_Data!D229</f>
        <v>Mall</v>
      </c>
      <c r="E229" s="3" t="n">
        <f aca="false">IF($D229="Airport",1,0)</f>
        <v>0</v>
      </c>
      <c r="F229" s="3" t="n">
        <f aca="false">IF($D229="Mall",1,0)</f>
        <v>1</v>
      </c>
      <c r="G229" s="3" t="n">
        <f aca="false">IF($D229="Residential",1,0)</f>
        <v>0</v>
      </c>
      <c r="H229" s="3" t="n">
        <f aca="false">IF($C229="North",1,0)</f>
        <v>0</v>
      </c>
      <c r="I229" s="3" t="n">
        <f aca="false">IF($C229="South",1,0)</f>
        <v>0</v>
      </c>
      <c r="J229" s="3" t="n">
        <f aca="false">IF($C229="West",1,0)</f>
        <v>0</v>
      </c>
    </row>
    <row r="230" customFormat="false" ht="15" hidden="false" customHeight="true" outlineLevel="0" collapsed="false">
      <c r="A230" s="3" t="str">
        <f aca="false">Cleaned_Data!A230</f>
        <v>STR-1057</v>
      </c>
      <c r="B230" s="4" t="n">
        <f aca="false">Cleaned_Data!B230</f>
        <v>45689</v>
      </c>
      <c r="C230" s="3" t="str">
        <f aca="false">Cleaned_Data!C230</f>
        <v>East</v>
      </c>
      <c r="D230" s="3" t="str">
        <f aca="false">Cleaned_Data!D230</f>
        <v>Mall</v>
      </c>
      <c r="E230" s="3" t="n">
        <f aca="false">IF($D230="Airport",1,0)</f>
        <v>0</v>
      </c>
      <c r="F230" s="3" t="n">
        <f aca="false">IF($D230="Mall",1,0)</f>
        <v>1</v>
      </c>
      <c r="G230" s="3" t="n">
        <f aca="false">IF($D230="Residential",1,0)</f>
        <v>0</v>
      </c>
      <c r="H230" s="3" t="n">
        <f aca="false">IF($C230="North",1,0)</f>
        <v>0</v>
      </c>
      <c r="I230" s="3" t="n">
        <f aca="false">IF($C230="South",1,0)</f>
        <v>0</v>
      </c>
      <c r="J230" s="3" t="n">
        <f aca="false">IF($C230="West",1,0)</f>
        <v>0</v>
      </c>
    </row>
    <row r="231" customFormat="false" ht="15" hidden="false" customHeight="true" outlineLevel="0" collapsed="false">
      <c r="A231" s="3" t="str">
        <f aca="false">Cleaned_Data!A231</f>
        <v>STR-1057</v>
      </c>
      <c r="B231" s="4" t="n">
        <f aca="false">Cleaned_Data!B231</f>
        <v>45717</v>
      </c>
      <c r="C231" s="3" t="str">
        <f aca="false">Cleaned_Data!C231</f>
        <v>East</v>
      </c>
      <c r="D231" s="3" t="str">
        <f aca="false">Cleaned_Data!D231</f>
        <v>Mall</v>
      </c>
      <c r="E231" s="3" t="n">
        <f aca="false">IF($D231="Airport",1,0)</f>
        <v>0</v>
      </c>
      <c r="F231" s="3" t="n">
        <f aca="false">IF($D231="Mall",1,0)</f>
        <v>1</v>
      </c>
      <c r="G231" s="3" t="n">
        <f aca="false">IF($D231="Residential",1,0)</f>
        <v>0</v>
      </c>
      <c r="H231" s="3" t="n">
        <f aca="false">IF($C231="North",1,0)</f>
        <v>0</v>
      </c>
      <c r="I231" s="3" t="n">
        <f aca="false">IF($C231="South",1,0)</f>
        <v>0</v>
      </c>
      <c r="J231" s="3" t="n">
        <f aca="false">IF($C231="West",1,0)</f>
        <v>0</v>
      </c>
    </row>
    <row r="232" customFormat="false" ht="15" hidden="false" customHeight="true" outlineLevel="0" collapsed="false">
      <c r="A232" s="3" t="str">
        <f aca="false">Cleaned_Data!A232</f>
        <v>STR-1057</v>
      </c>
      <c r="B232" s="4" t="n">
        <f aca="false">Cleaned_Data!B232</f>
        <v>45748</v>
      </c>
      <c r="C232" s="3" t="str">
        <f aca="false">Cleaned_Data!C232</f>
        <v>East</v>
      </c>
      <c r="D232" s="3" t="str">
        <f aca="false">Cleaned_Data!D232</f>
        <v>Mall</v>
      </c>
      <c r="E232" s="3" t="n">
        <f aca="false">IF($D232="Airport",1,0)</f>
        <v>0</v>
      </c>
      <c r="F232" s="3" t="n">
        <f aca="false">IF($D232="Mall",1,0)</f>
        <v>1</v>
      </c>
      <c r="G232" s="3" t="n">
        <f aca="false">IF($D232="Residential",1,0)</f>
        <v>0</v>
      </c>
      <c r="H232" s="3" t="n">
        <f aca="false">IF($C232="North",1,0)</f>
        <v>0</v>
      </c>
      <c r="I232" s="3" t="n">
        <f aca="false">IF($C232="South",1,0)</f>
        <v>0</v>
      </c>
      <c r="J232" s="3" t="n">
        <f aca="false">IF($C232="West",1,0)</f>
        <v>0</v>
      </c>
    </row>
    <row r="233" customFormat="false" ht="15" hidden="false" customHeight="true" outlineLevel="0" collapsed="false">
      <c r="A233" s="3" t="str">
        <f aca="false">Cleaned_Data!A233</f>
        <v>STR-1058</v>
      </c>
      <c r="B233" s="4" t="n">
        <f aca="false">Cleaned_Data!B233</f>
        <v>45658</v>
      </c>
      <c r="C233" s="3" t="str">
        <f aca="false">Cleaned_Data!C233</f>
        <v>East</v>
      </c>
      <c r="D233" s="3" t="str">
        <f aca="false">Cleaned_Data!D233</f>
        <v>High Street</v>
      </c>
      <c r="E233" s="3" t="n">
        <f aca="false">IF($D233="Airport",1,0)</f>
        <v>0</v>
      </c>
      <c r="F233" s="3" t="n">
        <f aca="false">IF($D233="Mall",1,0)</f>
        <v>0</v>
      </c>
      <c r="G233" s="3" t="n">
        <f aca="false">IF($D233="Residential",1,0)</f>
        <v>0</v>
      </c>
      <c r="H233" s="3" t="n">
        <f aca="false">IF($C233="North",1,0)</f>
        <v>0</v>
      </c>
      <c r="I233" s="3" t="n">
        <f aca="false">IF($C233="South",1,0)</f>
        <v>0</v>
      </c>
      <c r="J233" s="3" t="n">
        <f aca="false">IF($C233="West",1,0)</f>
        <v>0</v>
      </c>
    </row>
    <row r="234" customFormat="false" ht="15" hidden="false" customHeight="true" outlineLevel="0" collapsed="false">
      <c r="A234" s="3" t="str">
        <f aca="false">Cleaned_Data!A234</f>
        <v>STR-1058</v>
      </c>
      <c r="B234" s="4" t="n">
        <f aca="false">Cleaned_Data!B234</f>
        <v>45689</v>
      </c>
      <c r="C234" s="3" t="str">
        <f aca="false">Cleaned_Data!C234</f>
        <v>East</v>
      </c>
      <c r="D234" s="3" t="str">
        <f aca="false">Cleaned_Data!D234</f>
        <v>High Street</v>
      </c>
      <c r="E234" s="3" t="n">
        <f aca="false">IF($D234="Airport",1,0)</f>
        <v>0</v>
      </c>
      <c r="F234" s="3" t="n">
        <f aca="false">IF($D234="Mall",1,0)</f>
        <v>0</v>
      </c>
      <c r="G234" s="3" t="n">
        <f aca="false">IF($D234="Residential",1,0)</f>
        <v>0</v>
      </c>
      <c r="H234" s="3" t="n">
        <f aca="false">IF($C234="North",1,0)</f>
        <v>0</v>
      </c>
      <c r="I234" s="3" t="n">
        <f aca="false">IF($C234="South",1,0)</f>
        <v>0</v>
      </c>
      <c r="J234" s="3" t="n">
        <f aca="false">IF($C234="West",1,0)</f>
        <v>0</v>
      </c>
    </row>
    <row r="235" customFormat="false" ht="15" hidden="false" customHeight="true" outlineLevel="0" collapsed="false">
      <c r="A235" s="3" t="str">
        <f aca="false">Cleaned_Data!A235</f>
        <v>STR-1058</v>
      </c>
      <c r="B235" s="4" t="n">
        <f aca="false">Cleaned_Data!B235</f>
        <v>45717</v>
      </c>
      <c r="C235" s="3" t="str">
        <f aca="false">Cleaned_Data!C235</f>
        <v>East</v>
      </c>
      <c r="D235" s="3" t="str">
        <f aca="false">Cleaned_Data!D235</f>
        <v>High Street</v>
      </c>
      <c r="E235" s="3" t="n">
        <f aca="false">IF($D235="Airport",1,0)</f>
        <v>0</v>
      </c>
      <c r="F235" s="3" t="n">
        <f aca="false">IF($D235="Mall",1,0)</f>
        <v>0</v>
      </c>
      <c r="G235" s="3" t="n">
        <f aca="false">IF($D235="Residential",1,0)</f>
        <v>0</v>
      </c>
      <c r="H235" s="3" t="n">
        <f aca="false">IF($C235="North",1,0)</f>
        <v>0</v>
      </c>
      <c r="I235" s="3" t="n">
        <f aca="false">IF($C235="South",1,0)</f>
        <v>0</v>
      </c>
      <c r="J235" s="3" t="n">
        <f aca="false">IF($C235="West",1,0)</f>
        <v>0</v>
      </c>
    </row>
    <row r="236" customFormat="false" ht="15" hidden="false" customHeight="true" outlineLevel="0" collapsed="false">
      <c r="A236" s="3" t="str">
        <f aca="false">Cleaned_Data!A236</f>
        <v>STR-1058</v>
      </c>
      <c r="B236" s="4" t="n">
        <f aca="false">Cleaned_Data!B236</f>
        <v>45748</v>
      </c>
      <c r="C236" s="3" t="str">
        <f aca="false">Cleaned_Data!C236</f>
        <v>East</v>
      </c>
      <c r="D236" s="3" t="str">
        <f aca="false">Cleaned_Data!D236</f>
        <v>High Street</v>
      </c>
      <c r="E236" s="3" t="n">
        <f aca="false">IF($D236="Airport",1,0)</f>
        <v>0</v>
      </c>
      <c r="F236" s="3" t="n">
        <f aca="false">IF($D236="Mall",1,0)</f>
        <v>0</v>
      </c>
      <c r="G236" s="3" t="n">
        <f aca="false">IF($D236="Residential",1,0)</f>
        <v>0</v>
      </c>
      <c r="H236" s="3" t="n">
        <f aca="false">IF($C236="North",1,0)</f>
        <v>0</v>
      </c>
      <c r="I236" s="3" t="n">
        <f aca="false">IF($C236="South",1,0)</f>
        <v>0</v>
      </c>
      <c r="J236" s="3" t="n">
        <f aca="false">IF($C236="West",1,0)</f>
        <v>0</v>
      </c>
    </row>
    <row r="237" customFormat="false" ht="15" hidden="false" customHeight="true" outlineLevel="0" collapsed="false">
      <c r="A237" s="3" t="str">
        <f aca="false">Cleaned_Data!A237</f>
        <v>STR-1059</v>
      </c>
      <c r="B237" s="4" t="n">
        <f aca="false">Cleaned_Data!B237</f>
        <v>45658</v>
      </c>
      <c r="C237" s="3" t="str">
        <f aca="false">Cleaned_Data!C237</f>
        <v>West</v>
      </c>
      <c r="D237" s="3" t="str">
        <f aca="false">Cleaned_Data!D237</f>
        <v>Residential</v>
      </c>
      <c r="E237" s="3" t="n">
        <f aca="false">IF($D237="Airport",1,0)</f>
        <v>0</v>
      </c>
      <c r="F237" s="3" t="n">
        <f aca="false">IF($D237="Mall",1,0)</f>
        <v>0</v>
      </c>
      <c r="G237" s="3" t="n">
        <f aca="false">IF($D237="Residential",1,0)</f>
        <v>1</v>
      </c>
      <c r="H237" s="3" t="n">
        <f aca="false">IF($C237="North",1,0)</f>
        <v>0</v>
      </c>
      <c r="I237" s="3" t="n">
        <f aca="false">IF($C237="South",1,0)</f>
        <v>0</v>
      </c>
      <c r="J237" s="3" t="n">
        <f aca="false">IF($C237="West",1,0)</f>
        <v>1</v>
      </c>
    </row>
    <row r="238" customFormat="false" ht="15" hidden="false" customHeight="true" outlineLevel="0" collapsed="false">
      <c r="A238" s="3" t="str">
        <f aca="false">Cleaned_Data!A238</f>
        <v>STR-1059</v>
      </c>
      <c r="B238" s="4" t="n">
        <f aca="false">Cleaned_Data!B238</f>
        <v>45689</v>
      </c>
      <c r="C238" s="3" t="str">
        <f aca="false">Cleaned_Data!C238</f>
        <v>West</v>
      </c>
      <c r="D238" s="3" t="str">
        <f aca="false">Cleaned_Data!D238</f>
        <v>Residential</v>
      </c>
      <c r="E238" s="3" t="n">
        <f aca="false">IF($D238="Airport",1,0)</f>
        <v>0</v>
      </c>
      <c r="F238" s="3" t="n">
        <f aca="false">IF($D238="Mall",1,0)</f>
        <v>0</v>
      </c>
      <c r="G238" s="3" t="n">
        <f aca="false">IF($D238="Residential",1,0)</f>
        <v>1</v>
      </c>
      <c r="H238" s="3" t="n">
        <f aca="false">IF($C238="North",1,0)</f>
        <v>0</v>
      </c>
      <c r="I238" s="3" t="n">
        <f aca="false">IF($C238="South",1,0)</f>
        <v>0</v>
      </c>
      <c r="J238" s="3" t="n">
        <f aca="false">IF($C238="West",1,0)</f>
        <v>1</v>
      </c>
    </row>
    <row r="239" customFormat="false" ht="15" hidden="false" customHeight="true" outlineLevel="0" collapsed="false">
      <c r="A239" s="3" t="str">
        <f aca="false">Cleaned_Data!A239</f>
        <v>STR-1059</v>
      </c>
      <c r="B239" s="4" t="n">
        <f aca="false">Cleaned_Data!B239</f>
        <v>45717</v>
      </c>
      <c r="C239" s="3" t="str">
        <f aca="false">Cleaned_Data!C239</f>
        <v>West</v>
      </c>
      <c r="D239" s="3" t="str">
        <f aca="false">Cleaned_Data!D239</f>
        <v>Residential</v>
      </c>
      <c r="E239" s="3" t="n">
        <f aca="false">IF($D239="Airport",1,0)</f>
        <v>0</v>
      </c>
      <c r="F239" s="3" t="n">
        <f aca="false">IF($D239="Mall",1,0)</f>
        <v>0</v>
      </c>
      <c r="G239" s="3" t="n">
        <f aca="false">IF($D239="Residential",1,0)</f>
        <v>1</v>
      </c>
      <c r="H239" s="3" t="n">
        <f aca="false">IF($C239="North",1,0)</f>
        <v>0</v>
      </c>
      <c r="I239" s="3" t="n">
        <f aca="false">IF($C239="South",1,0)</f>
        <v>0</v>
      </c>
      <c r="J239" s="3" t="n">
        <f aca="false">IF($C239="West",1,0)</f>
        <v>1</v>
      </c>
    </row>
    <row r="240" customFormat="false" ht="15" hidden="false" customHeight="true" outlineLevel="0" collapsed="false">
      <c r="A240" s="3" t="str">
        <f aca="false">Cleaned_Data!A240</f>
        <v>STR-1059</v>
      </c>
      <c r="B240" s="4" t="n">
        <f aca="false">Cleaned_Data!B240</f>
        <v>45748</v>
      </c>
      <c r="C240" s="3" t="str">
        <f aca="false">Cleaned_Data!C240</f>
        <v>West</v>
      </c>
      <c r="D240" s="3" t="str">
        <f aca="false">Cleaned_Data!D240</f>
        <v>Residential</v>
      </c>
      <c r="E240" s="3" t="n">
        <f aca="false">IF($D240="Airport",1,0)</f>
        <v>0</v>
      </c>
      <c r="F240" s="3" t="n">
        <f aca="false">IF($D240="Mall",1,0)</f>
        <v>0</v>
      </c>
      <c r="G240" s="3" t="n">
        <f aca="false">IF($D240="Residential",1,0)</f>
        <v>1</v>
      </c>
      <c r="H240" s="3" t="n">
        <f aca="false">IF($C240="North",1,0)</f>
        <v>0</v>
      </c>
      <c r="I240" s="3" t="n">
        <f aca="false">IF($C240="South",1,0)</f>
        <v>0</v>
      </c>
      <c r="J240" s="3" t="n">
        <f aca="false">IF($C240="West",1,0)</f>
        <v>1</v>
      </c>
    </row>
    <row r="241" customFormat="false" ht="15" hidden="false" customHeight="true" outlineLevel="0" collapsed="false">
      <c r="A241" s="3" t="str">
        <f aca="false">Cleaned_Data!A241</f>
        <v>STR-1060</v>
      </c>
      <c r="B241" s="4" t="n">
        <f aca="false">Cleaned_Data!B241</f>
        <v>45658</v>
      </c>
      <c r="C241" s="3" t="str">
        <f aca="false">Cleaned_Data!C241</f>
        <v>West</v>
      </c>
      <c r="D241" s="3" t="str">
        <f aca="false">Cleaned_Data!D241</f>
        <v>Mall</v>
      </c>
      <c r="E241" s="3" t="n">
        <f aca="false">IF($D241="Airport",1,0)</f>
        <v>0</v>
      </c>
      <c r="F241" s="3" t="n">
        <f aca="false">IF($D241="Mall",1,0)</f>
        <v>1</v>
      </c>
      <c r="G241" s="3" t="n">
        <f aca="false">IF($D241="Residential",1,0)</f>
        <v>0</v>
      </c>
      <c r="H241" s="3" t="n">
        <f aca="false">IF($C241="North",1,0)</f>
        <v>0</v>
      </c>
      <c r="I241" s="3" t="n">
        <f aca="false">IF($C241="South",1,0)</f>
        <v>0</v>
      </c>
      <c r="J241" s="3" t="n">
        <f aca="false">IF($C241="West",1,0)</f>
        <v>1</v>
      </c>
    </row>
    <row r="242" customFormat="false" ht="15" hidden="false" customHeight="true" outlineLevel="0" collapsed="false">
      <c r="A242" s="3" t="str">
        <f aca="false">Cleaned_Data!A242</f>
        <v>STR-1060</v>
      </c>
      <c r="B242" s="4" t="n">
        <f aca="false">Cleaned_Data!B242</f>
        <v>45689</v>
      </c>
      <c r="C242" s="3" t="str">
        <f aca="false">Cleaned_Data!C242</f>
        <v>West</v>
      </c>
      <c r="D242" s="3" t="str">
        <f aca="false">Cleaned_Data!D242</f>
        <v>Mall</v>
      </c>
      <c r="E242" s="3" t="n">
        <f aca="false">IF($D242="Airport",1,0)</f>
        <v>0</v>
      </c>
      <c r="F242" s="3" t="n">
        <f aca="false">IF($D242="Mall",1,0)</f>
        <v>1</v>
      </c>
      <c r="G242" s="3" t="n">
        <f aca="false">IF($D242="Residential",1,0)</f>
        <v>0</v>
      </c>
      <c r="H242" s="3" t="n">
        <f aca="false">IF($C242="North",1,0)</f>
        <v>0</v>
      </c>
      <c r="I242" s="3" t="n">
        <f aca="false">IF($C242="South",1,0)</f>
        <v>0</v>
      </c>
      <c r="J242" s="3" t="n">
        <f aca="false">IF($C242="West",1,0)</f>
        <v>1</v>
      </c>
    </row>
    <row r="243" customFormat="false" ht="15" hidden="false" customHeight="true" outlineLevel="0" collapsed="false">
      <c r="A243" s="3" t="str">
        <f aca="false">Cleaned_Data!A243</f>
        <v>STR-1060</v>
      </c>
      <c r="B243" s="4" t="n">
        <f aca="false">Cleaned_Data!B243</f>
        <v>45717</v>
      </c>
      <c r="C243" s="3" t="str">
        <f aca="false">Cleaned_Data!C243</f>
        <v>West</v>
      </c>
      <c r="D243" s="3" t="str">
        <f aca="false">Cleaned_Data!D243</f>
        <v>Mall</v>
      </c>
      <c r="E243" s="3" t="n">
        <f aca="false">IF($D243="Airport",1,0)</f>
        <v>0</v>
      </c>
      <c r="F243" s="3" t="n">
        <f aca="false">IF($D243="Mall",1,0)</f>
        <v>1</v>
      </c>
      <c r="G243" s="3" t="n">
        <f aca="false">IF($D243="Residential",1,0)</f>
        <v>0</v>
      </c>
      <c r="H243" s="3" t="n">
        <f aca="false">IF($C243="North",1,0)</f>
        <v>0</v>
      </c>
      <c r="I243" s="3" t="n">
        <f aca="false">IF($C243="South",1,0)</f>
        <v>0</v>
      </c>
      <c r="J243" s="3" t="n">
        <f aca="false">IF($C243="West",1,0)</f>
        <v>1</v>
      </c>
    </row>
    <row r="244" customFormat="false" ht="15" hidden="false" customHeight="true" outlineLevel="0" collapsed="false">
      <c r="A244" s="3" t="str">
        <f aca="false">Cleaned_Data!A244</f>
        <v>STR-1060</v>
      </c>
      <c r="B244" s="4" t="n">
        <f aca="false">Cleaned_Data!B244</f>
        <v>45748</v>
      </c>
      <c r="C244" s="3" t="str">
        <f aca="false">Cleaned_Data!C244</f>
        <v>West</v>
      </c>
      <c r="D244" s="3" t="str">
        <f aca="false">Cleaned_Data!D244</f>
        <v>Mall</v>
      </c>
      <c r="E244" s="3" t="n">
        <f aca="false">IF($D244="Airport",1,0)</f>
        <v>0</v>
      </c>
      <c r="F244" s="3" t="n">
        <f aca="false">IF($D244="Mall",1,0)</f>
        <v>1</v>
      </c>
      <c r="G244" s="3" t="n">
        <f aca="false">IF($D244="Residential",1,0)</f>
        <v>0</v>
      </c>
      <c r="H244" s="3" t="n">
        <f aca="false">IF($C244="North",1,0)</f>
        <v>0</v>
      </c>
      <c r="I244" s="3" t="n">
        <f aca="false">IF($C244="South",1,0)</f>
        <v>0</v>
      </c>
      <c r="J244" s="3" t="n">
        <f aca="false">IF($C244="West",1,0)</f>
        <v>1</v>
      </c>
    </row>
    <row r="245" customFormat="false" ht="15" hidden="false" customHeight="true" outlineLevel="0" collapsed="false">
      <c r="A245" s="3" t="str">
        <f aca="false">Cleaned_Data!A245</f>
        <v>STR-1061</v>
      </c>
      <c r="B245" s="4" t="n">
        <f aca="false">Cleaned_Data!B245</f>
        <v>45658</v>
      </c>
      <c r="C245" s="3" t="str">
        <f aca="false">Cleaned_Data!C245</f>
        <v>South</v>
      </c>
      <c r="D245" s="3" t="str">
        <f aca="false">Cleaned_Data!D245</f>
        <v>Airport</v>
      </c>
      <c r="E245" s="3" t="n">
        <f aca="false">IF($D245="Airport",1,0)</f>
        <v>1</v>
      </c>
      <c r="F245" s="3" t="n">
        <f aca="false">IF($D245="Mall",1,0)</f>
        <v>0</v>
      </c>
      <c r="G245" s="3" t="n">
        <f aca="false">IF($D245="Residential",1,0)</f>
        <v>0</v>
      </c>
      <c r="H245" s="3" t="n">
        <f aca="false">IF($C245="North",1,0)</f>
        <v>0</v>
      </c>
      <c r="I245" s="3" t="n">
        <f aca="false">IF($C245="South",1,0)</f>
        <v>1</v>
      </c>
      <c r="J245" s="3" t="n">
        <f aca="false">IF($C245="West",1,0)</f>
        <v>0</v>
      </c>
    </row>
    <row r="246" customFormat="false" ht="15" hidden="false" customHeight="true" outlineLevel="0" collapsed="false">
      <c r="A246" s="3" t="str">
        <f aca="false">Cleaned_Data!A246</f>
        <v>STR-1061</v>
      </c>
      <c r="B246" s="4" t="n">
        <f aca="false">Cleaned_Data!B246</f>
        <v>45689</v>
      </c>
      <c r="C246" s="3" t="str">
        <f aca="false">Cleaned_Data!C246</f>
        <v>South</v>
      </c>
      <c r="D246" s="3" t="str">
        <f aca="false">Cleaned_Data!D246</f>
        <v>Airport</v>
      </c>
      <c r="E246" s="3" t="n">
        <f aca="false">IF($D246="Airport",1,0)</f>
        <v>1</v>
      </c>
      <c r="F246" s="3" t="n">
        <f aca="false">IF($D246="Mall",1,0)</f>
        <v>0</v>
      </c>
      <c r="G246" s="3" t="n">
        <f aca="false">IF($D246="Residential",1,0)</f>
        <v>0</v>
      </c>
      <c r="H246" s="3" t="n">
        <f aca="false">IF($C246="North",1,0)</f>
        <v>0</v>
      </c>
      <c r="I246" s="3" t="n">
        <f aca="false">IF($C246="South",1,0)</f>
        <v>1</v>
      </c>
      <c r="J246" s="3" t="n">
        <f aca="false">IF($C246="West",1,0)</f>
        <v>0</v>
      </c>
    </row>
    <row r="247" customFormat="false" ht="15" hidden="false" customHeight="true" outlineLevel="0" collapsed="false">
      <c r="A247" s="3" t="str">
        <f aca="false">Cleaned_Data!A247</f>
        <v>STR-1061</v>
      </c>
      <c r="B247" s="4" t="n">
        <f aca="false">Cleaned_Data!B247</f>
        <v>45717</v>
      </c>
      <c r="C247" s="3" t="str">
        <f aca="false">Cleaned_Data!C247</f>
        <v>South</v>
      </c>
      <c r="D247" s="3" t="str">
        <f aca="false">Cleaned_Data!D247</f>
        <v>Airport</v>
      </c>
      <c r="E247" s="3" t="n">
        <f aca="false">IF($D247="Airport",1,0)</f>
        <v>1</v>
      </c>
      <c r="F247" s="3" t="n">
        <f aca="false">IF($D247="Mall",1,0)</f>
        <v>0</v>
      </c>
      <c r="G247" s="3" t="n">
        <f aca="false">IF($D247="Residential",1,0)</f>
        <v>0</v>
      </c>
      <c r="H247" s="3" t="n">
        <f aca="false">IF($C247="North",1,0)</f>
        <v>0</v>
      </c>
      <c r="I247" s="3" t="n">
        <f aca="false">IF($C247="South",1,0)</f>
        <v>1</v>
      </c>
      <c r="J247" s="3" t="n">
        <f aca="false">IF($C247="West",1,0)</f>
        <v>0</v>
      </c>
    </row>
    <row r="248" customFormat="false" ht="15" hidden="false" customHeight="true" outlineLevel="0" collapsed="false">
      <c r="A248" s="3" t="str">
        <f aca="false">Cleaned_Data!A248</f>
        <v>STR-1061</v>
      </c>
      <c r="B248" s="4" t="n">
        <f aca="false">Cleaned_Data!B248</f>
        <v>45748</v>
      </c>
      <c r="C248" s="3" t="str">
        <f aca="false">Cleaned_Data!C248</f>
        <v>South</v>
      </c>
      <c r="D248" s="3" t="str">
        <f aca="false">Cleaned_Data!D248</f>
        <v>Airport</v>
      </c>
      <c r="E248" s="3" t="n">
        <f aca="false">IF($D248="Airport",1,0)</f>
        <v>1</v>
      </c>
      <c r="F248" s="3" t="n">
        <f aca="false">IF($D248="Mall",1,0)</f>
        <v>0</v>
      </c>
      <c r="G248" s="3" t="n">
        <f aca="false">IF($D248="Residential",1,0)</f>
        <v>0</v>
      </c>
      <c r="H248" s="3" t="n">
        <f aca="false">IF($C248="North",1,0)</f>
        <v>0</v>
      </c>
      <c r="I248" s="3" t="n">
        <f aca="false">IF($C248="South",1,0)</f>
        <v>1</v>
      </c>
      <c r="J248" s="3" t="n">
        <f aca="false">IF($C248="West",1,0)</f>
        <v>0</v>
      </c>
    </row>
    <row r="249" customFormat="false" ht="15" hidden="false" customHeight="true" outlineLevel="0" collapsed="false">
      <c r="A249" s="3" t="str">
        <f aca="false">Cleaned_Data!A249</f>
        <v>STR-1062</v>
      </c>
      <c r="B249" s="4" t="n">
        <f aca="false">Cleaned_Data!B249</f>
        <v>45658</v>
      </c>
      <c r="C249" s="3" t="str">
        <f aca="false">Cleaned_Data!C249</f>
        <v>East</v>
      </c>
      <c r="D249" s="3" t="str">
        <f aca="false">Cleaned_Data!D249</f>
        <v>High Street</v>
      </c>
      <c r="E249" s="3" t="n">
        <f aca="false">IF($D249="Airport",1,0)</f>
        <v>0</v>
      </c>
      <c r="F249" s="3" t="n">
        <f aca="false">IF($D249="Mall",1,0)</f>
        <v>0</v>
      </c>
      <c r="G249" s="3" t="n">
        <f aca="false">IF($D249="Residential",1,0)</f>
        <v>0</v>
      </c>
      <c r="H249" s="3" t="n">
        <f aca="false">IF($C249="North",1,0)</f>
        <v>0</v>
      </c>
      <c r="I249" s="3" t="n">
        <f aca="false">IF($C249="South",1,0)</f>
        <v>0</v>
      </c>
      <c r="J249" s="3" t="n">
        <f aca="false">IF($C249="West",1,0)</f>
        <v>0</v>
      </c>
    </row>
    <row r="250" customFormat="false" ht="15" hidden="false" customHeight="true" outlineLevel="0" collapsed="false">
      <c r="A250" s="3" t="str">
        <f aca="false">Cleaned_Data!A250</f>
        <v>STR-1062</v>
      </c>
      <c r="B250" s="4" t="n">
        <f aca="false">Cleaned_Data!B250</f>
        <v>45689</v>
      </c>
      <c r="C250" s="3" t="str">
        <f aca="false">Cleaned_Data!C250</f>
        <v>East</v>
      </c>
      <c r="D250" s="3" t="str">
        <f aca="false">Cleaned_Data!D250</f>
        <v>High Street</v>
      </c>
      <c r="E250" s="3" t="n">
        <f aca="false">IF($D250="Airport",1,0)</f>
        <v>0</v>
      </c>
      <c r="F250" s="3" t="n">
        <f aca="false">IF($D250="Mall",1,0)</f>
        <v>0</v>
      </c>
      <c r="G250" s="3" t="n">
        <f aca="false">IF($D250="Residential",1,0)</f>
        <v>0</v>
      </c>
      <c r="H250" s="3" t="n">
        <f aca="false">IF($C250="North",1,0)</f>
        <v>0</v>
      </c>
      <c r="I250" s="3" t="n">
        <f aca="false">IF($C250="South",1,0)</f>
        <v>0</v>
      </c>
      <c r="J250" s="3" t="n">
        <f aca="false">IF($C250="West",1,0)</f>
        <v>0</v>
      </c>
    </row>
    <row r="251" customFormat="false" ht="15" hidden="false" customHeight="true" outlineLevel="0" collapsed="false">
      <c r="A251" s="3" t="str">
        <f aca="false">Cleaned_Data!A251</f>
        <v>STR-1062</v>
      </c>
      <c r="B251" s="4" t="n">
        <f aca="false">Cleaned_Data!B251</f>
        <v>45717</v>
      </c>
      <c r="C251" s="3" t="str">
        <f aca="false">Cleaned_Data!C251</f>
        <v>East</v>
      </c>
      <c r="D251" s="3" t="str">
        <f aca="false">Cleaned_Data!D251</f>
        <v>High Street</v>
      </c>
      <c r="E251" s="3" t="n">
        <f aca="false">IF($D251="Airport",1,0)</f>
        <v>0</v>
      </c>
      <c r="F251" s="3" t="n">
        <f aca="false">IF($D251="Mall",1,0)</f>
        <v>0</v>
      </c>
      <c r="G251" s="3" t="n">
        <f aca="false">IF($D251="Residential",1,0)</f>
        <v>0</v>
      </c>
      <c r="H251" s="3" t="n">
        <f aca="false">IF($C251="North",1,0)</f>
        <v>0</v>
      </c>
      <c r="I251" s="3" t="n">
        <f aca="false">IF($C251="South",1,0)</f>
        <v>0</v>
      </c>
      <c r="J251" s="3" t="n">
        <f aca="false">IF($C251="West",1,0)</f>
        <v>0</v>
      </c>
    </row>
    <row r="252" customFormat="false" ht="15" hidden="false" customHeight="true" outlineLevel="0" collapsed="false">
      <c r="A252" s="3" t="str">
        <f aca="false">Cleaned_Data!A252</f>
        <v>STR-1062</v>
      </c>
      <c r="B252" s="4" t="n">
        <f aca="false">Cleaned_Data!B252</f>
        <v>45748</v>
      </c>
      <c r="C252" s="3" t="str">
        <f aca="false">Cleaned_Data!C252</f>
        <v>East</v>
      </c>
      <c r="D252" s="3" t="str">
        <f aca="false">Cleaned_Data!D252</f>
        <v>High Street</v>
      </c>
      <c r="E252" s="3" t="n">
        <f aca="false">IF($D252="Airport",1,0)</f>
        <v>0</v>
      </c>
      <c r="F252" s="3" t="n">
        <f aca="false">IF($D252="Mall",1,0)</f>
        <v>0</v>
      </c>
      <c r="G252" s="3" t="n">
        <f aca="false">IF($D252="Residential",1,0)</f>
        <v>0</v>
      </c>
      <c r="H252" s="3" t="n">
        <f aca="false">IF($C252="North",1,0)</f>
        <v>0</v>
      </c>
      <c r="I252" s="3" t="n">
        <f aca="false">IF($C252="South",1,0)</f>
        <v>0</v>
      </c>
      <c r="J252" s="3" t="n">
        <f aca="false">IF($C252="West",1,0)</f>
        <v>0</v>
      </c>
    </row>
    <row r="253" customFormat="false" ht="15" hidden="false" customHeight="true" outlineLevel="0" collapsed="false">
      <c r="A253" s="3" t="str">
        <f aca="false">Cleaned_Data!A253</f>
        <v>STR-1063</v>
      </c>
      <c r="B253" s="4" t="n">
        <f aca="false">Cleaned_Data!B253</f>
        <v>45658</v>
      </c>
      <c r="C253" s="3" t="str">
        <f aca="false">Cleaned_Data!C253</f>
        <v>North</v>
      </c>
      <c r="D253" s="3" t="str">
        <f aca="false">Cleaned_Data!D253</f>
        <v>High Street</v>
      </c>
      <c r="E253" s="3" t="n">
        <f aca="false">IF($D253="Airport",1,0)</f>
        <v>0</v>
      </c>
      <c r="F253" s="3" t="n">
        <f aca="false">IF($D253="Mall",1,0)</f>
        <v>0</v>
      </c>
      <c r="G253" s="3" t="n">
        <f aca="false">IF($D253="Residential",1,0)</f>
        <v>0</v>
      </c>
      <c r="H253" s="3" t="n">
        <f aca="false">IF($C253="North",1,0)</f>
        <v>1</v>
      </c>
      <c r="I253" s="3" t="n">
        <f aca="false">IF($C253="South",1,0)</f>
        <v>0</v>
      </c>
      <c r="J253" s="3" t="n">
        <f aca="false">IF($C253="West",1,0)</f>
        <v>0</v>
      </c>
    </row>
    <row r="254" customFormat="false" ht="15" hidden="false" customHeight="true" outlineLevel="0" collapsed="false">
      <c r="A254" s="3" t="str">
        <f aca="false">Cleaned_Data!A254</f>
        <v>STR-1063</v>
      </c>
      <c r="B254" s="4" t="n">
        <f aca="false">Cleaned_Data!B254</f>
        <v>45689</v>
      </c>
      <c r="C254" s="3" t="str">
        <f aca="false">Cleaned_Data!C254</f>
        <v>North</v>
      </c>
      <c r="D254" s="3" t="str">
        <f aca="false">Cleaned_Data!D254</f>
        <v>High Street</v>
      </c>
      <c r="E254" s="3" t="n">
        <f aca="false">IF($D254="Airport",1,0)</f>
        <v>0</v>
      </c>
      <c r="F254" s="3" t="n">
        <f aca="false">IF($D254="Mall",1,0)</f>
        <v>0</v>
      </c>
      <c r="G254" s="3" t="n">
        <f aca="false">IF($D254="Residential",1,0)</f>
        <v>0</v>
      </c>
      <c r="H254" s="3" t="n">
        <f aca="false">IF($C254="North",1,0)</f>
        <v>1</v>
      </c>
      <c r="I254" s="3" t="n">
        <f aca="false">IF($C254="South",1,0)</f>
        <v>0</v>
      </c>
      <c r="J254" s="3" t="n">
        <f aca="false">IF($C254="West",1,0)</f>
        <v>0</v>
      </c>
    </row>
    <row r="255" customFormat="false" ht="15" hidden="false" customHeight="true" outlineLevel="0" collapsed="false">
      <c r="A255" s="3" t="str">
        <f aca="false">Cleaned_Data!A255</f>
        <v>STR-1063</v>
      </c>
      <c r="B255" s="4" t="n">
        <f aca="false">Cleaned_Data!B255</f>
        <v>45717</v>
      </c>
      <c r="C255" s="3" t="str">
        <f aca="false">Cleaned_Data!C255</f>
        <v>North</v>
      </c>
      <c r="D255" s="3" t="str">
        <f aca="false">Cleaned_Data!D255</f>
        <v>High Street</v>
      </c>
      <c r="E255" s="3" t="n">
        <f aca="false">IF($D255="Airport",1,0)</f>
        <v>0</v>
      </c>
      <c r="F255" s="3" t="n">
        <f aca="false">IF($D255="Mall",1,0)</f>
        <v>0</v>
      </c>
      <c r="G255" s="3" t="n">
        <f aca="false">IF($D255="Residential",1,0)</f>
        <v>0</v>
      </c>
      <c r="H255" s="3" t="n">
        <f aca="false">IF($C255="North",1,0)</f>
        <v>1</v>
      </c>
      <c r="I255" s="3" t="n">
        <f aca="false">IF($C255="South",1,0)</f>
        <v>0</v>
      </c>
      <c r="J255" s="3" t="n">
        <f aca="false">IF($C255="West",1,0)</f>
        <v>0</v>
      </c>
    </row>
    <row r="256" customFormat="false" ht="15" hidden="false" customHeight="true" outlineLevel="0" collapsed="false">
      <c r="A256" s="3" t="str">
        <f aca="false">Cleaned_Data!A256</f>
        <v>STR-1063</v>
      </c>
      <c r="B256" s="4" t="n">
        <f aca="false">Cleaned_Data!B256</f>
        <v>45748</v>
      </c>
      <c r="C256" s="3" t="str">
        <f aca="false">Cleaned_Data!C256</f>
        <v>North</v>
      </c>
      <c r="D256" s="3" t="str">
        <f aca="false">Cleaned_Data!D256</f>
        <v>High Street</v>
      </c>
      <c r="E256" s="3" t="n">
        <f aca="false">IF($D256="Airport",1,0)</f>
        <v>0</v>
      </c>
      <c r="F256" s="3" t="n">
        <f aca="false">IF($D256="Mall",1,0)</f>
        <v>0</v>
      </c>
      <c r="G256" s="3" t="n">
        <f aca="false">IF($D256="Residential",1,0)</f>
        <v>0</v>
      </c>
      <c r="H256" s="3" t="n">
        <f aca="false">IF($C256="North",1,0)</f>
        <v>1</v>
      </c>
      <c r="I256" s="3" t="n">
        <f aca="false">IF($C256="South",1,0)</f>
        <v>0</v>
      </c>
      <c r="J256" s="3" t="n">
        <f aca="false">IF($C256="West",1,0)</f>
        <v>0</v>
      </c>
    </row>
    <row r="257" customFormat="false" ht="15" hidden="false" customHeight="true" outlineLevel="0" collapsed="false">
      <c r="A257" s="3" t="str">
        <f aca="false">Cleaned_Data!A257</f>
        <v>STR-1064</v>
      </c>
      <c r="B257" s="4" t="n">
        <f aca="false">Cleaned_Data!B257</f>
        <v>45658</v>
      </c>
      <c r="C257" s="3" t="str">
        <f aca="false">Cleaned_Data!C257</f>
        <v>South</v>
      </c>
      <c r="D257" s="3" t="str">
        <f aca="false">Cleaned_Data!D257</f>
        <v>Airport</v>
      </c>
      <c r="E257" s="3" t="n">
        <f aca="false">IF($D257="Airport",1,0)</f>
        <v>1</v>
      </c>
      <c r="F257" s="3" t="n">
        <f aca="false">IF($D257="Mall",1,0)</f>
        <v>0</v>
      </c>
      <c r="G257" s="3" t="n">
        <f aca="false">IF($D257="Residential",1,0)</f>
        <v>0</v>
      </c>
      <c r="H257" s="3" t="n">
        <f aca="false">IF($C257="North",1,0)</f>
        <v>0</v>
      </c>
      <c r="I257" s="3" t="n">
        <f aca="false">IF($C257="South",1,0)</f>
        <v>1</v>
      </c>
      <c r="J257" s="3" t="n">
        <f aca="false">IF($C257="West",1,0)</f>
        <v>0</v>
      </c>
    </row>
    <row r="258" customFormat="false" ht="15" hidden="false" customHeight="true" outlineLevel="0" collapsed="false">
      <c r="A258" s="3" t="str">
        <f aca="false">Cleaned_Data!A258</f>
        <v>STR-1064</v>
      </c>
      <c r="B258" s="4" t="n">
        <f aca="false">Cleaned_Data!B258</f>
        <v>45689</v>
      </c>
      <c r="C258" s="3" t="str">
        <f aca="false">Cleaned_Data!C258</f>
        <v>South</v>
      </c>
      <c r="D258" s="3" t="str">
        <f aca="false">Cleaned_Data!D258</f>
        <v>Airport</v>
      </c>
      <c r="E258" s="3" t="n">
        <f aca="false">IF($D258="Airport",1,0)</f>
        <v>1</v>
      </c>
      <c r="F258" s="3" t="n">
        <f aca="false">IF($D258="Mall",1,0)</f>
        <v>0</v>
      </c>
      <c r="G258" s="3" t="n">
        <f aca="false">IF($D258="Residential",1,0)</f>
        <v>0</v>
      </c>
      <c r="H258" s="3" t="n">
        <f aca="false">IF($C258="North",1,0)</f>
        <v>0</v>
      </c>
      <c r="I258" s="3" t="n">
        <f aca="false">IF($C258="South",1,0)</f>
        <v>1</v>
      </c>
      <c r="J258" s="3" t="n">
        <f aca="false">IF($C258="West",1,0)</f>
        <v>0</v>
      </c>
    </row>
    <row r="259" customFormat="false" ht="15" hidden="false" customHeight="true" outlineLevel="0" collapsed="false">
      <c r="A259" s="3" t="str">
        <f aca="false">Cleaned_Data!A259</f>
        <v>STR-1064</v>
      </c>
      <c r="B259" s="4" t="n">
        <f aca="false">Cleaned_Data!B259</f>
        <v>45717</v>
      </c>
      <c r="C259" s="3" t="str">
        <f aca="false">Cleaned_Data!C259</f>
        <v>South</v>
      </c>
      <c r="D259" s="3" t="str">
        <f aca="false">Cleaned_Data!D259</f>
        <v>Airport</v>
      </c>
      <c r="E259" s="3" t="n">
        <f aca="false">IF($D259="Airport",1,0)</f>
        <v>1</v>
      </c>
      <c r="F259" s="3" t="n">
        <f aca="false">IF($D259="Mall",1,0)</f>
        <v>0</v>
      </c>
      <c r="G259" s="3" t="n">
        <f aca="false">IF($D259="Residential",1,0)</f>
        <v>0</v>
      </c>
      <c r="H259" s="3" t="n">
        <f aca="false">IF($C259="North",1,0)</f>
        <v>0</v>
      </c>
      <c r="I259" s="3" t="n">
        <f aca="false">IF($C259="South",1,0)</f>
        <v>1</v>
      </c>
      <c r="J259" s="3" t="n">
        <f aca="false">IF($C259="West",1,0)</f>
        <v>0</v>
      </c>
    </row>
    <row r="260" customFormat="false" ht="15" hidden="false" customHeight="true" outlineLevel="0" collapsed="false">
      <c r="A260" s="3" t="str">
        <f aca="false">Cleaned_Data!A260</f>
        <v>STR-1064</v>
      </c>
      <c r="B260" s="4" t="n">
        <f aca="false">Cleaned_Data!B260</f>
        <v>45748</v>
      </c>
      <c r="C260" s="3" t="str">
        <f aca="false">Cleaned_Data!C260</f>
        <v>South</v>
      </c>
      <c r="D260" s="3" t="str">
        <f aca="false">Cleaned_Data!D260</f>
        <v>Airport</v>
      </c>
      <c r="E260" s="3" t="n">
        <f aca="false">IF($D260="Airport",1,0)</f>
        <v>1</v>
      </c>
      <c r="F260" s="3" t="n">
        <f aca="false">IF($D260="Mall",1,0)</f>
        <v>0</v>
      </c>
      <c r="G260" s="3" t="n">
        <f aca="false">IF($D260="Residential",1,0)</f>
        <v>0</v>
      </c>
      <c r="H260" s="3" t="n">
        <f aca="false">IF($C260="North",1,0)</f>
        <v>0</v>
      </c>
      <c r="I260" s="3" t="n">
        <f aca="false">IF($C260="South",1,0)</f>
        <v>1</v>
      </c>
      <c r="J260" s="3" t="n">
        <f aca="false">IF($C260="West",1,0)</f>
        <v>0</v>
      </c>
    </row>
    <row r="261" customFormat="false" ht="15" hidden="false" customHeight="true" outlineLevel="0" collapsed="false">
      <c r="A261" s="3" t="str">
        <f aca="false">Cleaned_Data!A261</f>
        <v>STR-1065</v>
      </c>
      <c r="B261" s="4" t="n">
        <f aca="false">Cleaned_Data!B261</f>
        <v>45658</v>
      </c>
      <c r="C261" s="3" t="str">
        <f aca="false">Cleaned_Data!C261</f>
        <v>South</v>
      </c>
      <c r="D261" s="3" t="str">
        <f aca="false">Cleaned_Data!D261</f>
        <v>Mall</v>
      </c>
      <c r="E261" s="3" t="n">
        <f aca="false">IF($D261="Airport",1,0)</f>
        <v>0</v>
      </c>
      <c r="F261" s="3" t="n">
        <f aca="false">IF($D261="Mall",1,0)</f>
        <v>1</v>
      </c>
      <c r="G261" s="3" t="n">
        <f aca="false">IF($D261="Residential",1,0)</f>
        <v>0</v>
      </c>
      <c r="H261" s="3" t="n">
        <f aca="false">IF($C261="North",1,0)</f>
        <v>0</v>
      </c>
      <c r="I261" s="3" t="n">
        <f aca="false">IF($C261="South",1,0)</f>
        <v>1</v>
      </c>
      <c r="J261" s="3" t="n">
        <f aca="false">IF($C261="West",1,0)</f>
        <v>0</v>
      </c>
    </row>
    <row r="262" customFormat="false" ht="15" hidden="false" customHeight="true" outlineLevel="0" collapsed="false">
      <c r="A262" s="3" t="str">
        <f aca="false">Cleaned_Data!A262</f>
        <v>STR-1065</v>
      </c>
      <c r="B262" s="4" t="n">
        <f aca="false">Cleaned_Data!B262</f>
        <v>45689</v>
      </c>
      <c r="C262" s="3" t="str">
        <f aca="false">Cleaned_Data!C262</f>
        <v>South</v>
      </c>
      <c r="D262" s="3" t="str">
        <f aca="false">Cleaned_Data!D262</f>
        <v>Mall</v>
      </c>
      <c r="E262" s="3" t="n">
        <f aca="false">IF($D262="Airport",1,0)</f>
        <v>0</v>
      </c>
      <c r="F262" s="3" t="n">
        <f aca="false">IF($D262="Mall",1,0)</f>
        <v>1</v>
      </c>
      <c r="G262" s="3" t="n">
        <f aca="false">IF($D262="Residential",1,0)</f>
        <v>0</v>
      </c>
      <c r="H262" s="3" t="n">
        <f aca="false">IF($C262="North",1,0)</f>
        <v>0</v>
      </c>
      <c r="I262" s="3" t="n">
        <f aca="false">IF($C262="South",1,0)</f>
        <v>1</v>
      </c>
      <c r="J262" s="3" t="n">
        <f aca="false">IF($C262="West",1,0)</f>
        <v>0</v>
      </c>
    </row>
    <row r="263" customFormat="false" ht="15" hidden="false" customHeight="true" outlineLevel="0" collapsed="false">
      <c r="A263" s="3" t="str">
        <f aca="false">Cleaned_Data!A263</f>
        <v>STR-1065</v>
      </c>
      <c r="B263" s="4" t="n">
        <f aca="false">Cleaned_Data!B263</f>
        <v>45717</v>
      </c>
      <c r="C263" s="3" t="str">
        <f aca="false">Cleaned_Data!C263</f>
        <v>South</v>
      </c>
      <c r="D263" s="3" t="str">
        <f aca="false">Cleaned_Data!D263</f>
        <v>Mall</v>
      </c>
      <c r="E263" s="3" t="n">
        <f aca="false">IF($D263="Airport",1,0)</f>
        <v>0</v>
      </c>
      <c r="F263" s="3" t="n">
        <f aca="false">IF($D263="Mall",1,0)</f>
        <v>1</v>
      </c>
      <c r="G263" s="3" t="n">
        <f aca="false">IF($D263="Residential",1,0)</f>
        <v>0</v>
      </c>
      <c r="H263" s="3" t="n">
        <f aca="false">IF($C263="North",1,0)</f>
        <v>0</v>
      </c>
      <c r="I263" s="3" t="n">
        <f aca="false">IF($C263="South",1,0)</f>
        <v>1</v>
      </c>
      <c r="J263" s="3" t="n">
        <f aca="false">IF($C263="West",1,0)</f>
        <v>0</v>
      </c>
    </row>
    <row r="264" customFormat="false" ht="15" hidden="false" customHeight="true" outlineLevel="0" collapsed="false">
      <c r="A264" s="3" t="str">
        <f aca="false">Cleaned_Data!A264</f>
        <v>STR-1065</v>
      </c>
      <c r="B264" s="4" t="n">
        <f aca="false">Cleaned_Data!B264</f>
        <v>45748</v>
      </c>
      <c r="C264" s="3" t="str">
        <f aca="false">Cleaned_Data!C264</f>
        <v>South</v>
      </c>
      <c r="D264" s="3" t="str">
        <f aca="false">Cleaned_Data!D264</f>
        <v>Mall</v>
      </c>
      <c r="E264" s="3" t="n">
        <f aca="false">IF($D264="Airport",1,0)</f>
        <v>0</v>
      </c>
      <c r="F264" s="3" t="n">
        <f aca="false">IF($D264="Mall",1,0)</f>
        <v>1</v>
      </c>
      <c r="G264" s="3" t="n">
        <f aca="false">IF($D264="Residential",1,0)</f>
        <v>0</v>
      </c>
      <c r="H264" s="3" t="n">
        <f aca="false">IF($C264="North",1,0)</f>
        <v>0</v>
      </c>
      <c r="I264" s="3" t="n">
        <f aca="false">IF($C264="South",1,0)</f>
        <v>1</v>
      </c>
      <c r="J264" s="3" t="n">
        <f aca="false">IF($C264="West",1,0)</f>
        <v>0</v>
      </c>
    </row>
    <row r="265" customFormat="false" ht="15" hidden="false" customHeight="true" outlineLevel="0" collapsed="false">
      <c r="A265" s="3" t="str">
        <f aca="false">Cleaned_Data!A265</f>
        <v>STR-1066</v>
      </c>
      <c r="B265" s="4" t="n">
        <f aca="false">Cleaned_Data!B265</f>
        <v>45658</v>
      </c>
      <c r="C265" s="3" t="str">
        <f aca="false">Cleaned_Data!C265</f>
        <v>West</v>
      </c>
      <c r="D265" s="3" t="str">
        <f aca="false">Cleaned_Data!D265</f>
        <v>High Street</v>
      </c>
      <c r="E265" s="3" t="n">
        <f aca="false">IF($D265="Airport",1,0)</f>
        <v>0</v>
      </c>
      <c r="F265" s="3" t="n">
        <f aca="false">IF($D265="Mall",1,0)</f>
        <v>0</v>
      </c>
      <c r="G265" s="3" t="n">
        <f aca="false">IF($D265="Residential",1,0)</f>
        <v>0</v>
      </c>
      <c r="H265" s="3" t="n">
        <f aca="false">IF($C265="North",1,0)</f>
        <v>0</v>
      </c>
      <c r="I265" s="3" t="n">
        <f aca="false">IF($C265="South",1,0)</f>
        <v>0</v>
      </c>
      <c r="J265" s="3" t="n">
        <f aca="false">IF($C265="West",1,0)</f>
        <v>1</v>
      </c>
    </row>
    <row r="266" customFormat="false" ht="15" hidden="false" customHeight="true" outlineLevel="0" collapsed="false">
      <c r="A266" s="3" t="str">
        <f aca="false">Cleaned_Data!A266</f>
        <v>STR-1066</v>
      </c>
      <c r="B266" s="4" t="n">
        <f aca="false">Cleaned_Data!B266</f>
        <v>45689</v>
      </c>
      <c r="C266" s="3" t="str">
        <f aca="false">Cleaned_Data!C266</f>
        <v>West</v>
      </c>
      <c r="D266" s="3" t="str">
        <f aca="false">Cleaned_Data!D266</f>
        <v>High Street</v>
      </c>
      <c r="E266" s="3" t="n">
        <f aca="false">IF($D266="Airport",1,0)</f>
        <v>0</v>
      </c>
      <c r="F266" s="3" t="n">
        <f aca="false">IF($D266="Mall",1,0)</f>
        <v>0</v>
      </c>
      <c r="G266" s="3" t="n">
        <f aca="false">IF($D266="Residential",1,0)</f>
        <v>0</v>
      </c>
      <c r="H266" s="3" t="n">
        <f aca="false">IF($C266="North",1,0)</f>
        <v>0</v>
      </c>
      <c r="I266" s="3" t="n">
        <f aca="false">IF($C266="South",1,0)</f>
        <v>0</v>
      </c>
      <c r="J266" s="3" t="n">
        <f aca="false">IF($C266="West",1,0)</f>
        <v>1</v>
      </c>
    </row>
    <row r="267" customFormat="false" ht="15" hidden="false" customHeight="true" outlineLevel="0" collapsed="false">
      <c r="A267" s="3" t="str">
        <f aca="false">Cleaned_Data!A267</f>
        <v>STR-1066</v>
      </c>
      <c r="B267" s="4" t="n">
        <f aca="false">Cleaned_Data!B267</f>
        <v>45717</v>
      </c>
      <c r="C267" s="3" t="str">
        <f aca="false">Cleaned_Data!C267</f>
        <v>West</v>
      </c>
      <c r="D267" s="3" t="str">
        <f aca="false">Cleaned_Data!D267</f>
        <v>High Street</v>
      </c>
      <c r="E267" s="3" t="n">
        <f aca="false">IF($D267="Airport",1,0)</f>
        <v>0</v>
      </c>
      <c r="F267" s="3" t="n">
        <f aca="false">IF($D267="Mall",1,0)</f>
        <v>0</v>
      </c>
      <c r="G267" s="3" t="n">
        <f aca="false">IF($D267="Residential",1,0)</f>
        <v>0</v>
      </c>
      <c r="H267" s="3" t="n">
        <f aca="false">IF($C267="North",1,0)</f>
        <v>0</v>
      </c>
      <c r="I267" s="3" t="n">
        <f aca="false">IF($C267="South",1,0)</f>
        <v>0</v>
      </c>
      <c r="J267" s="3" t="n">
        <f aca="false">IF($C267="West",1,0)</f>
        <v>1</v>
      </c>
    </row>
    <row r="268" customFormat="false" ht="15" hidden="false" customHeight="true" outlineLevel="0" collapsed="false">
      <c r="A268" s="3" t="str">
        <f aca="false">Cleaned_Data!A268</f>
        <v>STR-1066</v>
      </c>
      <c r="B268" s="4" t="n">
        <f aca="false">Cleaned_Data!B268</f>
        <v>45748</v>
      </c>
      <c r="C268" s="3" t="str">
        <f aca="false">Cleaned_Data!C268</f>
        <v>West</v>
      </c>
      <c r="D268" s="3" t="str">
        <f aca="false">Cleaned_Data!D268</f>
        <v>High Street</v>
      </c>
      <c r="E268" s="3" t="n">
        <f aca="false">IF($D268="Airport",1,0)</f>
        <v>0</v>
      </c>
      <c r="F268" s="3" t="n">
        <f aca="false">IF($D268="Mall",1,0)</f>
        <v>0</v>
      </c>
      <c r="G268" s="3" t="n">
        <f aca="false">IF($D268="Residential",1,0)</f>
        <v>0</v>
      </c>
      <c r="H268" s="3" t="n">
        <f aca="false">IF($C268="North",1,0)</f>
        <v>0</v>
      </c>
      <c r="I268" s="3" t="n">
        <f aca="false">IF($C268="South",1,0)</f>
        <v>0</v>
      </c>
      <c r="J268" s="3" t="n">
        <f aca="false">IF($C268="West",1,0)</f>
        <v>1</v>
      </c>
    </row>
    <row r="269" customFormat="false" ht="15" hidden="false" customHeight="true" outlineLevel="0" collapsed="false">
      <c r="A269" s="3" t="str">
        <f aca="false">Cleaned_Data!A269</f>
        <v>STR-1067</v>
      </c>
      <c r="B269" s="4" t="n">
        <f aca="false">Cleaned_Data!B269</f>
        <v>45658</v>
      </c>
      <c r="C269" s="3" t="str">
        <f aca="false">Cleaned_Data!C269</f>
        <v>East</v>
      </c>
      <c r="D269" s="3" t="str">
        <f aca="false">Cleaned_Data!D269</f>
        <v>High Street</v>
      </c>
      <c r="E269" s="3" t="n">
        <f aca="false">IF($D269="Airport",1,0)</f>
        <v>0</v>
      </c>
      <c r="F269" s="3" t="n">
        <f aca="false">IF($D269="Mall",1,0)</f>
        <v>0</v>
      </c>
      <c r="G269" s="3" t="n">
        <f aca="false">IF($D269="Residential",1,0)</f>
        <v>0</v>
      </c>
      <c r="H269" s="3" t="n">
        <f aca="false">IF($C269="North",1,0)</f>
        <v>0</v>
      </c>
      <c r="I269" s="3" t="n">
        <f aca="false">IF($C269="South",1,0)</f>
        <v>0</v>
      </c>
      <c r="J269" s="3" t="n">
        <f aca="false">IF($C269="West",1,0)</f>
        <v>0</v>
      </c>
    </row>
    <row r="270" customFormat="false" ht="15" hidden="false" customHeight="true" outlineLevel="0" collapsed="false">
      <c r="A270" s="3" t="str">
        <f aca="false">Cleaned_Data!A270</f>
        <v>STR-1067</v>
      </c>
      <c r="B270" s="4" t="n">
        <f aca="false">Cleaned_Data!B270</f>
        <v>45689</v>
      </c>
      <c r="C270" s="3" t="str">
        <f aca="false">Cleaned_Data!C270</f>
        <v>East</v>
      </c>
      <c r="D270" s="3" t="str">
        <f aca="false">Cleaned_Data!D270</f>
        <v>High Street</v>
      </c>
      <c r="E270" s="3" t="n">
        <f aca="false">IF($D270="Airport",1,0)</f>
        <v>0</v>
      </c>
      <c r="F270" s="3" t="n">
        <f aca="false">IF($D270="Mall",1,0)</f>
        <v>0</v>
      </c>
      <c r="G270" s="3" t="n">
        <f aca="false">IF($D270="Residential",1,0)</f>
        <v>0</v>
      </c>
      <c r="H270" s="3" t="n">
        <f aca="false">IF($C270="North",1,0)</f>
        <v>0</v>
      </c>
      <c r="I270" s="3" t="n">
        <f aca="false">IF($C270="South",1,0)</f>
        <v>0</v>
      </c>
      <c r="J270" s="3" t="n">
        <f aca="false">IF($C270="West",1,0)</f>
        <v>0</v>
      </c>
    </row>
    <row r="271" customFormat="false" ht="15" hidden="false" customHeight="true" outlineLevel="0" collapsed="false">
      <c r="A271" s="3" t="str">
        <f aca="false">Cleaned_Data!A271</f>
        <v>STR-1067</v>
      </c>
      <c r="B271" s="4" t="n">
        <f aca="false">Cleaned_Data!B271</f>
        <v>45717</v>
      </c>
      <c r="C271" s="3" t="str">
        <f aca="false">Cleaned_Data!C271</f>
        <v>East</v>
      </c>
      <c r="D271" s="3" t="str">
        <f aca="false">Cleaned_Data!D271</f>
        <v>High Street</v>
      </c>
      <c r="E271" s="3" t="n">
        <f aca="false">IF($D271="Airport",1,0)</f>
        <v>0</v>
      </c>
      <c r="F271" s="3" t="n">
        <f aca="false">IF($D271="Mall",1,0)</f>
        <v>0</v>
      </c>
      <c r="G271" s="3" t="n">
        <f aca="false">IF($D271="Residential",1,0)</f>
        <v>0</v>
      </c>
      <c r="H271" s="3" t="n">
        <f aca="false">IF($C271="North",1,0)</f>
        <v>0</v>
      </c>
      <c r="I271" s="3" t="n">
        <f aca="false">IF($C271="South",1,0)</f>
        <v>0</v>
      </c>
      <c r="J271" s="3" t="n">
        <f aca="false">IF($C271="West",1,0)</f>
        <v>0</v>
      </c>
    </row>
    <row r="272" customFormat="false" ht="15" hidden="false" customHeight="true" outlineLevel="0" collapsed="false">
      <c r="A272" s="3" t="str">
        <f aca="false">Cleaned_Data!A272</f>
        <v>STR-1067</v>
      </c>
      <c r="B272" s="4" t="n">
        <f aca="false">Cleaned_Data!B272</f>
        <v>45748</v>
      </c>
      <c r="C272" s="3" t="str">
        <f aca="false">Cleaned_Data!C272</f>
        <v>East</v>
      </c>
      <c r="D272" s="3" t="str">
        <f aca="false">Cleaned_Data!D272</f>
        <v>High Street</v>
      </c>
      <c r="E272" s="3" t="n">
        <f aca="false">IF($D272="Airport",1,0)</f>
        <v>0</v>
      </c>
      <c r="F272" s="3" t="n">
        <f aca="false">IF($D272="Mall",1,0)</f>
        <v>0</v>
      </c>
      <c r="G272" s="3" t="n">
        <f aca="false">IF($D272="Residential",1,0)</f>
        <v>0</v>
      </c>
      <c r="H272" s="3" t="n">
        <f aca="false">IF($C272="North",1,0)</f>
        <v>0</v>
      </c>
      <c r="I272" s="3" t="n">
        <f aca="false">IF($C272="South",1,0)</f>
        <v>0</v>
      </c>
      <c r="J272" s="3" t="n">
        <f aca="false">IF($C272="West",1,0)</f>
        <v>0</v>
      </c>
    </row>
    <row r="273" customFormat="false" ht="15" hidden="false" customHeight="true" outlineLevel="0" collapsed="false">
      <c r="A273" s="3" t="str">
        <f aca="false">Cleaned_Data!A273</f>
        <v>STR-1068</v>
      </c>
      <c r="B273" s="4" t="n">
        <f aca="false">Cleaned_Data!B273</f>
        <v>45658</v>
      </c>
      <c r="C273" s="3" t="str">
        <f aca="false">Cleaned_Data!C273</f>
        <v>East</v>
      </c>
      <c r="D273" s="3" t="str">
        <f aca="false">Cleaned_Data!D273</f>
        <v>Mall</v>
      </c>
      <c r="E273" s="3" t="n">
        <f aca="false">IF($D273="Airport",1,0)</f>
        <v>0</v>
      </c>
      <c r="F273" s="3" t="n">
        <f aca="false">IF($D273="Mall",1,0)</f>
        <v>1</v>
      </c>
      <c r="G273" s="3" t="n">
        <f aca="false">IF($D273="Residential",1,0)</f>
        <v>0</v>
      </c>
      <c r="H273" s="3" t="n">
        <f aca="false">IF($C273="North",1,0)</f>
        <v>0</v>
      </c>
      <c r="I273" s="3" t="n">
        <f aca="false">IF($C273="South",1,0)</f>
        <v>0</v>
      </c>
      <c r="J273" s="3" t="n">
        <f aca="false">IF($C273="West",1,0)</f>
        <v>0</v>
      </c>
    </row>
    <row r="274" customFormat="false" ht="15" hidden="false" customHeight="true" outlineLevel="0" collapsed="false">
      <c r="A274" s="3" t="str">
        <f aca="false">Cleaned_Data!A274</f>
        <v>STR-1068</v>
      </c>
      <c r="B274" s="4" t="n">
        <f aca="false">Cleaned_Data!B274</f>
        <v>45689</v>
      </c>
      <c r="C274" s="3" t="str">
        <f aca="false">Cleaned_Data!C274</f>
        <v>East</v>
      </c>
      <c r="D274" s="3" t="str">
        <f aca="false">Cleaned_Data!D274</f>
        <v>Mall</v>
      </c>
      <c r="E274" s="3" t="n">
        <f aca="false">IF($D274="Airport",1,0)</f>
        <v>0</v>
      </c>
      <c r="F274" s="3" t="n">
        <f aca="false">IF($D274="Mall",1,0)</f>
        <v>1</v>
      </c>
      <c r="G274" s="3" t="n">
        <f aca="false">IF($D274="Residential",1,0)</f>
        <v>0</v>
      </c>
      <c r="H274" s="3" t="n">
        <f aca="false">IF($C274="North",1,0)</f>
        <v>0</v>
      </c>
      <c r="I274" s="3" t="n">
        <f aca="false">IF($C274="South",1,0)</f>
        <v>0</v>
      </c>
      <c r="J274" s="3" t="n">
        <f aca="false">IF($C274="West",1,0)</f>
        <v>0</v>
      </c>
    </row>
    <row r="275" customFormat="false" ht="15" hidden="false" customHeight="true" outlineLevel="0" collapsed="false">
      <c r="A275" s="3" t="str">
        <f aca="false">Cleaned_Data!A275</f>
        <v>STR-1068</v>
      </c>
      <c r="B275" s="4" t="n">
        <f aca="false">Cleaned_Data!B275</f>
        <v>45717</v>
      </c>
      <c r="C275" s="3" t="str">
        <f aca="false">Cleaned_Data!C275</f>
        <v>East</v>
      </c>
      <c r="D275" s="3" t="str">
        <f aca="false">Cleaned_Data!D275</f>
        <v>Mall</v>
      </c>
      <c r="E275" s="3" t="n">
        <f aca="false">IF($D275="Airport",1,0)</f>
        <v>0</v>
      </c>
      <c r="F275" s="3" t="n">
        <f aca="false">IF($D275="Mall",1,0)</f>
        <v>1</v>
      </c>
      <c r="G275" s="3" t="n">
        <f aca="false">IF($D275="Residential",1,0)</f>
        <v>0</v>
      </c>
      <c r="H275" s="3" t="n">
        <f aca="false">IF($C275="North",1,0)</f>
        <v>0</v>
      </c>
      <c r="I275" s="3" t="n">
        <f aca="false">IF($C275="South",1,0)</f>
        <v>0</v>
      </c>
      <c r="J275" s="3" t="n">
        <f aca="false">IF($C275="West",1,0)</f>
        <v>0</v>
      </c>
    </row>
    <row r="276" customFormat="false" ht="15" hidden="false" customHeight="true" outlineLevel="0" collapsed="false">
      <c r="A276" s="3" t="str">
        <f aca="false">Cleaned_Data!A276</f>
        <v>STR-1068</v>
      </c>
      <c r="B276" s="4" t="n">
        <f aca="false">Cleaned_Data!B276</f>
        <v>45748</v>
      </c>
      <c r="C276" s="3" t="str">
        <f aca="false">Cleaned_Data!C276</f>
        <v>East</v>
      </c>
      <c r="D276" s="3" t="str">
        <f aca="false">Cleaned_Data!D276</f>
        <v>Mall</v>
      </c>
      <c r="E276" s="3" t="n">
        <f aca="false">IF($D276="Airport",1,0)</f>
        <v>0</v>
      </c>
      <c r="F276" s="3" t="n">
        <f aca="false">IF($D276="Mall",1,0)</f>
        <v>1</v>
      </c>
      <c r="G276" s="3" t="n">
        <f aca="false">IF($D276="Residential",1,0)</f>
        <v>0</v>
      </c>
      <c r="H276" s="3" t="n">
        <f aca="false">IF($C276="North",1,0)</f>
        <v>0</v>
      </c>
      <c r="I276" s="3" t="n">
        <f aca="false">IF($C276="South",1,0)</f>
        <v>0</v>
      </c>
      <c r="J276" s="3" t="n">
        <f aca="false">IF($C276="West",1,0)</f>
        <v>0</v>
      </c>
    </row>
    <row r="277" customFormat="false" ht="15" hidden="false" customHeight="true" outlineLevel="0" collapsed="false">
      <c r="A277" s="3" t="str">
        <f aca="false">Cleaned_Data!A277</f>
        <v>STR-1069</v>
      </c>
      <c r="B277" s="4" t="n">
        <f aca="false">Cleaned_Data!B277</f>
        <v>45658</v>
      </c>
      <c r="C277" s="3" t="str">
        <f aca="false">Cleaned_Data!C277</f>
        <v>West</v>
      </c>
      <c r="D277" s="3" t="str">
        <f aca="false">Cleaned_Data!D277</f>
        <v>High Street</v>
      </c>
      <c r="E277" s="3" t="n">
        <f aca="false">IF($D277="Airport",1,0)</f>
        <v>0</v>
      </c>
      <c r="F277" s="3" t="n">
        <f aca="false">IF($D277="Mall",1,0)</f>
        <v>0</v>
      </c>
      <c r="G277" s="3" t="n">
        <f aca="false">IF($D277="Residential",1,0)</f>
        <v>0</v>
      </c>
      <c r="H277" s="3" t="n">
        <f aca="false">IF($C277="North",1,0)</f>
        <v>0</v>
      </c>
      <c r="I277" s="3" t="n">
        <f aca="false">IF($C277="South",1,0)</f>
        <v>0</v>
      </c>
      <c r="J277" s="3" t="n">
        <f aca="false">IF($C277="West",1,0)</f>
        <v>1</v>
      </c>
    </row>
    <row r="278" customFormat="false" ht="15" hidden="false" customHeight="true" outlineLevel="0" collapsed="false">
      <c r="A278" s="3" t="str">
        <f aca="false">Cleaned_Data!A278</f>
        <v>STR-1069</v>
      </c>
      <c r="B278" s="4" t="n">
        <f aca="false">Cleaned_Data!B278</f>
        <v>45689</v>
      </c>
      <c r="C278" s="3" t="str">
        <f aca="false">Cleaned_Data!C278</f>
        <v>West</v>
      </c>
      <c r="D278" s="3" t="str">
        <f aca="false">Cleaned_Data!D278</f>
        <v>High Street</v>
      </c>
      <c r="E278" s="3" t="n">
        <f aca="false">IF($D278="Airport",1,0)</f>
        <v>0</v>
      </c>
      <c r="F278" s="3" t="n">
        <f aca="false">IF($D278="Mall",1,0)</f>
        <v>0</v>
      </c>
      <c r="G278" s="3" t="n">
        <f aca="false">IF($D278="Residential",1,0)</f>
        <v>0</v>
      </c>
      <c r="H278" s="3" t="n">
        <f aca="false">IF($C278="North",1,0)</f>
        <v>0</v>
      </c>
      <c r="I278" s="3" t="n">
        <f aca="false">IF($C278="South",1,0)</f>
        <v>0</v>
      </c>
      <c r="J278" s="3" t="n">
        <f aca="false">IF($C278="West",1,0)</f>
        <v>1</v>
      </c>
    </row>
    <row r="279" customFormat="false" ht="15" hidden="false" customHeight="true" outlineLevel="0" collapsed="false">
      <c r="A279" s="3" t="str">
        <f aca="false">Cleaned_Data!A279</f>
        <v>STR-1069</v>
      </c>
      <c r="B279" s="4" t="n">
        <f aca="false">Cleaned_Data!B279</f>
        <v>45717</v>
      </c>
      <c r="C279" s="3" t="str">
        <f aca="false">Cleaned_Data!C279</f>
        <v>West</v>
      </c>
      <c r="D279" s="3" t="str">
        <f aca="false">Cleaned_Data!D279</f>
        <v>High Street</v>
      </c>
      <c r="E279" s="3" t="n">
        <f aca="false">IF($D279="Airport",1,0)</f>
        <v>0</v>
      </c>
      <c r="F279" s="3" t="n">
        <f aca="false">IF($D279="Mall",1,0)</f>
        <v>0</v>
      </c>
      <c r="G279" s="3" t="n">
        <f aca="false">IF($D279="Residential",1,0)</f>
        <v>0</v>
      </c>
      <c r="H279" s="3" t="n">
        <f aca="false">IF($C279="North",1,0)</f>
        <v>0</v>
      </c>
      <c r="I279" s="3" t="n">
        <f aca="false">IF($C279="South",1,0)</f>
        <v>0</v>
      </c>
      <c r="J279" s="3" t="n">
        <f aca="false">IF($C279="West",1,0)</f>
        <v>1</v>
      </c>
    </row>
    <row r="280" customFormat="false" ht="15" hidden="false" customHeight="true" outlineLevel="0" collapsed="false">
      <c r="A280" s="3" t="str">
        <f aca="false">Cleaned_Data!A280</f>
        <v>STR-1069</v>
      </c>
      <c r="B280" s="4" t="n">
        <f aca="false">Cleaned_Data!B280</f>
        <v>45748</v>
      </c>
      <c r="C280" s="3" t="str">
        <f aca="false">Cleaned_Data!C280</f>
        <v>West</v>
      </c>
      <c r="D280" s="3" t="str">
        <f aca="false">Cleaned_Data!D280</f>
        <v>High Street</v>
      </c>
      <c r="E280" s="3" t="n">
        <f aca="false">IF($D280="Airport",1,0)</f>
        <v>0</v>
      </c>
      <c r="F280" s="3" t="n">
        <f aca="false">IF($D280="Mall",1,0)</f>
        <v>0</v>
      </c>
      <c r="G280" s="3" t="n">
        <f aca="false">IF($D280="Residential",1,0)</f>
        <v>0</v>
      </c>
      <c r="H280" s="3" t="n">
        <f aca="false">IF($C280="North",1,0)</f>
        <v>0</v>
      </c>
      <c r="I280" s="3" t="n">
        <f aca="false">IF($C280="South",1,0)</f>
        <v>0</v>
      </c>
      <c r="J280" s="3" t="n">
        <f aca="false">IF($C280="West",1,0)</f>
        <v>1</v>
      </c>
    </row>
    <row r="281" customFormat="false" ht="15" hidden="false" customHeight="true" outlineLevel="0" collapsed="false">
      <c r="A281" s="3" t="str">
        <f aca="false">Cleaned_Data!A281</f>
        <v>STR-1070</v>
      </c>
      <c r="B281" s="4" t="n">
        <f aca="false">Cleaned_Data!B281</f>
        <v>45658</v>
      </c>
      <c r="C281" s="3" t="str">
        <f aca="false">Cleaned_Data!C281</f>
        <v>South</v>
      </c>
      <c r="D281" s="3" t="str">
        <f aca="false">Cleaned_Data!D281</f>
        <v>Residential</v>
      </c>
      <c r="E281" s="3" t="n">
        <f aca="false">IF($D281="Airport",1,0)</f>
        <v>0</v>
      </c>
      <c r="F281" s="3" t="n">
        <f aca="false">IF($D281="Mall",1,0)</f>
        <v>0</v>
      </c>
      <c r="G281" s="3" t="n">
        <f aca="false">IF($D281="Residential",1,0)</f>
        <v>1</v>
      </c>
      <c r="H281" s="3" t="n">
        <f aca="false">IF($C281="North",1,0)</f>
        <v>0</v>
      </c>
      <c r="I281" s="3" t="n">
        <f aca="false">IF($C281="South",1,0)</f>
        <v>1</v>
      </c>
      <c r="J281" s="3" t="n">
        <f aca="false">IF($C281="West",1,0)</f>
        <v>0</v>
      </c>
    </row>
    <row r="282" customFormat="false" ht="15" hidden="false" customHeight="true" outlineLevel="0" collapsed="false">
      <c r="A282" s="3" t="str">
        <f aca="false">Cleaned_Data!A282</f>
        <v>STR-1070</v>
      </c>
      <c r="B282" s="4" t="n">
        <f aca="false">Cleaned_Data!B282</f>
        <v>45689</v>
      </c>
      <c r="C282" s="3" t="str">
        <f aca="false">Cleaned_Data!C282</f>
        <v>South</v>
      </c>
      <c r="D282" s="3" t="str">
        <f aca="false">Cleaned_Data!D282</f>
        <v>Residential</v>
      </c>
      <c r="E282" s="3" t="n">
        <f aca="false">IF($D282="Airport",1,0)</f>
        <v>0</v>
      </c>
      <c r="F282" s="3" t="n">
        <f aca="false">IF($D282="Mall",1,0)</f>
        <v>0</v>
      </c>
      <c r="G282" s="3" t="n">
        <f aca="false">IF($D282="Residential",1,0)</f>
        <v>1</v>
      </c>
      <c r="H282" s="3" t="n">
        <f aca="false">IF($C282="North",1,0)</f>
        <v>0</v>
      </c>
      <c r="I282" s="3" t="n">
        <f aca="false">IF($C282="South",1,0)</f>
        <v>1</v>
      </c>
      <c r="J282" s="3" t="n">
        <f aca="false">IF($C282="West",1,0)</f>
        <v>0</v>
      </c>
    </row>
    <row r="283" customFormat="false" ht="15" hidden="false" customHeight="true" outlineLevel="0" collapsed="false">
      <c r="A283" s="3" t="str">
        <f aca="false">Cleaned_Data!A283</f>
        <v>STR-1070</v>
      </c>
      <c r="B283" s="4" t="n">
        <f aca="false">Cleaned_Data!B283</f>
        <v>45717</v>
      </c>
      <c r="C283" s="3" t="str">
        <f aca="false">Cleaned_Data!C283</f>
        <v>South</v>
      </c>
      <c r="D283" s="3" t="str">
        <f aca="false">Cleaned_Data!D283</f>
        <v>Residential</v>
      </c>
      <c r="E283" s="3" t="n">
        <f aca="false">IF($D283="Airport",1,0)</f>
        <v>0</v>
      </c>
      <c r="F283" s="3" t="n">
        <f aca="false">IF($D283="Mall",1,0)</f>
        <v>0</v>
      </c>
      <c r="G283" s="3" t="n">
        <f aca="false">IF($D283="Residential",1,0)</f>
        <v>1</v>
      </c>
      <c r="H283" s="3" t="n">
        <f aca="false">IF($C283="North",1,0)</f>
        <v>0</v>
      </c>
      <c r="I283" s="3" t="n">
        <f aca="false">IF($C283="South",1,0)</f>
        <v>1</v>
      </c>
      <c r="J283" s="3" t="n">
        <f aca="false">IF($C283="West",1,0)</f>
        <v>0</v>
      </c>
    </row>
    <row r="284" customFormat="false" ht="15" hidden="false" customHeight="true" outlineLevel="0" collapsed="false">
      <c r="A284" s="3" t="str">
        <f aca="false">Cleaned_Data!A284</f>
        <v>STR-1070</v>
      </c>
      <c r="B284" s="4" t="n">
        <f aca="false">Cleaned_Data!B284</f>
        <v>45748</v>
      </c>
      <c r="C284" s="3" t="str">
        <f aca="false">Cleaned_Data!C284</f>
        <v>South</v>
      </c>
      <c r="D284" s="3" t="str">
        <f aca="false">Cleaned_Data!D284</f>
        <v>Residential</v>
      </c>
      <c r="E284" s="3" t="n">
        <f aca="false">IF($D284="Airport",1,0)</f>
        <v>0</v>
      </c>
      <c r="F284" s="3" t="n">
        <f aca="false">IF($D284="Mall",1,0)</f>
        <v>0</v>
      </c>
      <c r="G284" s="3" t="n">
        <f aca="false">IF($D284="Residential",1,0)</f>
        <v>1</v>
      </c>
      <c r="H284" s="3" t="n">
        <f aca="false">IF($C284="North",1,0)</f>
        <v>0</v>
      </c>
      <c r="I284" s="3" t="n">
        <f aca="false">IF($C284="South",1,0)</f>
        <v>1</v>
      </c>
      <c r="J284" s="3" t="n">
        <f aca="false">IF($C284="West",1,0)</f>
        <v>0</v>
      </c>
    </row>
    <row r="285" customFormat="false" ht="15" hidden="false" customHeight="true" outlineLevel="0" collapsed="false">
      <c r="A285" s="3" t="str">
        <f aca="false">Cleaned_Data!A285</f>
        <v>STR-1071</v>
      </c>
      <c r="B285" s="4" t="n">
        <f aca="false">Cleaned_Data!B285</f>
        <v>45658</v>
      </c>
      <c r="C285" s="3" t="str">
        <f aca="false">Cleaned_Data!C285</f>
        <v>South</v>
      </c>
      <c r="D285" s="3" t="str">
        <f aca="false">Cleaned_Data!D285</f>
        <v>High Street</v>
      </c>
      <c r="E285" s="3" t="n">
        <f aca="false">IF($D285="Airport",1,0)</f>
        <v>0</v>
      </c>
      <c r="F285" s="3" t="n">
        <f aca="false">IF($D285="Mall",1,0)</f>
        <v>0</v>
      </c>
      <c r="G285" s="3" t="n">
        <f aca="false">IF($D285="Residential",1,0)</f>
        <v>0</v>
      </c>
      <c r="H285" s="3" t="n">
        <f aca="false">IF($C285="North",1,0)</f>
        <v>0</v>
      </c>
      <c r="I285" s="3" t="n">
        <f aca="false">IF($C285="South",1,0)</f>
        <v>1</v>
      </c>
      <c r="J285" s="3" t="n">
        <f aca="false">IF($C285="West",1,0)</f>
        <v>0</v>
      </c>
    </row>
    <row r="286" customFormat="false" ht="15" hidden="false" customHeight="true" outlineLevel="0" collapsed="false">
      <c r="A286" s="3" t="str">
        <f aca="false">Cleaned_Data!A286</f>
        <v>STR-1071</v>
      </c>
      <c r="B286" s="4" t="n">
        <f aca="false">Cleaned_Data!B286</f>
        <v>45689</v>
      </c>
      <c r="C286" s="3" t="str">
        <f aca="false">Cleaned_Data!C286</f>
        <v>South</v>
      </c>
      <c r="D286" s="3" t="str">
        <f aca="false">Cleaned_Data!D286</f>
        <v>High Street</v>
      </c>
      <c r="E286" s="3" t="n">
        <f aca="false">IF($D286="Airport",1,0)</f>
        <v>0</v>
      </c>
      <c r="F286" s="3" t="n">
        <f aca="false">IF($D286="Mall",1,0)</f>
        <v>0</v>
      </c>
      <c r="G286" s="3" t="n">
        <f aca="false">IF($D286="Residential",1,0)</f>
        <v>0</v>
      </c>
      <c r="H286" s="3" t="n">
        <f aca="false">IF($C286="North",1,0)</f>
        <v>0</v>
      </c>
      <c r="I286" s="3" t="n">
        <f aca="false">IF($C286="South",1,0)</f>
        <v>1</v>
      </c>
      <c r="J286" s="3" t="n">
        <f aca="false">IF($C286="West",1,0)</f>
        <v>0</v>
      </c>
    </row>
    <row r="287" customFormat="false" ht="15" hidden="false" customHeight="true" outlineLevel="0" collapsed="false">
      <c r="A287" s="3" t="str">
        <f aca="false">Cleaned_Data!A287</f>
        <v>STR-1071</v>
      </c>
      <c r="B287" s="4" t="n">
        <f aca="false">Cleaned_Data!B287</f>
        <v>45717</v>
      </c>
      <c r="C287" s="3" t="str">
        <f aca="false">Cleaned_Data!C287</f>
        <v>South</v>
      </c>
      <c r="D287" s="3" t="str">
        <f aca="false">Cleaned_Data!D287</f>
        <v>High Street</v>
      </c>
      <c r="E287" s="3" t="n">
        <f aca="false">IF($D287="Airport",1,0)</f>
        <v>0</v>
      </c>
      <c r="F287" s="3" t="n">
        <f aca="false">IF($D287="Mall",1,0)</f>
        <v>0</v>
      </c>
      <c r="G287" s="3" t="n">
        <f aca="false">IF($D287="Residential",1,0)</f>
        <v>0</v>
      </c>
      <c r="H287" s="3" t="n">
        <f aca="false">IF($C287="North",1,0)</f>
        <v>0</v>
      </c>
      <c r="I287" s="3" t="n">
        <f aca="false">IF($C287="South",1,0)</f>
        <v>1</v>
      </c>
      <c r="J287" s="3" t="n">
        <f aca="false">IF($C287="West",1,0)</f>
        <v>0</v>
      </c>
    </row>
    <row r="288" customFormat="false" ht="15" hidden="false" customHeight="true" outlineLevel="0" collapsed="false">
      <c r="A288" s="3" t="str">
        <f aca="false">Cleaned_Data!A288</f>
        <v>STR-1071</v>
      </c>
      <c r="B288" s="4" t="n">
        <f aca="false">Cleaned_Data!B288</f>
        <v>45748</v>
      </c>
      <c r="C288" s="3" t="str">
        <f aca="false">Cleaned_Data!C288</f>
        <v>South</v>
      </c>
      <c r="D288" s="3" t="str">
        <f aca="false">Cleaned_Data!D288</f>
        <v>High Street</v>
      </c>
      <c r="E288" s="3" t="n">
        <f aca="false">IF($D288="Airport",1,0)</f>
        <v>0</v>
      </c>
      <c r="F288" s="3" t="n">
        <f aca="false">IF($D288="Mall",1,0)</f>
        <v>0</v>
      </c>
      <c r="G288" s="3" t="n">
        <f aca="false">IF($D288="Residential",1,0)</f>
        <v>0</v>
      </c>
      <c r="H288" s="3" t="n">
        <f aca="false">IF($C288="North",1,0)</f>
        <v>0</v>
      </c>
      <c r="I288" s="3" t="n">
        <f aca="false">IF($C288="South",1,0)</f>
        <v>1</v>
      </c>
      <c r="J288" s="3" t="n">
        <f aca="false">IF($C288="West",1,0)</f>
        <v>0</v>
      </c>
    </row>
    <row r="289" customFormat="false" ht="15" hidden="false" customHeight="true" outlineLevel="0" collapsed="false">
      <c r="A289" s="3" t="str">
        <f aca="false">Cleaned_Data!A289</f>
        <v>STR-1072</v>
      </c>
      <c r="B289" s="4" t="n">
        <f aca="false">Cleaned_Data!B289</f>
        <v>45658</v>
      </c>
      <c r="C289" s="3" t="str">
        <f aca="false">Cleaned_Data!C289</f>
        <v>West</v>
      </c>
      <c r="D289" s="3" t="str">
        <f aca="false">Cleaned_Data!D289</f>
        <v>Residential</v>
      </c>
      <c r="E289" s="3" t="n">
        <f aca="false">IF($D289="Airport",1,0)</f>
        <v>0</v>
      </c>
      <c r="F289" s="3" t="n">
        <f aca="false">IF($D289="Mall",1,0)</f>
        <v>0</v>
      </c>
      <c r="G289" s="3" t="n">
        <f aca="false">IF($D289="Residential",1,0)</f>
        <v>1</v>
      </c>
      <c r="H289" s="3" t="n">
        <f aca="false">IF($C289="North",1,0)</f>
        <v>0</v>
      </c>
      <c r="I289" s="3" t="n">
        <f aca="false">IF($C289="South",1,0)</f>
        <v>0</v>
      </c>
      <c r="J289" s="3" t="n">
        <f aca="false">IF($C289="West",1,0)</f>
        <v>1</v>
      </c>
    </row>
    <row r="290" customFormat="false" ht="15" hidden="false" customHeight="true" outlineLevel="0" collapsed="false">
      <c r="A290" s="3" t="str">
        <f aca="false">Cleaned_Data!A290</f>
        <v>STR-1072</v>
      </c>
      <c r="B290" s="4" t="n">
        <f aca="false">Cleaned_Data!B290</f>
        <v>45689</v>
      </c>
      <c r="C290" s="3" t="str">
        <f aca="false">Cleaned_Data!C290</f>
        <v>West</v>
      </c>
      <c r="D290" s="3" t="str">
        <f aca="false">Cleaned_Data!D290</f>
        <v>Residential</v>
      </c>
      <c r="E290" s="3" t="n">
        <f aca="false">IF($D290="Airport",1,0)</f>
        <v>0</v>
      </c>
      <c r="F290" s="3" t="n">
        <f aca="false">IF($D290="Mall",1,0)</f>
        <v>0</v>
      </c>
      <c r="G290" s="3" t="n">
        <f aca="false">IF($D290="Residential",1,0)</f>
        <v>1</v>
      </c>
      <c r="H290" s="3" t="n">
        <f aca="false">IF($C290="North",1,0)</f>
        <v>0</v>
      </c>
      <c r="I290" s="3" t="n">
        <f aca="false">IF($C290="South",1,0)</f>
        <v>0</v>
      </c>
      <c r="J290" s="3" t="n">
        <f aca="false">IF($C290="West",1,0)</f>
        <v>1</v>
      </c>
    </row>
    <row r="291" customFormat="false" ht="15" hidden="false" customHeight="true" outlineLevel="0" collapsed="false">
      <c r="A291" s="3" t="str">
        <f aca="false">Cleaned_Data!A291</f>
        <v>STR-1072</v>
      </c>
      <c r="B291" s="4" t="n">
        <f aca="false">Cleaned_Data!B291</f>
        <v>45717</v>
      </c>
      <c r="C291" s="3" t="str">
        <f aca="false">Cleaned_Data!C291</f>
        <v>West</v>
      </c>
      <c r="D291" s="3" t="str">
        <f aca="false">Cleaned_Data!D291</f>
        <v>Residential</v>
      </c>
      <c r="E291" s="3" t="n">
        <f aca="false">IF($D291="Airport",1,0)</f>
        <v>0</v>
      </c>
      <c r="F291" s="3" t="n">
        <f aca="false">IF($D291="Mall",1,0)</f>
        <v>0</v>
      </c>
      <c r="G291" s="3" t="n">
        <f aca="false">IF($D291="Residential",1,0)</f>
        <v>1</v>
      </c>
      <c r="H291" s="3" t="n">
        <f aca="false">IF($C291="North",1,0)</f>
        <v>0</v>
      </c>
      <c r="I291" s="3" t="n">
        <f aca="false">IF($C291="South",1,0)</f>
        <v>0</v>
      </c>
      <c r="J291" s="3" t="n">
        <f aca="false">IF($C291="West",1,0)</f>
        <v>1</v>
      </c>
    </row>
    <row r="292" customFormat="false" ht="15" hidden="false" customHeight="true" outlineLevel="0" collapsed="false">
      <c r="A292" s="3" t="str">
        <f aca="false">Cleaned_Data!A292</f>
        <v>STR-1072</v>
      </c>
      <c r="B292" s="4" t="n">
        <f aca="false">Cleaned_Data!B292</f>
        <v>45748</v>
      </c>
      <c r="C292" s="3" t="str">
        <f aca="false">Cleaned_Data!C292</f>
        <v>West</v>
      </c>
      <c r="D292" s="3" t="str">
        <f aca="false">Cleaned_Data!D292</f>
        <v>Residential</v>
      </c>
      <c r="E292" s="3" t="n">
        <f aca="false">IF($D292="Airport",1,0)</f>
        <v>0</v>
      </c>
      <c r="F292" s="3" t="n">
        <f aca="false">IF($D292="Mall",1,0)</f>
        <v>0</v>
      </c>
      <c r="G292" s="3" t="n">
        <f aca="false">IF($D292="Residential",1,0)</f>
        <v>1</v>
      </c>
      <c r="H292" s="3" t="n">
        <f aca="false">IF($C292="North",1,0)</f>
        <v>0</v>
      </c>
      <c r="I292" s="3" t="n">
        <f aca="false">IF($C292="South",1,0)</f>
        <v>0</v>
      </c>
      <c r="J292" s="3" t="n">
        <f aca="false">IF($C292="West",1,0)</f>
        <v>1</v>
      </c>
    </row>
    <row r="293" customFormat="false" ht="15" hidden="false" customHeight="true" outlineLevel="0" collapsed="false">
      <c r="A293" s="3" t="str">
        <f aca="false">Cleaned_Data!A293</f>
        <v>STR-1073</v>
      </c>
      <c r="B293" s="4" t="n">
        <f aca="false">Cleaned_Data!B293</f>
        <v>45658</v>
      </c>
      <c r="C293" s="3" t="str">
        <f aca="false">Cleaned_Data!C293</f>
        <v>East</v>
      </c>
      <c r="D293" s="3" t="str">
        <f aca="false">Cleaned_Data!D293</f>
        <v>Residential</v>
      </c>
      <c r="E293" s="3" t="n">
        <f aca="false">IF($D293="Airport",1,0)</f>
        <v>0</v>
      </c>
      <c r="F293" s="3" t="n">
        <f aca="false">IF($D293="Mall",1,0)</f>
        <v>0</v>
      </c>
      <c r="G293" s="3" t="n">
        <f aca="false">IF($D293="Residential",1,0)</f>
        <v>1</v>
      </c>
      <c r="H293" s="3" t="n">
        <f aca="false">IF($C293="North",1,0)</f>
        <v>0</v>
      </c>
      <c r="I293" s="3" t="n">
        <f aca="false">IF($C293="South",1,0)</f>
        <v>0</v>
      </c>
      <c r="J293" s="3" t="n">
        <f aca="false">IF($C293="West",1,0)</f>
        <v>0</v>
      </c>
    </row>
    <row r="294" customFormat="false" ht="15" hidden="false" customHeight="true" outlineLevel="0" collapsed="false">
      <c r="A294" s="3" t="str">
        <f aca="false">Cleaned_Data!A294</f>
        <v>STR-1073</v>
      </c>
      <c r="B294" s="4" t="n">
        <f aca="false">Cleaned_Data!B294</f>
        <v>45689</v>
      </c>
      <c r="C294" s="3" t="str">
        <f aca="false">Cleaned_Data!C294</f>
        <v>East</v>
      </c>
      <c r="D294" s="3" t="str">
        <f aca="false">Cleaned_Data!D294</f>
        <v>Residential</v>
      </c>
      <c r="E294" s="3" t="n">
        <f aca="false">IF($D294="Airport",1,0)</f>
        <v>0</v>
      </c>
      <c r="F294" s="3" t="n">
        <f aca="false">IF($D294="Mall",1,0)</f>
        <v>0</v>
      </c>
      <c r="G294" s="3" t="n">
        <f aca="false">IF($D294="Residential",1,0)</f>
        <v>1</v>
      </c>
      <c r="H294" s="3" t="n">
        <f aca="false">IF($C294="North",1,0)</f>
        <v>0</v>
      </c>
      <c r="I294" s="3" t="n">
        <f aca="false">IF($C294="South",1,0)</f>
        <v>0</v>
      </c>
      <c r="J294" s="3" t="n">
        <f aca="false">IF($C294="West",1,0)</f>
        <v>0</v>
      </c>
    </row>
    <row r="295" customFormat="false" ht="15" hidden="false" customHeight="true" outlineLevel="0" collapsed="false">
      <c r="A295" s="3" t="str">
        <f aca="false">Cleaned_Data!A295</f>
        <v>STR-1073</v>
      </c>
      <c r="B295" s="4" t="n">
        <f aca="false">Cleaned_Data!B295</f>
        <v>45717</v>
      </c>
      <c r="C295" s="3" t="str">
        <f aca="false">Cleaned_Data!C295</f>
        <v>East</v>
      </c>
      <c r="D295" s="3" t="str">
        <f aca="false">Cleaned_Data!D295</f>
        <v>Residential</v>
      </c>
      <c r="E295" s="3" t="n">
        <f aca="false">IF($D295="Airport",1,0)</f>
        <v>0</v>
      </c>
      <c r="F295" s="3" t="n">
        <f aca="false">IF($D295="Mall",1,0)</f>
        <v>0</v>
      </c>
      <c r="G295" s="3" t="n">
        <f aca="false">IF($D295="Residential",1,0)</f>
        <v>1</v>
      </c>
      <c r="H295" s="3" t="n">
        <f aca="false">IF($C295="North",1,0)</f>
        <v>0</v>
      </c>
      <c r="I295" s="3" t="n">
        <f aca="false">IF($C295="South",1,0)</f>
        <v>0</v>
      </c>
      <c r="J295" s="3" t="n">
        <f aca="false">IF($C295="West",1,0)</f>
        <v>0</v>
      </c>
    </row>
    <row r="296" customFormat="false" ht="15" hidden="false" customHeight="true" outlineLevel="0" collapsed="false">
      <c r="A296" s="3" t="str">
        <f aca="false">Cleaned_Data!A296</f>
        <v>STR-1073</v>
      </c>
      <c r="B296" s="4" t="n">
        <f aca="false">Cleaned_Data!B296</f>
        <v>45748</v>
      </c>
      <c r="C296" s="3" t="str">
        <f aca="false">Cleaned_Data!C296</f>
        <v>East</v>
      </c>
      <c r="D296" s="3" t="str">
        <f aca="false">Cleaned_Data!D296</f>
        <v>Residential</v>
      </c>
      <c r="E296" s="3" t="n">
        <f aca="false">IF($D296="Airport",1,0)</f>
        <v>0</v>
      </c>
      <c r="F296" s="3" t="n">
        <f aca="false">IF($D296="Mall",1,0)</f>
        <v>0</v>
      </c>
      <c r="G296" s="3" t="n">
        <f aca="false">IF($D296="Residential",1,0)</f>
        <v>1</v>
      </c>
      <c r="H296" s="3" t="n">
        <f aca="false">IF($C296="North",1,0)</f>
        <v>0</v>
      </c>
      <c r="I296" s="3" t="n">
        <f aca="false">IF($C296="South",1,0)</f>
        <v>0</v>
      </c>
      <c r="J296" s="3" t="n">
        <f aca="false">IF($C296="West",1,0)</f>
        <v>0</v>
      </c>
    </row>
    <row r="297" customFormat="false" ht="15" hidden="false" customHeight="true" outlineLevel="0" collapsed="false">
      <c r="A297" s="3" t="str">
        <f aca="false">Cleaned_Data!A297</f>
        <v>STR-1074</v>
      </c>
      <c r="B297" s="4" t="n">
        <f aca="false">Cleaned_Data!B297</f>
        <v>45658</v>
      </c>
      <c r="C297" s="3" t="str">
        <f aca="false">Cleaned_Data!C297</f>
        <v>West</v>
      </c>
      <c r="D297" s="3" t="str">
        <f aca="false">Cleaned_Data!D297</f>
        <v>High Street</v>
      </c>
      <c r="E297" s="3" t="n">
        <f aca="false">IF($D297="Airport",1,0)</f>
        <v>0</v>
      </c>
      <c r="F297" s="3" t="n">
        <f aca="false">IF($D297="Mall",1,0)</f>
        <v>0</v>
      </c>
      <c r="G297" s="3" t="n">
        <f aca="false">IF($D297="Residential",1,0)</f>
        <v>0</v>
      </c>
      <c r="H297" s="3" t="n">
        <f aca="false">IF($C297="North",1,0)</f>
        <v>0</v>
      </c>
      <c r="I297" s="3" t="n">
        <f aca="false">IF($C297="South",1,0)</f>
        <v>0</v>
      </c>
      <c r="J297" s="3" t="n">
        <f aca="false">IF($C297="West",1,0)</f>
        <v>1</v>
      </c>
    </row>
    <row r="298" customFormat="false" ht="15" hidden="false" customHeight="true" outlineLevel="0" collapsed="false">
      <c r="A298" s="3" t="str">
        <f aca="false">Cleaned_Data!A298</f>
        <v>STR-1074</v>
      </c>
      <c r="B298" s="4" t="n">
        <f aca="false">Cleaned_Data!B298</f>
        <v>45689</v>
      </c>
      <c r="C298" s="3" t="str">
        <f aca="false">Cleaned_Data!C298</f>
        <v>West</v>
      </c>
      <c r="D298" s="3" t="str">
        <f aca="false">Cleaned_Data!D298</f>
        <v>High Street</v>
      </c>
      <c r="E298" s="3" t="n">
        <f aca="false">IF($D298="Airport",1,0)</f>
        <v>0</v>
      </c>
      <c r="F298" s="3" t="n">
        <f aca="false">IF($D298="Mall",1,0)</f>
        <v>0</v>
      </c>
      <c r="G298" s="3" t="n">
        <f aca="false">IF($D298="Residential",1,0)</f>
        <v>0</v>
      </c>
      <c r="H298" s="3" t="n">
        <f aca="false">IF($C298="North",1,0)</f>
        <v>0</v>
      </c>
      <c r="I298" s="3" t="n">
        <f aca="false">IF($C298="South",1,0)</f>
        <v>0</v>
      </c>
      <c r="J298" s="3" t="n">
        <f aca="false">IF($C298="West",1,0)</f>
        <v>1</v>
      </c>
    </row>
    <row r="299" customFormat="false" ht="15" hidden="false" customHeight="true" outlineLevel="0" collapsed="false">
      <c r="A299" s="3" t="str">
        <f aca="false">Cleaned_Data!A299</f>
        <v>STR-1074</v>
      </c>
      <c r="B299" s="4" t="n">
        <f aca="false">Cleaned_Data!B299</f>
        <v>45717</v>
      </c>
      <c r="C299" s="3" t="str">
        <f aca="false">Cleaned_Data!C299</f>
        <v>West</v>
      </c>
      <c r="D299" s="3" t="str">
        <f aca="false">Cleaned_Data!D299</f>
        <v>High Street</v>
      </c>
      <c r="E299" s="3" t="n">
        <f aca="false">IF($D299="Airport",1,0)</f>
        <v>0</v>
      </c>
      <c r="F299" s="3" t="n">
        <f aca="false">IF($D299="Mall",1,0)</f>
        <v>0</v>
      </c>
      <c r="G299" s="3" t="n">
        <f aca="false">IF($D299="Residential",1,0)</f>
        <v>0</v>
      </c>
      <c r="H299" s="3" t="n">
        <f aca="false">IF($C299="North",1,0)</f>
        <v>0</v>
      </c>
      <c r="I299" s="3" t="n">
        <f aca="false">IF($C299="South",1,0)</f>
        <v>0</v>
      </c>
      <c r="J299" s="3" t="n">
        <f aca="false">IF($C299="West",1,0)</f>
        <v>1</v>
      </c>
    </row>
    <row r="300" customFormat="false" ht="15" hidden="false" customHeight="true" outlineLevel="0" collapsed="false">
      <c r="A300" s="3" t="str">
        <f aca="false">Cleaned_Data!A300</f>
        <v>STR-1074</v>
      </c>
      <c r="B300" s="4" t="n">
        <f aca="false">Cleaned_Data!B300</f>
        <v>45748</v>
      </c>
      <c r="C300" s="3" t="str">
        <f aca="false">Cleaned_Data!C300</f>
        <v>West</v>
      </c>
      <c r="D300" s="3" t="str">
        <f aca="false">Cleaned_Data!D300</f>
        <v>High Street</v>
      </c>
      <c r="E300" s="3" t="n">
        <f aca="false">IF($D300="Airport",1,0)</f>
        <v>0</v>
      </c>
      <c r="F300" s="3" t="n">
        <f aca="false">IF($D300="Mall",1,0)</f>
        <v>0</v>
      </c>
      <c r="G300" s="3" t="n">
        <f aca="false">IF($D300="Residential",1,0)</f>
        <v>0</v>
      </c>
      <c r="H300" s="3" t="n">
        <f aca="false">IF($C300="North",1,0)</f>
        <v>0</v>
      </c>
      <c r="I300" s="3" t="n">
        <f aca="false">IF($C300="South",1,0)</f>
        <v>0</v>
      </c>
      <c r="J300" s="3" t="n">
        <f aca="false">IF($C300="West",1,0)</f>
        <v>1</v>
      </c>
    </row>
    <row r="301" customFormat="false" ht="15" hidden="false" customHeight="true" outlineLevel="0" collapsed="false">
      <c r="A301" s="3" t="str">
        <f aca="false">Cleaned_Data!A301</f>
        <v>STR-1075</v>
      </c>
      <c r="B301" s="4" t="n">
        <f aca="false">Cleaned_Data!B301</f>
        <v>45658</v>
      </c>
      <c r="C301" s="3" t="str">
        <f aca="false">Cleaned_Data!C301</f>
        <v>West</v>
      </c>
      <c r="D301" s="3" t="str">
        <f aca="false">Cleaned_Data!D301</f>
        <v>High Street</v>
      </c>
      <c r="E301" s="3" t="n">
        <f aca="false">IF($D301="Airport",1,0)</f>
        <v>0</v>
      </c>
      <c r="F301" s="3" t="n">
        <f aca="false">IF($D301="Mall",1,0)</f>
        <v>0</v>
      </c>
      <c r="G301" s="3" t="n">
        <f aca="false">IF($D301="Residential",1,0)</f>
        <v>0</v>
      </c>
      <c r="H301" s="3" t="n">
        <f aca="false">IF($C301="North",1,0)</f>
        <v>0</v>
      </c>
      <c r="I301" s="3" t="n">
        <f aca="false">IF($C301="South",1,0)</f>
        <v>0</v>
      </c>
      <c r="J301" s="3" t="n">
        <f aca="false">IF($C301="West",1,0)</f>
        <v>1</v>
      </c>
    </row>
    <row r="302" customFormat="false" ht="15" hidden="false" customHeight="true" outlineLevel="0" collapsed="false">
      <c r="A302" s="3" t="str">
        <f aca="false">Cleaned_Data!A302</f>
        <v>STR-1075</v>
      </c>
      <c r="B302" s="4" t="n">
        <f aca="false">Cleaned_Data!B302</f>
        <v>45689</v>
      </c>
      <c r="C302" s="3" t="str">
        <f aca="false">Cleaned_Data!C302</f>
        <v>West</v>
      </c>
      <c r="D302" s="3" t="str">
        <f aca="false">Cleaned_Data!D302</f>
        <v>High Street</v>
      </c>
      <c r="E302" s="3" t="n">
        <f aca="false">IF($D302="Airport",1,0)</f>
        <v>0</v>
      </c>
      <c r="F302" s="3" t="n">
        <f aca="false">IF($D302="Mall",1,0)</f>
        <v>0</v>
      </c>
      <c r="G302" s="3" t="n">
        <f aca="false">IF($D302="Residential",1,0)</f>
        <v>0</v>
      </c>
      <c r="H302" s="3" t="n">
        <f aca="false">IF($C302="North",1,0)</f>
        <v>0</v>
      </c>
      <c r="I302" s="3" t="n">
        <f aca="false">IF($C302="South",1,0)</f>
        <v>0</v>
      </c>
      <c r="J302" s="3" t="n">
        <f aca="false">IF($C302="West",1,0)</f>
        <v>1</v>
      </c>
    </row>
    <row r="303" customFormat="false" ht="15" hidden="false" customHeight="true" outlineLevel="0" collapsed="false">
      <c r="A303" s="3" t="str">
        <f aca="false">Cleaned_Data!A303</f>
        <v>STR-1075</v>
      </c>
      <c r="B303" s="4" t="n">
        <f aca="false">Cleaned_Data!B303</f>
        <v>45717</v>
      </c>
      <c r="C303" s="3" t="str">
        <f aca="false">Cleaned_Data!C303</f>
        <v>West</v>
      </c>
      <c r="D303" s="3" t="str">
        <f aca="false">Cleaned_Data!D303</f>
        <v>High Street</v>
      </c>
      <c r="E303" s="3" t="n">
        <f aca="false">IF($D303="Airport",1,0)</f>
        <v>0</v>
      </c>
      <c r="F303" s="3" t="n">
        <f aca="false">IF($D303="Mall",1,0)</f>
        <v>0</v>
      </c>
      <c r="G303" s="3" t="n">
        <f aca="false">IF($D303="Residential",1,0)</f>
        <v>0</v>
      </c>
      <c r="H303" s="3" t="n">
        <f aca="false">IF($C303="North",1,0)</f>
        <v>0</v>
      </c>
      <c r="I303" s="3" t="n">
        <f aca="false">IF($C303="South",1,0)</f>
        <v>0</v>
      </c>
      <c r="J303" s="3" t="n">
        <f aca="false">IF($C303="West",1,0)</f>
        <v>1</v>
      </c>
    </row>
    <row r="304" customFormat="false" ht="15" hidden="false" customHeight="true" outlineLevel="0" collapsed="false">
      <c r="A304" s="3" t="str">
        <f aca="false">Cleaned_Data!A304</f>
        <v>STR-1075</v>
      </c>
      <c r="B304" s="4" t="n">
        <f aca="false">Cleaned_Data!B304</f>
        <v>45748</v>
      </c>
      <c r="C304" s="3" t="str">
        <f aca="false">Cleaned_Data!C304</f>
        <v>West</v>
      </c>
      <c r="D304" s="3" t="str">
        <f aca="false">Cleaned_Data!D304</f>
        <v>High Street</v>
      </c>
      <c r="E304" s="3" t="n">
        <f aca="false">IF($D304="Airport",1,0)</f>
        <v>0</v>
      </c>
      <c r="F304" s="3" t="n">
        <f aca="false">IF($D304="Mall",1,0)</f>
        <v>0</v>
      </c>
      <c r="G304" s="3" t="n">
        <f aca="false">IF($D304="Residential",1,0)</f>
        <v>0</v>
      </c>
      <c r="H304" s="3" t="n">
        <f aca="false">IF($C304="North",1,0)</f>
        <v>0</v>
      </c>
      <c r="I304" s="3" t="n">
        <f aca="false">IF($C304="South",1,0)</f>
        <v>0</v>
      </c>
      <c r="J304" s="3" t="n">
        <f aca="false">IF($C304="West",1,0)</f>
        <v>1</v>
      </c>
    </row>
    <row r="305" customFormat="false" ht="15" hidden="false" customHeight="true" outlineLevel="0" collapsed="false">
      <c r="A305" s="3" t="str">
        <f aca="false">Cleaned_Data!A305</f>
        <v>STR-1076</v>
      </c>
      <c r="B305" s="4" t="n">
        <f aca="false">Cleaned_Data!B305</f>
        <v>45658</v>
      </c>
      <c r="C305" s="3" t="str">
        <f aca="false">Cleaned_Data!C305</f>
        <v>North</v>
      </c>
      <c r="D305" s="3" t="str">
        <f aca="false">Cleaned_Data!D305</f>
        <v>Mall</v>
      </c>
      <c r="E305" s="3" t="n">
        <f aca="false">IF($D305="Airport",1,0)</f>
        <v>0</v>
      </c>
      <c r="F305" s="3" t="n">
        <f aca="false">IF($D305="Mall",1,0)</f>
        <v>1</v>
      </c>
      <c r="G305" s="3" t="n">
        <f aca="false">IF($D305="Residential",1,0)</f>
        <v>0</v>
      </c>
      <c r="H305" s="3" t="n">
        <f aca="false">IF($C305="North",1,0)</f>
        <v>1</v>
      </c>
      <c r="I305" s="3" t="n">
        <f aca="false">IF($C305="South",1,0)</f>
        <v>0</v>
      </c>
      <c r="J305" s="3" t="n">
        <f aca="false">IF($C305="West",1,0)</f>
        <v>0</v>
      </c>
    </row>
    <row r="306" customFormat="false" ht="15" hidden="false" customHeight="true" outlineLevel="0" collapsed="false">
      <c r="A306" s="3" t="str">
        <f aca="false">Cleaned_Data!A306</f>
        <v>STR-1076</v>
      </c>
      <c r="B306" s="4" t="n">
        <f aca="false">Cleaned_Data!B306</f>
        <v>45689</v>
      </c>
      <c r="C306" s="3" t="str">
        <f aca="false">Cleaned_Data!C306</f>
        <v>North</v>
      </c>
      <c r="D306" s="3" t="str">
        <f aca="false">Cleaned_Data!D306</f>
        <v>Mall</v>
      </c>
      <c r="E306" s="3" t="n">
        <f aca="false">IF($D306="Airport",1,0)</f>
        <v>0</v>
      </c>
      <c r="F306" s="3" t="n">
        <f aca="false">IF($D306="Mall",1,0)</f>
        <v>1</v>
      </c>
      <c r="G306" s="3" t="n">
        <f aca="false">IF($D306="Residential",1,0)</f>
        <v>0</v>
      </c>
      <c r="H306" s="3" t="n">
        <f aca="false">IF($C306="North",1,0)</f>
        <v>1</v>
      </c>
      <c r="I306" s="3" t="n">
        <f aca="false">IF($C306="South",1,0)</f>
        <v>0</v>
      </c>
      <c r="J306" s="3" t="n">
        <f aca="false">IF($C306="West",1,0)</f>
        <v>0</v>
      </c>
    </row>
    <row r="307" customFormat="false" ht="15" hidden="false" customHeight="true" outlineLevel="0" collapsed="false">
      <c r="A307" s="3" t="str">
        <f aca="false">Cleaned_Data!A307</f>
        <v>STR-1076</v>
      </c>
      <c r="B307" s="4" t="n">
        <f aca="false">Cleaned_Data!B307</f>
        <v>45717</v>
      </c>
      <c r="C307" s="3" t="str">
        <f aca="false">Cleaned_Data!C307</f>
        <v>North</v>
      </c>
      <c r="D307" s="3" t="str">
        <f aca="false">Cleaned_Data!D307</f>
        <v>Mall</v>
      </c>
      <c r="E307" s="3" t="n">
        <f aca="false">IF($D307="Airport",1,0)</f>
        <v>0</v>
      </c>
      <c r="F307" s="3" t="n">
        <f aca="false">IF($D307="Mall",1,0)</f>
        <v>1</v>
      </c>
      <c r="G307" s="3" t="n">
        <f aca="false">IF($D307="Residential",1,0)</f>
        <v>0</v>
      </c>
      <c r="H307" s="3" t="n">
        <f aca="false">IF($C307="North",1,0)</f>
        <v>1</v>
      </c>
      <c r="I307" s="3" t="n">
        <f aca="false">IF($C307="South",1,0)</f>
        <v>0</v>
      </c>
      <c r="J307" s="3" t="n">
        <f aca="false">IF($C307="West",1,0)</f>
        <v>0</v>
      </c>
    </row>
    <row r="308" customFormat="false" ht="15" hidden="false" customHeight="true" outlineLevel="0" collapsed="false">
      <c r="A308" s="3" t="str">
        <f aca="false">Cleaned_Data!A308</f>
        <v>STR-1076</v>
      </c>
      <c r="B308" s="4" t="n">
        <f aca="false">Cleaned_Data!B308</f>
        <v>45748</v>
      </c>
      <c r="C308" s="3" t="str">
        <f aca="false">Cleaned_Data!C308</f>
        <v>North</v>
      </c>
      <c r="D308" s="3" t="str">
        <f aca="false">Cleaned_Data!D308</f>
        <v>Mall</v>
      </c>
      <c r="E308" s="3" t="n">
        <f aca="false">IF($D308="Airport",1,0)</f>
        <v>0</v>
      </c>
      <c r="F308" s="3" t="n">
        <f aca="false">IF($D308="Mall",1,0)</f>
        <v>1</v>
      </c>
      <c r="G308" s="3" t="n">
        <f aca="false">IF($D308="Residential",1,0)</f>
        <v>0</v>
      </c>
      <c r="H308" s="3" t="n">
        <f aca="false">IF($C308="North",1,0)</f>
        <v>1</v>
      </c>
      <c r="I308" s="3" t="n">
        <f aca="false">IF($C308="South",1,0)</f>
        <v>0</v>
      </c>
      <c r="J308" s="3" t="n">
        <f aca="false">IF($C308="West",1,0)</f>
        <v>0</v>
      </c>
    </row>
    <row r="309" customFormat="false" ht="15" hidden="false" customHeight="true" outlineLevel="0" collapsed="false">
      <c r="A309" s="3" t="str">
        <f aca="false">Cleaned_Data!A309</f>
        <v>STR-1077</v>
      </c>
      <c r="B309" s="4" t="n">
        <f aca="false">Cleaned_Data!B309</f>
        <v>45658</v>
      </c>
      <c r="C309" s="3" t="str">
        <f aca="false">Cleaned_Data!C309</f>
        <v>South</v>
      </c>
      <c r="D309" s="3" t="str">
        <f aca="false">Cleaned_Data!D309</f>
        <v>Residential</v>
      </c>
      <c r="E309" s="3" t="n">
        <f aca="false">IF($D309="Airport",1,0)</f>
        <v>0</v>
      </c>
      <c r="F309" s="3" t="n">
        <f aca="false">IF($D309="Mall",1,0)</f>
        <v>0</v>
      </c>
      <c r="G309" s="3" t="n">
        <f aca="false">IF($D309="Residential",1,0)</f>
        <v>1</v>
      </c>
      <c r="H309" s="3" t="n">
        <f aca="false">IF($C309="North",1,0)</f>
        <v>0</v>
      </c>
      <c r="I309" s="3" t="n">
        <f aca="false">IF($C309="South",1,0)</f>
        <v>1</v>
      </c>
      <c r="J309" s="3" t="n">
        <f aca="false">IF($C309="West",1,0)</f>
        <v>0</v>
      </c>
    </row>
    <row r="310" customFormat="false" ht="15" hidden="false" customHeight="true" outlineLevel="0" collapsed="false">
      <c r="A310" s="3" t="str">
        <f aca="false">Cleaned_Data!A310</f>
        <v>STR-1077</v>
      </c>
      <c r="B310" s="4" t="n">
        <f aca="false">Cleaned_Data!B310</f>
        <v>45689</v>
      </c>
      <c r="C310" s="3" t="str">
        <f aca="false">Cleaned_Data!C310</f>
        <v>South</v>
      </c>
      <c r="D310" s="3" t="str">
        <f aca="false">Cleaned_Data!D310</f>
        <v>Residential</v>
      </c>
      <c r="E310" s="3" t="n">
        <f aca="false">IF($D310="Airport",1,0)</f>
        <v>0</v>
      </c>
      <c r="F310" s="3" t="n">
        <f aca="false">IF($D310="Mall",1,0)</f>
        <v>0</v>
      </c>
      <c r="G310" s="3" t="n">
        <f aca="false">IF($D310="Residential",1,0)</f>
        <v>1</v>
      </c>
      <c r="H310" s="3" t="n">
        <f aca="false">IF($C310="North",1,0)</f>
        <v>0</v>
      </c>
      <c r="I310" s="3" t="n">
        <f aca="false">IF($C310="South",1,0)</f>
        <v>1</v>
      </c>
      <c r="J310" s="3" t="n">
        <f aca="false">IF($C310="West",1,0)</f>
        <v>0</v>
      </c>
    </row>
    <row r="311" customFormat="false" ht="15" hidden="false" customHeight="true" outlineLevel="0" collapsed="false">
      <c r="A311" s="3" t="str">
        <f aca="false">Cleaned_Data!A311</f>
        <v>STR-1077</v>
      </c>
      <c r="B311" s="4" t="n">
        <f aca="false">Cleaned_Data!B311</f>
        <v>45717</v>
      </c>
      <c r="C311" s="3" t="str">
        <f aca="false">Cleaned_Data!C311</f>
        <v>South</v>
      </c>
      <c r="D311" s="3" t="str">
        <f aca="false">Cleaned_Data!D311</f>
        <v>Residential</v>
      </c>
      <c r="E311" s="3" t="n">
        <f aca="false">IF($D311="Airport",1,0)</f>
        <v>0</v>
      </c>
      <c r="F311" s="3" t="n">
        <f aca="false">IF($D311="Mall",1,0)</f>
        <v>0</v>
      </c>
      <c r="G311" s="3" t="n">
        <f aca="false">IF($D311="Residential",1,0)</f>
        <v>1</v>
      </c>
      <c r="H311" s="3" t="n">
        <f aca="false">IF($C311="North",1,0)</f>
        <v>0</v>
      </c>
      <c r="I311" s="3" t="n">
        <f aca="false">IF($C311="South",1,0)</f>
        <v>1</v>
      </c>
      <c r="J311" s="3" t="n">
        <f aca="false">IF($C311="West",1,0)</f>
        <v>0</v>
      </c>
    </row>
    <row r="312" customFormat="false" ht="15" hidden="false" customHeight="true" outlineLevel="0" collapsed="false">
      <c r="A312" s="3" t="str">
        <f aca="false">Cleaned_Data!A312</f>
        <v>STR-1077</v>
      </c>
      <c r="B312" s="4" t="n">
        <f aca="false">Cleaned_Data!B312</f>
        <v>45748</v>
      </c>
      <c r="C312" s="3" t="str">
        <f aca="false">Cleaned_Data!C312</f>
        <v>South</v>
      </c>
      <c r="D312" s="3" t="str">
        <f aca="false">Cleaned_Data!D312</f>
        <v>Residential</v>
      </c>
      <c r="E312" s="3" t="n">
        <f aca="false">IF($D312="Airport",1,0)</f>
        <v>0</v>
      </c>
      <c r="F312" s="3" t="n">
        <f aca="false">IF($D312="Mall",1,0)</f>
        <v>0</v>
      </c>
      <c r="G312" s="3" t="n">
        <f aca="false">IF($D312="Residential",1,0)</f>
        <v>1</v>
      </c>
      <c r="H312" s="3" t="n">
        <f aca="false">IF($C312="North",1,0)</f>
        <v>0</v>
      </c>
      <c r="I312" s="3" t="n">
        <f aca="false">IF($C312="South",1,0)</f>
        <v>1</v>
      </c>
      <c r="J312" s="3" t="n">
        <f aca="false">IF($C312="West",1,0)</f>
        <v>0</v>
      </c>
    </row>
    <row r="313" customFormat="false" ht="15" hidden="false" customHeight="true" outlineLevel="0" collapsed="false">
      <c r="A313" s="3" t="str">
        <f aca="false">Cleaned_Data!A313</f>
        <v>STR-1078</v>
      </c>
      <c r="B313" s="4" t="n">
        <f aca="false">Cleaned_Data!B313</f>
        <v>45658</v>
      </c>
      <c r="C313" s="3" t="str">
        <f aca="false">Cleaned_Data!C313</f>
        <v>South</v>
      </c>
      <c r="D313" s="3" t="str">
        <f aca="false">Cleaned_Data!D313</f>
        <v>High Street</v>
      </c>
      <c r="E313" s="3" t="n">
        <f aca="false">IF($D313="Airport",1,0)</f>
        <v>0</v>
      </c>
      <c r="F313" s="3" t="n">
        <f aca="false">IF($D313="Mall",1,0)</f>
        <v>0</v>
      </c>
      <c r="G313" s="3" t="n">
        <f aca="false">IF($D313="Residential",1,0)</f>
        <v>0</v>
      </c>
      <c r="H313" s="3" t="n">
        <f aca="false">IF($C313="North",1,0)</f>
        <v>0</v>
      </c>
      <c r="I313" s="3" t="n">
        <f aca="false">IF($C313="South",1,0)</f>
        <v>1</v>
      </c>
      <c r="J313" s="3" t="n">
        <f aca="false">IF($C313="West",1,0)</f>
        <v>0</v>
      </c>
    </row>
    <row r="314" customFormat="false" ht="15" hidden="false" customHeight="true" outlineLevel="0" collapsed="false">
      <c r="A314" s="3" t="str">
        <f aca="false">Cleaned_Data!A314</f>
        <v>STR-1078</v>
      </c>
      <c r="B314" s="4" t="n">
        <f aca="false">Cleaned_Data!B314</f>
        <v>45689</v>
      </c>
      <c r="C314" s="3" t="str">
        <f aca="false">Cleaned_Data!C314</f>
        <v>South</v>
      </c>
      <c r="D314" s="3" t="str">
        <f aca="false">Cleaned_Data!D314</f>
        <v>High Street</v>
      </c>
      <c r="E314" s="3" t="n">
        <f aca="false">IF($D314="Airport",1,0)</f>
        <v>0</v>
      </c>
      <c r="F314" s="3" t="n">
        <f aca="false">IF($D314="Mall",1,0)</f>
        <v>0</v>
      </c>
      <c r="G314" s="3" t="n">
        <f aca="false">IF($D314="Residential",1,0)</f>
        <v>0</v>
      </c>
      <c r="H314" s="3" t="n">
        <f aca="false">IF($C314="North",1,0)</f>
        <v>0</v>
      </c>
      <c r="I314" s="3" t="n">
        <f aca="false">IF($C314="South",1,0)</f>
        <v>1</v>
      </c>
      <c r="J314" s="3" t="n">
        <f aca="false">IF($C314="West",1,0)</f>
        <v>0</v>
      </c>
    </row>
    <row r="315" customFormat="false" ht="15" hidden="false" customHeight="true" outlineLevel="0" collapsed="false">
      <c r="A315" s="3" t="str">
        <f aca="false">Cleaned_Data!A315</f>
        <v>STR-1078</v>
      </c>
      <c r="B315" s="4" t="n">
        <f aca="false">Cleaned_Data!B315</f>
        <v>45717</v>
      </c>
      <c r="C315" s="3" t="str">
        <f aca="false">Cleaned_Data!C315</f>
        <v>South</v>
      </c>
      <c r="D315" s="3" t="str">
        <f aca="false">Cleaned_Data!D315</f>
        <v>High Street</v>
      </c>
      <c r="E315" s="3" t="n">
        <f aca="false">IF($D315="Airport",1,0)</f>
        <v>0</v>
      </c>
      <c r="F315" s="3" t="n">
        <f aca="false">IF($D315="Mall",1,0)</f>
        <v>0</v>
      </c>
      <c r="G315" s="3" t="n">
        <f aca="false">IF($D315="Residential",1,0)</f>
        <v>0</v>
      </c>
      <c r="H315" s="3" t="n">
        <f aca="false">IF($C315="North",1,0)</f>
        <v>0</v>
      </c>
      <c r="I315" s="3" t="n">
        <f aca="false">IF($C315="South",1,0)</f>
        <v>1</v>
      </c>
      <c r="J315" s="3" t="n">
        <f aca="false">IF($C315="West",1,0)</f>
        <v>0</v>
      </c>
    </row>
    <row r="316" customFormat="false" ht="15" hidden="false" customHeight="true" outlineLevel="0" collapsed="false">
      <c r="A316" s="3" t="str">
        <f aca="false">Cleaned_Data!A316</f>
        <v>STR-1078</v>
      </c>
      <c r="B316" s="4" t="n">
        <f aca="false">Cleaned_Data!B316</f>
        <v>45748</v>
      </c>
      <c r="C316" s="3" t="str">
        <f aca="false">Cleaned_Data!C316</f>
        <v>South</v>
      </c>
      <c r="D316" s="3" t="str">
        <f aca="false">Cleaned_Data!D316</f>
        <v>High Street</v>
      </c>
      <c r="E316" s="3" t="n">
        <f aca="false">IF($D316="Airport",1,0)</f>
        <v>0</v>
      </c>
      <c r="F316" s="3" t="n">
        <f aca="false">IF($D316="Mall",1,0)</f>
        <v>0</v>
      </c>
      <c r="G316" s="3" t="n">
        <f aca="false">IF($D316="Residential",1,0)</f>
        <v>0</v>
      </c>
      <c r="H316" s="3" t="n">
        <f aca="false">IF($C316="North",1,0)</f>
        <v>0</v>
      </c>
      <c r="I316" s="3" t="n">
        <f aca="false">IF($C316="South",1,0)</f>
        <v>1</v>
      </c>
      <c r="J316" s="3" t="n">
        <f aca="false">IF($C316="West",1,0)</f>
        <v>0</v>
      </c>
    </row>
    <row r="317" customFormat="false" ht="15" hidden="false" customHeight="true" outlineLevel="0" collapsed="false">
      <c r="A317" s="3" t="str">
        <f aca="false">Cleaned_Data!A317</f>
        <v>STR-1079</v>
      </c>
      <c r="B317" s="4" t="n">
        <f aca="false">Cleaned_Data!B317</f>
        <v>45658</v>
      </c>
      <c r="C317" s="3" t="str">
        <f aca="false">Cleaned_Data!C317</f>
        <v>North</v>
      </c>
      <c r="D317" s="3" t="str">
        <f aca="false">Cleaned_Data!D317</f>
        <v>Residential</v>
      </c>
      <c r="E317" s="3" t="n">
        <f aca="false">IF($D317="Airport",1,0)</f>
        <v>0</v>
      </c>
      <c r="F317" s="3" t="n">
        <f aca="false">IF($D317="Mall",1,0)</f>
        <v>0</v>
      </c>
      <c r="G317" s="3" t="n">
        <f aca="false">IF($D317="Residential",1,0)</f>
        <v>1</v>
      </c>
      <c r="H317" s="3" t="n">
        <f aca="false">IF($C317="North",1,0)</f>
        <v>1</v>
      </c>
      <c r="I317" s="3" t="n">
        <f aca="false">IF($C317="South",1,0)</f>
        <v>0</v>
      </c>
      <c r="J317" s="3" t="n">
        <f aca="false">IF($C317="West",1,0)</f>
        <v>0</v>
      </c>
    </row>
    <row r="318" customFormat="false" ht="15" hidden="false" customHeight="true" outlineLevel="0" collapsed="false">
      <c r="A318" s="3" t="str">
        <f aca="false">Cleaned_Data!A318</f>
        <v>STR-1079</v>
      </c>
      <c r="B318" s="4" t="n">
        <f aca="false">Cleaned_Data!B318</f>
        <v>45689</v>
      </c>
      <c r="C318" s="3" t="str">
        <f aca="false">Cleaned_Data!C318</f>
        <v>North</v>
      </c>
      <c r="D318" s="3" t="str">
        <f aca="false">Cleaned_Data!D318</f>
        <v>Residential</v>
      </c>
      <c r="E318" s="3" t="n">
        <f aca="false">IF($D318="Airport",1,0)</f>
        <v>0</v>
      </c>
      <c r="F318" s="3" t="n">
        <f aca="false">IF($D318="Mall",1,0)</f>
        <v>0</v>
      </c>
      <c r="G318" s="3" t="n">
        <f aca="false">IF($D318="Residential",1,0)</f>
        <v>1</v>
      </c>
      <c r="H318" s="3" t="n">
        <f aca="false">IF($C318="North",1,0)</f>
        <v>1</v>
      </c>
      <c r="I318" s="3" t="n">
        <f aca="false">IF($C318="South",1,0)</f>
        <v>0</v>
      </c>
      <c r="J318" s="3" t="n">
        <f aca="false">IF($C318="West",1,0)</f>
        <v>0</v>
      </c>
    </row>
    <row r="319" customFormat="false" ht="15" hidden="false" customHeight="true" outlineLevel="0" collapsed="false">
      <c r="A319" s="3" t="str">
        <f aca="false">Cleaned_Data!A319</f>
        <v>STR-1079</v>
      </c>
      <c r="B319" s="4" t="n">
        <f aca="false">Cleaned_Data!B319</f>
        <v>45717</v>
      </c>
      <c r="C319" s="3" t="str">
        <f aca="false">Cleaned_Data!C319</f>
        <v>North</v>
      </c>
      <c r="D319" s="3" t="str">
        <f aca="false">Cleaned_Data!D319</f>
        <v>Residential</v>
      </c>
      <c r="E319" s="3" t="n">
        <f aca="false">IF($D319="Airport",1,0)</f>
        <v>0</v>
      </c>
      <c r="F319" s="3" t="n">
        <f aca="false">IF($D319="Mall",1,0)</f>
        <v>0</v>
      </c>
      <c r="G319" s="3" t="n">
        <f aca="false">IF($D319="Residential",1,0)</f>
        <v>1</v>
      </c>
      <c r="H319" s="3" t="n">
        <f aca="false">IF($C319="North",1,0)</f>
        <v>1</v>
      </c>
      <c r="I319" s="3" t="n">
        <f aca="false">IF($C319="South",1,0)</f>
        <v>0</v>
      </c>
      <c r="J319" s="3" t="n">
        <f aca="false">IF($C319="West",1,0)</f>
        <v>0</v>
      </c>
    </row>
    <row r="320" customFormat="false" ht="15" hidden="false" customHeight="true" outlineLevel="0" collapsed="false">
      <c r="A320" s="3" t="str">
        <f aca="false">Cleaned_Data!A320</f>
        <v>STR-1079</v>
      </c>
      <c r="B320" s="4" t="n">
        <f aca="false">Cleaned_Data!B320</f>
        <v>45748</v>
      </c>
      <c r="C320" s="3" t="str">
        <f aca="false">Cleaned_Data!C320</f>
        <v>North</v>
      </c>
      <c r="D320" s="3" t="str">
        <f aca="false">Cleaned_Data!D320</f>
        <v>Residential</v>
      </c>
      <c r="E320" s="3" t="n">
        <f aca="false">IF($D320="Airport",1,0)</f>
        <v>0</v>
      </c>
      <c r="F320" s="3" t="n">
        <f aca="false">IF($D320="Mall",1,0)</f>
        <v>0</v>
      </c>
      <c r="G320" s="3" t="n">
        <f aca="false">IF($D320="Residential",1,0)</f>
        <v>1</v>
      </c>
      <c r="H320" s="3" t="n">
        <f aca="false">IF($C320="North",1,0)</f>
        <v>1</v>
      </c>
      <c r="I320" s="3" t="n">
        <f aca="false">IF($C320="South",1,0)</f>
        <v>0</v>
      </c>
      <c r="J320" s="3" t="n">
        <f aca="false">IF($C320="West",1,0)</f>
        <v>0</v>
      </c>
    </row>
    <row r="321" customFormat="false" ht="15" hidden="false" customHeight="true" outlineLevel="0" collapsed="false">
      <c r="A321" s="3" t="str">
        <f aca="false">Cleaned_Data!A321</f>
        <v>STR-1080</v>
      </c>
      <c r="B321" s="4" t="n">
        <f aca="false">Cleaned_Data!B321</f>
        <v>45658</v>
      </c>
      <c r="C321" s="3" t="str">
        <f aca="false">Cleaned_Data!C321</f>
        <v>East</v>
      </c>
      <c r="D321" s="3" t="str">
        <f aca="false">Cleaned_Data!D321</f>
        <v>Residential</v>
      </c>
      <c r="E321" s="3" t="n">
        <f aca="false">IF($D321="Airport",1,0)</f>
        <v>0</v>
      </c>
      <c r="F321" s="3" t="n">
        <f aca="false">IF($D321="Mall",1,0)</f>
        <v>0</v>
      </c>
      <c r="G321" s="3" t="n">
        <f aca="false">IF($D321="Residential",1,0)</f>
        <v>1</v>
      </c>
      <c r="H321" s="3" t="n">
        <f aca="false">IF($C321="North",1,0)</f>
        <v>0</v>
      </c>
      <c r="I321" s="3" t="n">
        <f aca="false">IF($C321="South",1,0)</f>
        <v>0</v>
      </c>
      <c r="J321" s="3" t="n">
        <f aca="false">IF($C321="West",1,0)</f>
        <v>0</v>
      </c>
    </row>
    <row r="322" customFormat="false" ht="15" hidden="false" customHeight="true" outlineLevel="0" collapsed="false">
      <c r="A322" s="3" t="str">
        <f aca="false">Cleaned_Data!A322</f>
        <v>STR-1080</v>
      </c>
      <c r="B322" s="4" t="n">
        <f aca="false">Cleaned_Data!B322</f>
        <v>45689</v>
      </c>
      <c r="C322" s="3" t="str">
        <f aca="false">Cleaned_Data!C322</f>
        <v>East</v>
      </c>
      <c r="D322" s="3" t="str">
        <f aca="false">Cleaned_Data!D322</f>
        <v>Residential</v>
      </c>
      <c r="E322" s="3" t="n">
        <f aca="false">IF($D322="Airport",1,0)</f>
        <v>0</v>
      </c>
      <c r="F322" s="3" t="n">
        <f aca="false">IF($D322="Mall",1,0)</f>
        <v>0</v>
      </c>
      <c r="G322" s="3" t="n">
        <f aca="false">IF($D322="Residential",1,0)</f>
        <v>1</v>
      </c>
      <c r="H322" s="3" t="n">
        <f aca="false">IF($C322="North",1,0)</f>
        <v>0</v>
      </c>
      <c r="I322" s="3" t="n">
        <f aca="false">IF($C322="South",1,0)</f>
        <v>0</v>
      </c>
      <c r="J322" s="3" t="n">
        <f aca="false">IF($C322="West",1,0)</f>
        <v>0</v>
      </c>
    </row>
    <row r="323" customFormat="false" ht="15" hidden="false" customHeight="true" outlineLevel="0" collapsed="false">
      <c r="A323" s="3" t="str">
        <f aca="false">Cleaned_Data!A323</f>
        <v>STR-1080</v>
      </c>
      <c r="B323" s="4" t="n">
        <f aca="false">Cleaned_Data!B323</f>
        <v>45717</v>
      </c>
      <c r="C323" s="3" t="str">
        <f aca="false">Cleaned_Data!C323</f>
        <v>East</v>
      </c>
      <c r="D323" s="3" t="str">
        <f aca="false">Cleaned_Data!D323</f>
        <v>Residential</v>
      </c>
      <c r="E323" s="3" t="n">
        <f aca="false">IF($D323="Airport",1,0)</f>
        <v>0</v>
      </c>
      <c r="F323" s="3" t="n">
        <f aca="false">IF($D323="Mall",1,0)</f>
        <v>0</v>
      </c>
      <c r="G323" s="3" t="n">
        <f aca="false">IF($D323="Residential",1,0)</f>
        <v>1</v>
      </c>
      <c r="H323" s="3" t="n">
        <f aca="false">IF($C323="North",1,0)</f>
        <v>0</v>
      </c>
      <c r="I323" s="3" t="n">
        <f aca="false">IF($C323="South",1,0)</f>
        <v>0</v>
      </c>
      <c r="J323" s="3" t="n">
        <f aca="false">IF($C323="West",1,0)</f>
        <v>0</v>
      </c>
    </row>
    <row r="324" customFormat="false" ht="15" hidden="false" customHeight="true" outlineLevel="0" collapsed="false">
      <c r="A324" s="3" t="str">
        <f aca="false">Cleaned_Data!A324</f>
        <v>STR-1080</v>
      </c>
      <c r="B324" s="4" t="n">
        <f aca="false">Cleaned_Data!B324</f>
        <v>45748</v>
      </c>
      <c r="C324" s="3" t="str">
        <f aca="false">Cleaned_Data!C324</f>
        <v>East</v>
      </c>
      <c r="D324" s="3" t="str">
        <f aca="false">Cleaned_Data!D324</f>
        <v>Residential</v>
      </c>
      <c r="E324" s="3" t="n">
        <f aca="false">IF($D324="Airport",1,0)</f>
        <v>0</v>
      </c>
      <c r="F324" s="3" t="n">
        <f aca="false">IF($D324="Mall",1,0)</f>
        <v>0</v>
      </c>
      <c r="G324" s="3" t="n">
        <f aca="false">IF($D324="Residential",1,0)</f>
        <v>1</v>
      </c>
      <c r="H324" s="3" t="n">
        <f aca="false">IF($C324="North",1,0)</f>
        <v>0</v>
      </c>
      <c r="I324" s="3" t="n">
        <f aca="false">IF($C324="South",1,0)</f>
        <v>0</v>
      </c>
      <c r="J324" s="3" t="n">
        <f aca="false">IF($C324="West",1,0)</f>
        <v>0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S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10" min="9" style="1" width="20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18" min="16" style="1" width="12"/>
    <col collapsed="false" customWidth="true" hidden="false" outlineLevel="0" max="19" min="19" style="1" width="14"/>
  </cols>
  <sheetData>
    <row r="1" customFormat="false" ht="15" hidden="false" customHeight="true" outlineLevel="0" collapsed="false">
      <c r="A1" s="5" t="s">
        <v>114</v>
      </c>
    </row>
    <row r="3" customFormat="false" ht="23.25" hidden="false" customHeight="true" outlineLevel="0" collapsed="false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108</v>
      </c>
      <c r="N3" s="8" t="s">
        <v>109</v>
      </c>
      <c r="O3" s="8" t="s">
        <v>110</v>
      </c>
      <c r="P3" s="8" t="s">
        <v>111</v>
      </c>
      <c r="Q3" s="8" t="s">
        <v>112</v>
      </c>
      <c r="R3" s="8" t="s">
        <v>113</v>
      </c>
      <c r="S3" s="8" t="s">
        <v>12</v>
      </c>
    </row>
    <row r="4" customFormat="false" ht="15" hidden="false" customHeight="true" outlineLevel="0" collapsed="false">
      <c r="A4" s="3" t="str">
        <f aca="false">Cleaned_Data!A5</f>
        <v>STR-1001</v>
      </c>
      <c r="B4" s="4" t="n">
        <f aca="false">Cleaned_Data!B5</f>
        <v>45658</v>
      </c>
      <c r="C4" s="3" t="str">
        <f aca="false">Cleaned_Data!C5</f>
        <v>East</v>
      </c>
      <c r="D4" s="3" t="str">
        <f aca="false">Cleaned_Data!D5</f>
        <v>Residential</v>
      </c>
      <c r="E4" s="3" t="n">
        <f aca="false">Cleaned_Data!E5</f>
        <v>70389.11</v>
      </c>
      <c r="F4" s="3" t="n">
        <f aca="false">Cleaned_Data!F5</f>
        <v>8302</v>
      </c>
      <c r="G4" s="3" t="n">
        <f aca="false">Cleaned_Data!G5</f>
        <v>0.042</v>
      </c>
      <c r="H4" s="3" t="n">
        <f aca="false">Cleaned_Data!H5</f>
        <v>17</v>
      </c>
      <c r="I4" s="3" t="n">
        <f aca="false">Cleaned_Data!I5</f>
        <v>75</v>
      </c>
      <c r="J4" s="3" t="n">
        <f aca="false">Cleaned_Data!J5</f>
        <v>5.28</v>
      </c>
      <c r="K4" s="3" t="n">
        <f aca="false">Cleaned_Data!K5</f>
        <v>1</v>
      </c>
      <c r="L4" s="3" t="n">
        <f aca="false">Cleaned_Data!L5</f>
        <v>3.1</v>
      </c>
      <c r="M4" s="3" t="n">
        <f aca="false">Dummy_Variables!E5</f>
        <v>0</v>
      </c>
      <c r="N4" s="3" t="n">
        <f aca="false">Dummy_Variables!F5</f>
        <v>0</v>
      </c>
      <c r="O4" s="3" t="n">
        <f aca="false">Dummy_Variables!G5</f>
        <v>1</v>
      </c>
      <c r="P4" s="3" t="n">
        <f aca="false">Dummy_Variables!H5</f>
        <v>0</v>
      </c>
      <c r="Q4" s="3" t="n">
        <f aca="false">Dummy_Variables!I5</f>
        <v>0</v>
      </c>
      <c r="R4" s="3" t="n">
        <f aca="false">Dummy_Variables!J5</f>
        <v>0</v>
      </c>
      <c r="S4" s="3" t="n">
        <f aca="false">Cleaned_Data!M5</f>
        <v>658832.62</v>
      </c>
    </row>
    <row r="5" customFormat="false" ht="15" hidden="false" customHeight="true" outlineLevel="0" collapsed="false">
      <c r="A5" s="3" t="str">
        <f aca="false">Cleaned_Data!A6</f>
        <v>STR-1001</v>
      </c>
      <c r="B5" s="4" t="n">
        <f aca="false">Cleaned_Data!B6</f>
        <v>45689</v>
      </c>
      <c r="C5" s="3" t="str">
        <f aca="false">Cleaned_Data!C6</f>
        <v>East</v>
      </c>
      <c r="D5" s="3" t="str">
        <f aca="false">Cleaned_Data!D6</f>
        <v>Residential</v>
      </c>
      <c r="E5" s="3" t="n">
        <f aca="false">Cleaned_Data!E6</f>
        <v>43827.89</v>
      </c>
      <c r="F5" s="3" t="n">
        <f aca="false">Cleaned_Data!F6</f>
        <v>8487</v>
      </c>
      <c r="G5" s="3" t="n">
        <f aca="false">Cleaned_Data!G6</f>
        <v>0.168</v>
      </c>
      <c r="H5" s="3" t="n">
        <f aca="false">Cleaned_Data!H6</f>
        <v>23</v>
      </c>
      <c r="I5" s="3" t="n">
        <f aca="false">Cleaned_Data!I6</f>
        <v>84.4</v>
      </c>
      <c r="J5" s="3" t="n">
        <f aca="false">Cleaned_Data!J6</f>
        <v>4.31</v>
      </c>
      <c r="K5" s="3" t="n">
        <f aca="false">Cleaned_Data!K6</f>
        <v>0</v>
      </c>
      <c r="L5" s="3" t="n">
        <f aca="false">Cleaned_Data!L6</f>
        <v>2.8</v>
      </c>
      <c r="M5" s="3" t="n">
        <f aca="false">Dummy_Variables!E6</f>
        <v>0</v>
      </c>
      <c r="N5" s="3" t="n">
        <f aca="false">Dummy_Variables!F6</f>
        <v>0</v>
      </c>
      <c r="O5" s="3" t="n">
        <f aca="false">Dummy_Variables!G6</f>
        <v>1</v>
      </c>
      <c r="P5" s="3" t="n">
        <f aca="false">Dummy_Variables!H6</f>
        <v>0</v>
      </c>
      <c r="Q5" s="3" t="n">
        <f aca="false">Dummy_Variables!I6</f>
        <v>0</v>
      </c>
      <c r="R5" s="3" t="n">
        <f aca="false">Dummy_Variables!J6</f>
        <v>0</v>
      </c>
      <c r="S5" s="3" t="n">
        <f aca="false">Cleaned_Data!M6</f>
        <v>634436</v>
      </c>
    </row>
    <row r="6" customFormat="false" ht="15" hidden="false" customHeight="true" outlineLevel="0" collapsed="false">
      <c r="A6" s="3" t="str">
        <f aca="false">Cleaned_Data!A7</f>
        <v>STR-1001</v>
      </c>
      <c r="B6" s="4" t="n">
        <f aca="false">Cleaned_Data!B7</f>
        <v>45717</v>
      </c>
      <c r="C6" s="3" t="str">
        <f aca="false">Cleaned_Data!C7</f>
        <v>East</v>
      </c>
      <c r="D6" s="3" t="str">
        <f aca="false">Cleaned_Data!D7</f>
        <v>Residential</v>
      </c>
      <c r="E6" s="3" t="n">
        <f aca="false">Cleaned_Data!E7</f>
        <v>59921.75</v>
      </c>
      <c r="F6" s="3" t="n">
        <f aca="false">Cleaned_Data!F7</f>
        <v>9113</v>
      </c>
      <c r="G6" s="3" t="n">
        <f aca="false">Cleaned_Data!G7</f>
        <v>0.133</v>
      </c>
      <c r="H6" s="3" t="n">
        <f aca="false">Cleaned_Data!H7</f>
        <v>20</v>
      </c>
      <c r="I6" s="3" t="n">
        <f aca="false">Cleaned_Data!I7</f>
        <v>88</v>
      </c>
      <c r="J6" s="3" t="n">
        <f aca="false">Cleaned_Data!J7</f>
        <v>12</v>
      </c>
      <c r="K6" s="3" t="n">
        <f aca="false">Cleaned_Data!K7</f>
        <v>0</v>
      </c>
      <c r="L6" s="3" t="n">
        <f aca="false">Cleaned_Data!L7</f>
        <v>3.2</v>
      </c>
      <c r="M6" s="3" t="n">
        <f aca="false">Dummy_Variables!E7</f>
        <v>0</v>
      </c>
      <c r="N6" s="3" t="n">
        <f aca="false">Dummy_Variables!F7</f>
        <v>0</v>
      </c>
      <c r="O6" s="3" t="n">
        <f aca="false">Dummy_Variables!G7</f>
        <v>1</v>
      </c>
      <c r="P6" s="3" t="n">
        <f aca="false">Dummy_Variables!H7</f>
        <v>0</v>
      </c>
      <c r="Q6" s="3" t="n">
        <f aca="false">Dummy_Variables!I7</f>
        <v>0</v>
      </c>
      <c r="R6" s="3" t="n">
        <f aca="false">Dummy_Variables!J7</f>
        <v>0</v>
      </c>
      <c r="S6" s="3" t="n">
        <f aca="false">Cleaned_Data!M7</f>
        <v>678722.06</v>
      </c>
    </row>
    <row r="7" customFormat="false" ht="15" hidden="false" customHeight="true" outlineLevel="0" collapsed="false">
      <c r="A7" s="3" t="str">
        <f aca="false">Cleaned_Data!A8</f>
        <v>STR-1001</v>
      </c>
      <c r="B7" s="4" t="n">
        <f aca="false">Cleaned_Data!B8</f>
        <v>45748</v>
      </c>
      <c r="C7" s="3" t="str">
        <f aca="false">Cleaned_Data!C8</f>
        <v>East</v>
      </c>
      <c r="D7" s="3" t="str">
        <f aca="false">Cleaned_Data!D8</f>
        <v>Residential</v>
      </c>
      <c r="E7" s="3" t="n">
        <f aca="false">Cleaned_Data!E8</f>
        <v>56856.63</v>
      </c>
      <c r="F7" s="3" t="n">
        <f aca="false">Cleaned_Data!F8</f>
        <v>9431</v>
      </c>
      <c r="G7" s="3" t="n">
        <f aca="false">Cleaned_Data!G8</f>
        <v>0.142</v>
      </c>
      <c r="H7" s="3" t="n">
        <f aca="false">Cleaned_Data!H8</f>
        <v>23</v>
      </c>
      <c r="I7" s="3" t="n">
        <f aca="false">Cleaned_Data!I8</f>
        <v>86.9</v>
      </c>
      <c r="J7" s="3" t="n">
        <f aca="false">Cleaned_Data!J8</f>
        <v>4.97</v>
      </c>
      <c r="K7" s="3" t="n">
        <f aca="false">Cleaned_Data!K8</f>
        <v>0</v>
      </c>
      <c r="L7" s="3" t="n">
        <f aca="false">Cleaned_Data!L8</f>
        <v>3.4</v>
      </c>
      <c r="M7" s="3" t="n">
        <f aca="false">Dummy_Variables!E8</f>
        <v>0</v>
      </c>
      <c r="N7" s="3" t="n">
        <f aca="false">Dummy_Variables!F8</f>
        <v>0</v>
      </c>
      <c r="O7" s="3" t="n">
        <f aca="false">Dummy_Variables!G8</f>
        <v>1</v>
      </c>
      <c r="P7" s="3" t="n">
        <f aca="false">Dummy_Variables!H8</f>
        <v>0</v>
      </c>
      <c r="Q7" s="3" t="n">
        <f aca="false">Dummy_Variables!I8</f>
        <v>0</v>
      </c>
      <c r="R7" s="3" t="n">
        <f aca="false">Dummy_Variables!J8</f>
        <v>0</v>
      </c>
      <c r="S7" s="3" t="n">
        <f aca="false">Cleaned_Data!M8</f>
        <v>658920.3</v>
      </c>
    </row>
    <row r="8" customFormat="false" ht="15" hidden="false" customHeight="true" outlineLevel="0" collapsed="false">
      <c r="A8" s="3" t="str">
        <f aca="false">Cleaned_Data!A9</f>
        <v>STR-1002</v>
      </c>
      <c r="B8" s="4" t="n">
        <f aca="false">Cleaned_Data!B9</f>
        <v>45658</v>
      </c>
      <c r="C8" s="3" t="str">
        <f aca="false">Cleaned_Data!C9</f>
        <v>East</v>
      </c>
      <c r="D8" s="3" t="str">
        <f aca="false">Cleaned_Data!D9</f>
        <v>High Street</v>
      </c>
      <c r="E8" s="3" t="n">
        <f aca="false">Cleaned_Data!E9</f>
        <v>48412.64</v>
      </c>
      <c r="F8" s="3" t="n">
        <f aca="false">Cleaned_Data!F9</f>
        <v>9545</v>
      </c>
      <c r="G8" s="3" t="n">
        <f aca="false">Cleaned_Data!G9</f>
        <v>0.231</v>
      </c>
      <c r="H8" s="3" t="n">
        <f aca="false">Cleaned_Data!H9</f>
        <v>21</v>
      </c>
      <c r="I8" s="3" t="n">
        <f aca="false">Cleaned_Data!I9</f>
        <v>97.6</v>
      </c>
      <c r="J8" s="3" t="n">
        <f aca="false">Cleaned_Data!J9</f>
        <v>6.94</v>
      </c>
      <c r="K8" s="3" t="n">
        <f aca="false">Cleaned_Data!K9</f>
        <v>1</v>
      </c>
      <c r="L8" s="3" t="n">
        <f aca="false">Cleaned_Data!L9</f>
        <v>4.2</v>
      </c>
      <c r="M8" s="3" t="n">
        <f aca="false">Dummy_Variables!E9</f>
        <v>0</v>
      </c>
      <c r="N8" s="3" t="n">
        <f aca="false">Dummy_Variables!F9</f>
        <v>0</v>
      </c>
      <c r="O8" s="3" t="n">
        <f aca="false">Dummy_Variables!G9</f>
        <v>0</v>
      </c>
      <c r="P8" s="3" t="n">
        <f aca="false">Dummy_Variables!H9</f>
        <v>0</v>
      </c>
      <c r="Q8" s="3" t="n">
        <f aca="false">Dummy_Variables!I9</f>
        <v>0</v>
      </c>
      <c r="R8" s="3" t="n">
        <f aca="false">Dummy_Variables!J9</f>
        <v>0</v>
      </c>
      <c r="S8" s="3" t="n">
        <f aca="false">Cleaned_Data!M9</f>
        <v>741341.44</v>
      </c>
    </row>
    <row r="9" customFormat="false" ht="15" hidden="false" customHeight="true" outlineLevel="0" collapsed="false">
      <c r="A9" s="3" t="str">
        <f aca="false">Cleaned_Data!A10</f>
        <v>STR-1002</v>
      </c>
      <c r="B9" s="4" t="n">
        <f aca="false">Cleaned_Data!B10</f>
        <v>45689</v>
      </c>
      <c r="C9" s="3" t="str">
        <f aca="false">Cleaned_Data!C10</f>
        <v>East</v>
      </c>
      <c r="D9" s="3" t="str">
        <f aca="false">Cleaned_Data!D10</f>
        <v>High Street</v>
      </c>
      <c r="E9" s="3" t="n">
        <f aca="false">Cleaned_Data!E10</f>
        <v>64811.21</v>
      </c>
      <c r="F9" s="3" t="n">
        <f aca="false">Cleaned_Data!F10</f>
        <v>9792</v>
      </c>
      <c r="G9" s="3" t="n">
        <f aca="false">Cleaned_Data!G10</f>
        <v>0.112</v>
      </c>
      <c r="H9" s="3" t="n">
        <f aca="false">Cleaned_Data!H10</f>
        <v>20</v>
      </c>
      <c r="I9" s="3" t="n">
        <f aca="false">Cleaned_Data!I10</f>
        <v>84.2</v>
      </c>
      <c r="J9" s="3" t="n">
        <f aca="false">Cleaned_Data!J10</f>
        <v>2.88</v>
      </c>
      <c r="K9" s="3" t="n">
        <f aca="false">Cleaned_Data!K10</f>
        <v>0</v>
      </c>
      <c r="L9" s="3" t="n">
        <f aca="false">Cleaned_Data!L10</f>
        <v>4.2</v>
      </c>
      <c r="M9" s="3" t="n">
        <f aca="false">Dummy_Variables!E10</f>
        <v>0</v>
      </c>
      <c r="N9" s="3" t="n">
        <f aca="false">Dummy_Variables!F10</f>
        <v>0</v>
      </c>
      <c r="O9" s="3" t="n">
        <f aca="false">Dummy_Variables!G10</f>
        <v>0</v>
      </c>
      <c r="P9" s="3" t="n">
        <f aca="false">Dummy_Variables!H10</f>
        <v>0</v>
      </c>
      <c r="Q9" s="3" t="n">
        <f aca="false">Dummy_Variables!I10</f>
        <v>0</v>
      </c>
      <c r="R9" s="3" t="n">
        <f aca="false">Dummy_Variables!J10</f>
        <v>0</v>
      </c>
      <c r="S9" s="3" t="n">
        <f aca="false">Cleaned_Data!M10</f>
        <v>761835.34</v>
      </c>
    </row>
    <row r="10" customFormat="false" ht="15" hidden="false" customHeight="true" outlineLevel="0" collapsed="false">
      <c r="A10" s="3" t="str">
        <f aca="false">Cleaned_Data!A11</f>
        <v>STR-1002</v>
      </c>
      <c r="B10" s="4" t="n">
        <f aca="false">Cleaned_Data!B11</f>
        <v>45717</v>
      </c>
      <c r="C10" s="3" t="str">
        <f aca="false">Cleaned_Data!C11</f>
        <v>East</v>
      </c>
      <c r="D10" s="3" t="str">
        <f aca="false">Cleaned_Data!D11</f>
        <v>High Street</v>
      </c>
      <c r="E10" s="3" t="n">
        <f aca="false">Cleaned_Data!E11</f>
        <v>46213.45</v>
      </c>
      <c r="F10" s="3" t="n">
        <f aca="false">Cleaned_Data!F11</f>
        <v>10616</v>
      </c>
      <c r="G10" s="3" t="n">
        <f aca="false">Cleaned_Data!G11</f>
        <v>0.122</v>
      </c>
      <c r="H10" s="3" t="n">
        <f aca="false">Cleaned_Data!H11</f>
        <v>22</v>
      </c>
      <c r="I10" s="3" t="n">
        <f aca="false">Cleaned_Data!I11</f>
        <v>85.2</v>
      </c>
      <c r="J10" s="3" t="n">
        <f aca="false">Cleaned_Data!J11</f>
        <v>0.2</v>
      </c>
      <c r="K10" s="3" t="n">
        <f aca="false">Cleaned_Data!K11</f>
        <v>1</v>
      </c>
      <c r="L10" s="3" t="n">
        <f aca="false">Cleaned_Data!L11</f>
        <v>4.1</v>
      </c>
      <c r="M10" s="3" t="n">
        <f aca="false">Dummy_Variables!E11</f>
        <v>0</v>
      </c>
      <c r="N10" s="3" t="n">
        <f aca="false">Dummy_Variables!F11</f>
        <v>0</v>
      </c>
      <c r="O10" s="3" t="n">
        <f aca="false">Dummy_Variables!G11</f>
        <v>0</v>
      </c>
      <c r="P10" s="3" t="n">
        <f aca="false">Dummy_Variables!H11</f>
        <v>0</v>
      </c>
      <c r="Q10" s="3" t="n">
        <f aca="false">Dummy_Variables!I11</f>
        <v>0</v>
      </c>
      <c r="R10" s="3" t="n">
        <f aca="false">Dummy_Variables!J11</f>
        <v>0</v>
      </c>
      <c r="S10" s="3" t="n">
        <f aca="false">Cleaned_Data!M11</f>
        <v>806615.54</v>
      </c>
    </row>
    <row r="11" customFormat="false" ht="15" hidden="false" customHeight="true" outlineLevel="0" collapsed="false">
      <c r="A11" s="3" t="str">
        <f aca="false">Cleaned_Data!A12</f>
        <v>STR-1002</v>
      </c>
      <c r="B11" s="4" t="n">
        <f aca="false">Cleaned_Data!B12</f>
        <v>45748</v>
      </c>
      <c r="C11" s="3" t="str">
        <f aca="false">Cleaned_Data!C12</f>
        <v>East</v>
      </c>
      <c r="D11" s="3" t="str">
        <f aca="false">Cleaned_Data!D12</f>
        <v>High Street</v>
      </c>
      <c r="E11" s="3" t="n">
        <f aca="false">Cleaned_Data!E12</f>
        <v>68148.52</v>
      </c>
      <c r="F11" s="3" t="n">
        <f aca="false">Cleaned_Data!F12</f>
        <v>8567</v>
      </c>
      <c r="G11" s="3" t="n">
        <f aca="false">Cleaned_Data!G12</f>
        <v>0.127</v>
      </c>
      <c r="H11" s="3" t="n">
        <f aca="false">Cleaned_Data!H12</f>
        <v>23</v>
      </c>
      <c r="I11" s="3" t="n">
        <f aca="false">Cleaned_Data!I12</f>
        <v>95.6</v>
      </c>
      <c r="J11" s="3" t="n">
        <f aca="false">Cleaned_Data!J12</f>
        <v>0.8</v>
      </c>
      <c r="K11" s="3" t="n">
        <f aca="false">Cleaned_Data!K12</f>
        <v>0</v>
      </c>
      <c r="L11" s="3" t="n">
        <f aca="false">Cleaned_Data!L12</f>
        <v>3.9</v>
      </c>
      <c r="M11" s="3" t="n">
        <f aca="false">Dummy_Variables!E12</f>
        <v>0</v>
      </c>
      <c r="N11" s="3" t="n">
        <f aca="false">Dummy_Variables!F12</f>
        <v>0</v>
      </c>
      <c r="O11" s="3" t="n">
        <f aca="false">Dummy_Variables!G12</f>
        <v>0</v>
      </c>
      <c r="P11" s="3" t="n">
        <f aca="false">Dummy_Variables!H12</f>
        <v>0</v>
      </c>
      <c r="Q11" s="3" t="n">
        <f aca="false">Dummy_Variables!I12</f>
        <v>0</v>
      </c>
      <c r="R11" s="3" t="n">
        <f aca="false">Dummy_Variables!J12</f>
        <v>0</v>
      </c>
      <c r="S11" s="3" t="n">
        <f aca="false">Cleaned_Data!M12</f>
        <v>850164.26</v>
      </c>
    </row>
    <row r="12" customFormat="false" ht="15" hidden="false" customHeight="true" outlineLevel="0" collapsed="false">
      <c r="A12" s="3" t="str">
        <f aca="false">Cleaned_Data!A13</f>
        <v>STR-1003</v>
      </c>
      <c r="B12" s="4" t="n">
        <f aca="false">Cleaned_Data!B13</f>
        <v>45658</v>
      </c>
      <c r="C12" s="3" t="str">
        <f aca="false">Cleaned_Data!C13</f>
        <v>North</v>
      </c>
      <c r="D12" s="3" t="str">
        <f aca="false">Cleaned_Data!D13</f>
        <v>Airport</v>
      </c>
      <c r="E12" s="3" t="n">
        <f aca="false">Cleaned_Data!E13</f>
        <v>71838.86</v>
      </c>
      <c r="F12" s="3" t="n">
        <f aca="false">Cleaned_Data!F13</f>
        <v>10979</v>
      </c>
      <c r="G12" s="3" t="n">
        <f aca="false">Cleaned_Data!G13</f>
        <v>0.215</v>
      </c>
      <c r="H12" s="3" t="n">
        <f aca="false">Cleaned_Data!H13</f>
        <v>26</v>
      </c>
      <c r="I12" s="3" t="n">
        <f aca="false">Cleaned_Data!I13</f>
        <v>88.6</v>
      </c>
      <c r="J12" s="3" t="n">
        <f aca="false">Cleaned_Data!J13</f>
        <v>7.7</v>
      </c>
      <c r="K12" s="3" t="n">
        <f aca="false">Cleaned_Data!K13</f>
        <v>1</v>
      </c>
      <c r="L12" s="3" t="n">
        <f aca="false">Cleaned_Data!L13</f>
        <v>3.8</v>
      </c>
      <c r="M12" s="3" t="n">
        <f aca="false">Dummy_Variables!E13</f>
        <v>1</v>
      </c>
      <c r="N12" s="3" t="n">
        <f aca="false">Dummy_Variables!F13</f>
        <v>0</v>
      </c>
      <c r="O12" s="3" t="n">
        <f aca="false">Dummy_Variables!G13</f>
        <v>0</v>
      </c>
      <c r="P12" s="3" t="n">
        <f aca="false">Dummy_Variables!H13</f>
        <v>1</v>
      </c>
      <c r="Q12" s="3" t="n">
        <f aca="false">Dummy_Variables!I13</f>
        <v>0</v>
      </c>
      <c r="R12" s="3" t="n">
        <f aca="false">Dummy_Variables!J13</f>
        <v>0</v>
      </c>
      <c r="S12" s="3" t="n">
        <f aca="false">Cleaned_Data!M13</f>
        <v>930581.7</v>
      </c>
    </row>
    <row r="13" customFormat="false" ht="15" hidden="false" customHeight="true" outlineLevel="0" collapsed="false">
      <c r="A13" s="3" t="str">
        <f aca="false">Cleaned_Data!A14</f>
        <v>STR-1003</v>
      </c>
      <c r="B13" s="4" t="n">
        <f aca="false">Cleaned_Data!B14</f>
        <v>45689</v>
      </c>
      <c r="C13" s="3" t="str">
        <f aca="false">Cleaned_Data!C14</f>
        <v>North</v>
      </c>
      <c r="D13" s="3" t="str">
        <f aca="false">Cleaned_Data!D14</f>
        <v>Airport</v>
      </c>
      <c r="E13" s="3" t="n">
        <f aca="false">Cleaned_Data!E14</f>
        <v>68133.44</v>
      </c>
      <c r="F13" s="3" t="n">
        <f aca="false">Cleaned_Data!F14</f>
        <v>9459</v>
      </c>
      <c r="G13" s="3" t="n">
        <f aca="false">Cleaned_Data!G14</f>
        <v>0.22</v>
      </c>
      <c r="H13" s="3" t="n">
        <f aca="false">Cleaned_Data!H14</f>
        <v>21</v>
      </c>
      <c r="I13" s="3" t="n">
        <f aca="false">Cleaned_Data!I14</f>
        <v>85</v>
      </c>
      <c r="J13" s="3" t="n">
        <f aca="false">Cleaned_Data!J14</f>
        <v>1.91</v>
      </c>
      <c r="K13" s="3" t="n">
        <f aca="false">Cleaned_Data!K14</f>
        <v>0</v>
      </c>
      <c r="L13" s="3" t="n">
        <f aca="false">Cleaned_Data!L14</f>
        <v>4.2</v>
      </c>
      <c r="M13" s="3" t="n">
        <f aca="false">Dummy_Variables!E14</f>
        <v>1</v>
      </c>
      <c r="N13" s="3" t="n">
        <f aca="false">Dummy_Variables!F14</f>
        <v>0</v>
      </c>
      <c r="O13" s="3" t="n">
        <f aca="false">Dummy_Variables!G14</f>
        <v>0</v>
      </c>
      <c r="P13" s="3" t="n">
        <f aca="false">Dummy_Variables!H14</f>
        <v>1</v>
      </c>
      <c r="Q13" s="3" t="n">
        <f aca="false">Dummy_Variables!I14</f>
        <v>0</v>
      </c>
      <c r="R13" s="3" t="n">
        <f aca="false">Dummy_Variables!J14</f>
        <v>0</v>
      </c>
      <c r="S13" s="3" t="n">
        <f aca="false">Cleaned_Data!M14</f>
        <v>779010.94</v>
      </c>
    </row>
    <row r="14" customFormat="false" ht="15" hidden="false" customHeight="true" outlineLevel="0" collapsed="false">
      <c r="A14" s="3" t="str">
        <f aca="false">Cleaned_Data!A15</f>
        <v>STR-1003</v>
      </c>
      <c r="B14" s="4" t="n">
        <f aca="false">Cleaned_Data!B15</f>
        <v>45717</v>
      </c>
      <c r="C14" s="3" t="str">
        <f aca="false">Cleaned_Data!C15</f>
        <v>North</v>
      </c>
      <c r="D14" s="3" t="str">
        <f aca="false">Cleaned_Data!D15</f>
        <v>Airport</v>
      </c>
      <c r="E14" s="3" t="n">
        <f aca="false">Cleaned_Data!E15</f>
        <v>34285.21</v>
      </c>
      <c r="F14" s="3" t="n">
        <f aca="false">Cleaned_Data!F15</f>
        <v>9172</v>
      </c>
      <c r="G14" s="3" t="n">
        <f aca="false">Cleaned_Data!G15</f>
        <v>0.213</v>
      </c>
      <c r="H14" s="3" t="n">
        <f aca="false">Cleaned_Data!H15</f>
        <v>22</v>
      </c>
      <c r="I14" s="3" t="n">
        <f aca="false">Cleaned_Data!I15</f>
        <v>88.3</v>
      </c>
      <c r="J14" s="3" t="n">
        <f aca="false">Cleaned_Data!J15</f>
        <v>10.46</v>
      </c>
      <c r="K14" s="3" t="n">
        <f aca="false">Cleaned_Data!K15</f>
        <v>1</v>
      </c>
      <c r="L14" s="3" t="n">
        <f aca="false">Cleaned_Data!L15</f>
        <v>3.8</v>
      </c>
      <c r="M14" s="3" t="n">
        <f aca="false">Dummy_Variables!E15</f>
        <v>1</v>
      </c>
      <c r="N14" s="3" t="n">
        <f aca="false">Dummy_Variables!F15</f>
        <v>0</v>
      </c>
      <c r="O14" s="3" t="n">
        <f aca="false">Dummy_Variables!G15</f>
        <v>0</v>
      </c>
      <c r="P14" s="3" t="n">
        <f aca="false">Dummy_Variables!H15</f>
        <v>1</v>
      </c>
      <c r="Q14" s="3" t="n">
        <f aca="false">Dummy_Variables!I15</f>
        <v>0</v>
      </c>
      <c r="R14" s="3" t="n">
        <f aca="false">Dummy_Variables!J15</f>
        <v>0</v>
      </c>
      <c r="S14" s="3" t="n">
        <f aca="false">Cleaned_Data!M15</f>
        <v>723060.76</v>
      </c>
    </row>
    <row r="15" customFormat="false" ht="15" hidden="false" customHeight="true" outlineLevel="0" collapsed="false">
      <c r="A15" s="3" t="str">
        <f aca="false">Cleaned_Data!A16</f>
        <v>STR-1003</v>
      </c>
      <c r="B15" s="4" t="n">
        <f aca="false">Cleaned_Data!B16</f>
        <v>45748</v>
      </c>
      <c r="C15" s="3" t="str">
        <f aca="false">Cleaned_Data!C16</f>
        <v>North</v>
      </c>
      <c r="D15" s="3" t="str">
        <f aca="false">Cleaned_Data!D16</f>
        <v>Airport</v>
      </c>
      <c r="E15" s="3" t="n">
        <f aca="false">Cleaned_Data!E16</f>
        <v>67979.88</v>
      </c>
      <c r="F15" s="3" t="n">
        <f aca="false">Cleaned_Data!F16</f>
        <v>11230</v>
      </c>
      <c r="G15" s="3" t="n">
        <f aca="false">Cleaned_Data!G16</f>
        <v>0.002</v>
      </c>
      <c r="H15" s="3" t="n">
        <f aca="false">Cleaned_Data!H16</f>
        <v>28</v>
      </c>
      <c r="I15" s="3" t="n">
        <f aca="false">Cleaned_Data!I16</f>
        <v>85.3</v>
      </c>
      <c r="J15" s="3" t="n">
        <f aca="false">Cleaned_Data!J16</f>
        <v>7.16</v>
      </c>
      <c r="K15" s="3" t="n">
        <f aca="false">Cleaned_Data!K16</f>
        <v>0</v>
      </c>
      <c r="L15" s="3" t="n">
        <f aca="false">Cleaned_Data!L16</f>
        <v>3.8</v>
      </c>
      <c r="M15" s="3" t="n">
        <f aca="false">Dummy_Variables!E16</f>
        <v>1</v>
      </c>
      <c r="N15" s="3" t="n">
        <f aca="false">Dummy_Variables!F16</f>
        <v>0</v>
      </c>
      <c r="O15" s="3" t="n">
        <f aca="false">Dummy_Variables!G16</f>
        <v>0</v>
      </c>
      <c r="P15" s="3" t="n">
        <f aca="false">Dummy_Variables!H16</f>
        <v>1</v>
      </c>
      <c r="Q15" s="3" t="n">
        <f aca="false">Dummy_Variables!I16</f>
        <v>0</v>
      </c>
      <c r="R15" s="3" t="n">
        <f aca="false">Dummy_Variables!J16</f>
        <v>0</v>
      </c>
      <c r="S15" s="3" t="n">
        <f aca="false">Cleaned_Data!M16</f>
        <v>910791.94</v>
      </c>
    </row>
    <row r="16" customFormat="false" ht="15" hidden="false" customHeight="true" outlineLevel="0" collapsed="false">
      <c r="A16" s="3" t="str">
        <f aca="false">Cleaned_Data!A17</f>
        <v>STR-1004</v>
      </c>
      <c r="B16" s="4" t="n">
        <f aca="false">Cleaned_Data!B17</f>
        <v>45658</v>
      </c>
      <c r="C16" s="3" t="str">
        <f aca="false">Cleaned_Data!C17</f>
        <v>East</v>
      </c>
      <c r="D16" s="3" t="str">
        <f aca="false">Cleaned_Data!D17</f>
        <v>Residential</v>
      </c>
      <c r="E16" s="3" t="n">
        <f aca="false">Cleaned_Data!E17</f>
        <v>71828.26</v>
      </c>
      <c r="F16" s="3" t="n">
        <f aca="false">Cleaned_Data!F17</f>
        <v>12775</v>
      </c>
      <c r="G16" s="3" t="n">
        <f aca="false">Cleaned_Data!G17</f>
        <v>0.116</v>
      </c>
      <c r="H16" s="3" t="n">
        <f aca="false">Cleaned_Data!H17</f>
        <v>30</v>
      </c>
      <c r="I16" s="3" t="n">
        <f aca="false">Cleaned_Data!I17</f>
        <v>81.7</v>
      </c>
      <c r="J16" s="3" t="n">
        <f aca="false">Cleaned_Data!J17</f>
        <v>4.24</v>
      </c>
      <c r="K16" s="3" t="n">
        <f aca="false">Cleaned_Data!K17</f>
        <v>1</v>
      </c>
      <c r="L16" s="3" t="n">
        <f aca="false">Cleaned_Data!L17</f>
        <v>4.2</v>
      </c>
      <c r="M16" s="3" t="n">
        <f aca="false">Dummy_Variables!E17</f>
        <v>0</v>
      </c>
      <c r="N16" s="3" t="n">
        <f aca="false">Dummy_Variables!F17</f>
        <v>0</v>
      </c>
      <c r="O16" s="3" t="n">
        <f aca="false">Dummy_Variables!G17</f>
        <v>1</v>
      </c>
      <c r="P16" s="3" t="n">
        <f aca="false">Dummy_Variables!H17</f>
        <v>0</v>
      </c>
      <c r="Q16" s="3" t="n">
        <f aca="false">Dummy_Variables!I17</f>
        <v>0</v>
      </c>
      <c r="R16" s="3" t="n">
        <f aca="false">Dummy_Variables!J17</f>
        <v>0</v>
      </c>
      <c r="S16" s="3" t="n">
        <f aca="false">Cleaned_Data!M17</f>
        <v>922168.6</v>
      </c>
    </row>
    <row r="17" customFormat="false" ht="15" hidden="false" customHeight="true" outlineLevel="0" collapsed="false">
      <c r="A17" s="3" t="str">
        <f aca="false">Cleaned_Data!A18</f>
        <v>STR-1004</v>
      </c>
      <c r="B17" s="4" t="n">
        <f aca="false">Cleaned_Data!B18</f>
        <v>45689</v>
      </c>
      <c r="C17" s="3" t="str">
        <f aca="false">Cleaned_Data!C18</f>
        <v>East</v>
      </c>
      <c r="D17" s="3" t="str">
        <f aca="false">Cleaned_Data!D18</f>
        <v>Residential</v>
      </c>
      <c r="E17" s="3" t="n">
        <f aca="false">Cleaned_Data!E18</f>
        <v>55716.82</v>
      </c>
      <c r="F17" s="3" t="n">
        <f aca="false">Cleaned_Data!F18</f>
        <v>10054</v>
      </c>
      <c r="G17" s="3" t="n">
        <f aca="false">Cleaned_Data!G18</f>
        <v>0.146</v>
      </c>
      <c r="H17" s="3" t="n">
        <f aca="false">Cleaned_Data!H18</f>
        <v>24</v>
      </c>
      <c r="I17" s="3" t="n">
        <f aca="false">Cleaned_Data!I18</f>
        <v>84.9</v>
      </c>
      <c r="J17" s="3" t="n">
        <f aca="false">Cleaned_Data!J18</f>
        <v>1.06</v>
      </c>
      <c r="K17" s="3" t="n">
        <f aca="false">Cleaned_Data!K18</f>
        <v>0</v>
      </c>
      <c r="L17" s="3" t="n">
        <f aca="false">Cleaned_Data!L18</f>
        <v>4.3</v>
      </c>
      <c r="M17" s="3" t="n">
        <f aca="false">Dummy_Variables!E18</f>
        <v>0</v>
      </c>
      <c r="N17" s="3" t="n">
        <f aca="false">Dummy_Variables!F18</f>
        <v>0</v>
      </c>
      <c r="O17" s="3" t="n">
        <f aca="false">Dummy_Variables!G18</f>
        <v>1</v>
      </c>
      <c r="P17" s="3" t="n">
        <f aca="false">Dummy_Variables!H18</f>
        <v>0</v>
      </c>
      <c r="Q17" s="3" t="n">
        <f aca="false">Dummy_Variables!I18</f>
        <v>0</v>
      </c>
      <c r="R17" s="3" t="n">
        <f aca="false">Dummy_Variables!J18</f>
        <v>0</v>
      </c>
      <c r="S17" s="3" t="n">
        <f aca="false">Cleaned_Data!M18</f>
        <v>726606.28</v>
      </c>
    </row>
    <row r="18" customFormat="false" ht="15" hidden="false" customHeight="true" outlineLevel="0" collapsed="false">
      <c r="A18" s="3" t="str">
        <f aca="false">Cleaned_Data!A19</f>
        <v>STR-1004</v>
      </c>
      <c r="B18" s="4" t="n">
        <f aca="false">Cleaned_Data!B19</f>
        <v>45717</v>
      </c>
      <c r="C18" s="3" t="str">
        <f aca="false">Cleaned_Data!C19</f>
        <v>East</v>
      </c>
      <c r="D18" s="3" t="str">
        <f aca="false">Cleaned_Data!D19</f>
        <v>Residential</v>
      </c>
      <c r="E18" s="3" t="n">
        <f aca="false">Cleaned_Data!E19</f>
        <v>59909.51</v>
      </c>
      <c r="F18" s="3" t="n">
        <f aca="false">Cleaned_Data!F19</f>
        <v>8895</v>
      </c>
      <c r="G18" s="3" t="n">
        <f aca="false">Cleaned_Data!G19</f>
        <v>0.228</v>
      </c>
      <c r="H18" s="3" t="n">
        <f aca="false">Cleaned_Data!H19</f>
        <v>23</v>
      </c>
      <c r="I18" s="3" t="n">
        <f aca="false">Cleaned_Data!I19</f>
        <v>88.8</v>
      </c>
      <c r="J18" s="3" t="n">
        <f aca="false">Cleaned_Data!J19</f>
        <v>0.27</v>
      </c>
      <c r="K18" s="3" t="n">
        <f aca="false">Cleaned_Data!K19</f>
        <v>0</v>
      </c>
      <c r="L18" s="3" t="n">
        <f aca="false">Cleaned_Data!L19</f>
        <v>4.3</v>
      </c>
      <c r="M18" s="3" t="n">
        <f aca="false">Dummy_Variables!E19</f>
        <v>0</v>
      </c>
      <c r="N18" s="3" t="n">
        <f aca="false">Dummy_Variables!F19</f>
        <v>0</v>
      </c>
      <c r="O18" s="3" t="n">
        <f aca="false">Dummy_Variables!G19</f>
        <v>1</v>
      </c>
      <c r="P18" s="3" t="n">
        <f aca="false">Dummy_Variables!H19</f>
        <v>0</v>
      </c>
      <c r="Q18" s="3" t="n">
        <f aca="false">Dummy_Variables!I19</f>
        <v>0</v>
      </c>
      <c r="R18" s="3" t="n">
        <f aca="false">Dummy_Variables!J19</f>
        <v>0</v>
      </c>
      <c r="S18" s="3" t="n">
        <f aca="false">Cleaned_Data!M19</f>
        <v>746501.09</v>
      </c>
    </row>
    <row r="19" customFormat="false" ht="15" hidden="false" customHeight="true" outlineLevel="0" collapsed="false">
      <c r="A19" s="3" t="str">
        <f aca="false">Cleaned_Data!A20</f>
        <v>STR-1004</v>
      </c>
      <c r="B19" s="4" t="n">
        <f aca="false">Cleaned_Data!B20</f>
        <v>45748</v>
      </c>
      <c r="C19" s="3" t="str">
        <f aca="false">Cleaned_Data!C20</f>
        <v>East</v>
      </c>
      <c r="D19" s="3" t="str">
        <f aca="false">Cleaned_Data!D20</f>
        <v>Residential</v>
      </c>
      <c r="E19" s="3" t="n">
        <f aca="false">Cleaned_Data!E20</f>
        <v>75305.71</v>
      </c>
      <c r="F19" s="3" t="n">
        <f aca="false">Cleaned_Data!F20</f>
        <v>10940</v>
      </c>
      <c r="G19" s="3" t="n">
        <f aca="false">Cleaned_Data!G20</f>
        <v>0.006</v>
      </c>
      <c r="H19" s="3" t="n">
        <f aca="false">Cleaned_Data!H20</f>
        <v>26</v>
      </c>
      <c r="I19" s="3" t="n">
        <f aca="false">Cleaned_Data!I20</f>
        <v>76.5</v>
      </c>
      <c r="J19" s="3" t="n">
        <f aca="false">Cleaned_Data!J20</f>
        <v>1.32</v>
      </c>
      <c r="K19" s="3" t="n">
        <f aca="false">Cleaned_Data!K20</f>
        <v>0</v>
      </c>
      <c r="L19" s="3" t="n">
        <f aca="false">Cleaned_Data!L20</f>
        <v>4.5</v>
      </c>
      <c r="M19" s="3" t="n">
        <f aca="false">Dummy_Variables!E20</f>
        <v>0</v>
      </c>
      <c r="N19" s="3" t="n">
        <f aca="false">Dummy_Variables!F20</f>
        <v>0</v>
      </c>
      <c r="O19" s="3" t="n">
        <f aca="false">Dummy_Variables!G20</f>
        <v>1</v>
      </c>
      <c r="P19" s="3" t="n">
        <f aca="false">Dummy_Variables!H20</f>
        <v>0</v>
      </c>
      <c r="Q19" s="3" t="n">
        <f aca="false">Dummy_Variables!I20</f>
        <v>0</v>
      </c>
      <c r="R19" s="3" t="n">
        <f aca="false">Dummy_Variables!J20</f>
        <v>0</v>
      </c>
      <c r="S19" s="3" t="n">
        <f aca="false">Cleaned_Data!M20</f>
        <v>834017.02</v>
      </c>
    </row>
    <row r="20" customFormat="false" ht="15" hidden="false" customHeight="true" outlineLevel="0" collapsed="false">
      <c r="A20" s="3" t="str">
        <f aca="false">Cleaned_Data!A21</f>
        <v>STR-1005</v>
      </c>
      <c r="B20" s="4" t="n">
        <f aca="false">Cleaned_Data!B21</f>
        <v>45658</v>
      </c>
      <c r="C20" s="3" t="str">
        <f aca="false">Cleaned_Data!C21</f>
        <v>South</v>
      </c>
      <c r="D20" s="3" t="str">
        <f aca="false">Cleaned_Data!D21</f>
        <v>Residential</v>
      </c>
      <c r="E20" s="3" t="n">
        <f aca="false">Cleaned_Data!E21</f>
        <v>48804.22</v>
      </c>
      <c r="F20" s="3" t="n">
        <f aca="false">Cleaned_Data!F21</f>
        <v>7057</v>
      </c>
      <c r="G20" s="3" t="n">
        <f aca="false">Cleaned_Data!G21</f>
        <v>0.005</v>
      </c>
      <c r="H20" s="3" t="n">
        <f aca="false">Cleaned_Data!H21</f>
        <v>15</v>
      </c>
      <c r="I20" s="3" t="n">
        <f aca="false">Cleaned_Data!I21</f>
        <v>87.7</v>
      </c>
      <c r="J20" s="3" t="n">
        <f aca="false">Cleaned_Data!J21</f>
        <v>1.22</v>
      </c>
      <c r="K20" s="3" t="n">
        <f aca="false">Cleaned_Data!K21</f>
        <v>0</v>
      </c>
      <c r="L20" s="3" t="n">
        <f aca="false">Cleaned_Data!L21</f>
        <v>3.7</v>
      </c>
      <c r="M20" s="3" t="n">
        <f aca="false">Dummy_Variables!E21</f>
        <v>0</v>
      </c>
      <c r="N20" s="3" t="n">
        <f aca="false">Dummy_Variables!F21</f>
        <v>0</v>
      </c>
      <c r="O20" s="3" t="n">
        <f aca="false">Dummy_Variables!G21</f>
        <v>1</v>
      </c>
      <c r="P20" s="3" t="n">
        <f aca="false">Dummy_Variables!H21</f>
        <v>0</v>
      </c>
      <c r="Q20" s="3" t="n">
        <f aca="false">Dummy_Variables!I21</f>
        <v>1</v>
      </c>
      <c r="R20" s="3" t="n">
        <f aca="false">Dummy_Variables!J21</f>
        <v>0</v>
      </c>
      <c r="S20" s="3" t="n">
        <f aca="false">Cleaned_Data!M21</f>
        <v>666152.52</v>
      </c>
    </row>
    <row r="21" customFormat="false" ht="15" hidden="false" customHeight="true" outlineLevel="0" collapsed="false">
      <c r="A21" s="3" t="str">
        <f aca="false">Cleaned_Data!A22</f>
        <v>STR-1005</v>
      </c>
      <c r="B21" s="4" t="n">
        <f aca="false">Cleaned_Data!B22</f>
        <v>45689</v>
      </c>
      <c r="C21" s="3" t="str">
        <f aca="false">Cleaned_Data!C22</f>
        <v>South</v>
      </c>
      <c r="D21" s="3" t="str">
        <f aca="false">Cleaned_Data!D22</f>
        <v>Residential</v>
      </c>
      <c r="E21" s="3" t="n">
        <f aca="false">Cleaned_Data!E22</f>
        <v>59117.9</v>
      </c>
      <c r="F21" s="3" t="n">
        <f aca="false">Cleaned_Data!F22</f>
        <v>4263</v>
      </c>
      <c r="G21" s="3" t="n">
        <f aca="false">Cleaned_Data!G22</f>
        <v>0.119</v>
      </c>
      <c r="H21" s="3" t="n">
        <f aca="false">Cleaned_Data!H22</f>
        <v>9</v>
      </c>
      <c r="I21" s="3" t="n">
        <f aca="false">Cleaned_Data!I22</f>
        <v>87.6</v>
      </c>
      <c r="J21" s="3" t="n">
        <f aca="false">Cleaned_Data!J22</f>
        <v>4.01</v>
      </c>
      <c r="K21" s="3" t="n">
        <f aca="false">Cleaned_Data!K22</f>
        <v>0</v>
      </c>
      <c r="L21" s="3" t="n">
        <f aca="false">Cleaned_Data!L22</f>
        <v>3.6</v>
      </c>
      <c r="M21" s="3" t="n">
        <f aca="false">Dummy_Variables!E22</f>
        <v>0</v>
      </c>
      <c r="N21" s="3" t="n">
        <f aca="false">Dummy_Variables!F22</f>
        <v>0</v>
      </c>
      <c r="O21" s="3" t="n">
        <f aca="false">Dummy_Variables!G22</f>
        <v>1</v>
      </c>
      <c r="P21" s="3" t="n">
        <f aca="false">Dummy_Variables!H22</f>
        <v>0</v>
      </c>
      <c r="Q21" s="3" t="n">
        <f aca="false">Dummy_Variables!I22</f>
        <v>1</v>
      </c>
      <c r="R21" s="3" t="n">
        <f aca="false">Dummy_Variables!J22</f>
        <v>0</v>
      </c>
      <c r="S21" s="3" t="n">
        <f aca="false">Cleaned_Data!M22</f>
        <v>573155.19</v>
      </c>
    </row>
    <row r="22" customFormat="false" ht="15" hidden="false" customHeight="true" outlineLevel="0" collapsed="false">
      <c r="A22" s="3" t="str">
        <f aca="false">Cleaned_Data!A23</f>
        <v>STR-1005</v>
      </c>
      <c r="B22" s="4" t="n">
        <f aca="false">Cleaned_Data!B23</f>
        <v>45717</v>
      </c>
      <c r="C22" s="3" t="str">
        <f aca="false">Cleaned_Data!C23</f>
        <v>South</v>
      </c>
      <c r="D22" s="3" t="str">
        <f aca="false">Cleaned_Data!D23</f>
        <v>Residential</v>
      </c>
      <c r="E22" s="3" t="n">
        <f aca="false">Cleaned_Data!E23</f>
        <v>78831.12</v>
      </c>
      <c r="F22" s="3" t="n">
        <f aca="false">Cleaned_Data!F23</f>
        <v>5538</v>
      </c>
      <c r="G22" s="3" t="n">
        <f aca="false">Cleaned_Data!G23</f>
        <v>0</v>
      </c>
      <c r="H22" s="3" t="n">
        <f aca="false">Cleaned_Data!H23</f>
        <v>15</v>
      </c>
      <c r="I22" s="3" t="n">
        <f aca="false">Cleaned_Data!I23</f>
        <v>94.1</v>
      </c>
      <c r="J22" s="3" t="n">
        <f aca="false">Cleaned_Data!J23</f>
        <v>0.2</v>
      </c>
      <c r="K22" s="3" t="n">
        <f aca="false">Cleaned_Data!K23</f>
        <v>0</v>
      </c>
      <c r="L22" s="3" t="n">
        <f aca="false">Cleaned_Data!L23</f>
        <v>3.9</v>
      </c>
      <c r="M22" s="3" t="n">
        <f aca="false">Dummy_Variables!E23</f>
        <v>0</v>
      </c>
      <c r="N22" s="3" t="n">
        <f aca="false">Dummy_Variables!F23</f>
        <v>0</v>
      </c>
      <c r="O22" s="3" t="n">
        <f aca="false">Dummy_Variables!G23</f>
        <v>1</v>
      </c>
      <c r="P22" s="3" t="n">
        <f aca="false">Dummy_Variables!H23</f>
        <v>0</v>
      </c>
      <c r="Q22" s="3" t="n">
        <f aca="false">Dummy_Variables!I23</f>
        <v>1</v>
      </c>
      <c r="R22" s="3" t="n">
        <f aca="false">Dummy_Variables!J23</f>
        <v>0</v>
      </c>
      <c r="S22" s="3" t="n">
        <f aca="false">Cleaned_Data!M23</f>
        <v>666573.2</v>
      </c>
    </row>
    <row r="23" customFormat="false" ht="15" hidden="false" customHeight="true" outlineLevel="0" collapsed="false">
      <c r="A23" s="3" t="str">
        <f aca="false">Cleaned_Data!A24</f>
        <v>STR-1005</v>
      </c>
      <c r="B23" s="4" t="n">
        <f aca="false">Cleaned_Data!B24</f>
        <v>45748</v>
      </c>
      <c r="C23" s="3" t="str">
        <f aca="false">Cleaned_Data!C24</f>
        <v>South</v>
      </c>
      <c r="D23" s="3" t="str">
        <f aca="false">Cleaned_Data!D24</f>
        <v>Residential</v>
      </c>
      <c r="E23" s="3" t="n">
        <f aca="false">Cleaned_Data!E24</f>
        <v>41441.93</v>
      </c>
      <c r="F23" s="3" t="n">
        <f aca="false">Cleaned_Data!F24</f>
        <v>4865</v>
      </c>
      <c r="G23" s="3" t="n">
        <f aca="false">Cleaned_Data!G24</f>
        <v>0.158</v>
      </c>
      <c r="H23" s="3" t="n">
        <f aca="false">Cleaned_Data!H24</f>
        <v>16</v>
      </c>
      <c r="I23" s="3" t="n">
        <f aca="false">Cleaned_Data!I24</f>
        <v>88.3</v>
      </c>
      <c r="J23" s="3" t="n">
        <f aca="false">Cleaned_Data!J24</f>
        <v>0.5</v>
      </c>
      <c r="K23" s="3" t="n">
        <f aca="false">Cleaned_Data!K24</f>
        <v>0</v>
      </c>
      <c r="L23" s="3" t="n">
        <f aca="false">Cleaned_Data!L24</f>
        <v>4</v>
      </c>
      <c r="M23" s="3" t="n">
        <f aca="false">Dummy_Variables!E24</f>
        <v>0</v>
      </c>
      <c r="N23" s="3" t="n">
        <f aca="false">Dummy_Variables!F24</f>
        <v>0</v>
      </c>
      <c r="O23" s="3" t="n">
        <f aca="false">Dummy_Variables!G24</f>
        <v>1</v>
      </c>
      <c r="P23" s="3" t="n">
        <f aca="false">Dummy_Variables!H24</f>
        <v>0</v>
      </c>
      <c r="Q23" s="3" t="n">
        <f aca="false">Dummy_Variables!I24</f>
        <v>1</v>
      </c>
      <c r="R23" s="3" t="n">
        <f aca="false">Dummy_Variables!J24</f>
        <v>0</v>
      </c>
      <c r="S23" s="3" t="n">
        <f aca="false">Cleaned_Data!M24</f>
        <v>591619.95</v>
      </c>
    </row>
    <row r="24" customFormat="false" ht="15" hidden="false" customHeight="true" outlineLevel="0" collapsed="false">
      <c r="A24" s="3" t="str">
        <f aca="false">Cleaned_Data!A25</f>
        <v>STR-1006</v>
      </c>
      <c r="B24" s="4" t="n">
        <f aca="false">Cleaned_Data!B25</f>
        <v>45658</v>
      </c>
      <c r="C24" s="3" t="str">
        <f aca="false">Cleaned_Data!C25</f>
        <v>North</v>
      </c>
      <c r="D24" s="3" t="str">
        <f aca="false">Cleaned_Data!D25</f>
        <v>Residential</v>
      </c>
      <c r="E24" s="3" t="n">
        <f aca="false">Cleaned_Data!E25</f>
        <v>30356.28</v>
      </c>
      <c r="F24" s="3" t="n">
        <f aca="false">Cleaned_Data!F25</f>
        <v>2822</v>
      </c>
      <c r="G24" s="3" t="n">
        <f aca="false">Cleaned_Data!G25</f>
        <v>0.231</v>
      </c>
      <c r="H24" s="3" t="n">
        <f aca="false">Cleaned_Data!H25</f>
        <v>9</v>
      </c>
      <c r="I24" s="3" t="n">
        <f aca="false">Cleaned_Data!I25</f>
        <v>84.8</v>
      </c>
      <c r="J24" s="3" t="n">
        <f aca="false">Cleaned_Data!J25</f>
        <v>6.95</v>
      </c>
      <c r="K24" s="3" t="n">
        <f aca="false">Cleaned_Data!K25</f>
        <v>0</v>
      </c>
      <c r="L24" s="3" t="n">
        <f aca="false">Cleaned_Data!L25</f>
        <v>5</v>
      </c>
      <c r="M24" s="3" t="n">
        <f aca="false">Dummy_Variables!E25</f>
        <v>0</v>
      </c>
      <c r="N24" s="3" t="n">
        <f aca="false">Dummy_Variables!F25</f>
        <v>0</v>
      </c>
      <c r="O24" s="3" t="n">
        <f aca="false">Dummy_Variables!G25</f>
        <v>1</v>
      </c>
      <c r="P24" s="3" t="n">
        <f aca="false">Dummy_Variables!H25</f>
        <v>1</v>
      </c>
      <c r="Q24" s="3" t="n">
        <f aca="false">Dummy_Variables!I25</f>
        <v>0</v>
      </c>
      <c r="R24" s="3" t="n">
        <f aca="false">Dummy_Variables!J25</f>
        <v>0</v>
      </c>
      <c r="S24" s="3" t="n">
        <f aca="false">Cleaned_Data!M25</f>
        <v>415721.82</v>
      </c>
    </row>
    <row r="25" customFormat="false" ht="15" hidden="false" customHeight="true" outlineLevel="0" collapsed="false">
      <c r="A25" s="3" t="str">
        <f aca="false">Cleaned_Data!A26</f>
        <v>STR-1006</v>
      </c>
      <c r="B25" s="4" t="n">
        <f aca="false">Cleaned_Data!B26</f>
        <v>45689</v>
      </c>
      <c r="C25" s="3" t="str">
        <f aca="false">Cleaned_Data!C26</f>
        <v>North</v>
      </c>
      <c r="D25" s="3" t="str">
        <f aca="false">Cleaned_Data!D26</f>
        <v>Residential</v>
      </c>
      <c r="E25" s="3" t="n">
        <f aca="false">Cleaned_Data!E26</f>
        <v>33518.88</v>
      </c>
      <c r="F25" s="3" t="n">
        <f aca="false">Cleaned_Data!F26</f>
        <v>2121</v>
      </c>
      <c r="G25" s="3" t="n">
        <f aca="false">Cleaned_Data!G26</f>
        <v>0.176</v>
      </c>
      <c r="H25" s="3" t="n">
        <f aca="false">Cleaned_Data!H26</f>
        <v>8</v>
      </c>
      <c r="I25" s="3" t="n">
        <f aca="false">Cleaned_Data!I26</f>
        <v>88.5</v>
      </c>
      <c r="J25" s="3" t="n">
        <f aca="false">Cleaned_Data!J26</f>
        <v>0.2</v>
      </c>
      <c r="K25" s="3" t="n">
        <f aca="false">Cleaned_Data!K26</f>
        <v>0</v>
      </c>
      <c r="L25" s="3" t="n">
        <f aca="false">Cleaned_Data!L26</f>
        <v>5</v>
      </c>
      <c r="M25" s="3" t="n">
        <f aca="false">Dummy_Variables!E26</f>
        <v>0</v>
      </c>
      <c r="N25" s="3" t="n">
        <f aca="false">Dummy_Variables!F26</f>
        <v>0</v>
      </c>
      <c r="O25" s="3" t="n">
        <f aca="false">Dummy_Variables!G26</f>
        <v>1</v>
      </c>
      <c r="P25" s="3" t="n">
        <f aca="false">Dummy_Variables!H26</f>
        <v>1</v>
      </c>
      <c r="Q25" s="3" t="n">
        <f aca="false">Dummy_Variables!I26</f>
        <v>0</v>
      </c>
      <c r="R25" s="3" t="n">
        <f aca="false">Dummy_Variables!J26</f>
        <v>0</v>
      </c>
      <c r="S25" s="3" t="n">
        <f aca="false">Cleaned_Data!M26</f>
        <v>491905.13</v>
      </c>
    </row>
    <row r="26" customFormat="false" ht="15" hidden="false" customHeight="true" outlineLevel="0" collapsed="false">
      <c r="A26" s="3" t="str">
        <f aca="false">Cleaned_Data!A27</f>
        <v>STR-1006</v>
      </c>
      <c r="B26" s="4" t="n">
        <f aca="false">Cleaned_Data!B27</f>
        <v>45717</v>
      </c>
      <c r="C26" s="3" t="str">
        <f aca="false">Cleaned_Data!C27</f>
        <v>North</v>
      </c>
      <c r="D26" s="3" t="str">
        <f aca="false">Cleaned_Data!D27</f>
        <v>Residential</v>
      </c>
      <c r="E26" s="3" t="n">
        <f aca="false">Cleaned_Data!E27</f>
        <v>42267.37</v>
      </c>
      <c r="F26" s="3" t="n">
        <f aca="false">Cleaned_Data!F27</f>
        <v>3364</v>
      </c>
      <c r="G26" s="3" t="n">
        <f aca="false">Cleaned_Data!G27</f>
        <v>0.16</v>
      </c>
      <c r="H26" s="3" t="n">
        <f aca="false">Cleaned_Data!H27</f>
        <v>13</v>
      </c>
      <c r="I26" s="3" t="n">
        <f aca="false">Cleaned_Data!I27</f>
        <v>82</v>
      </c>
      <c r="J26" s="3" t="n">
        <f aca="false">Cleaned_Data!J27</f>
        <v>1.61</v>
      </c>
      <c r="K26" s="3" t="n">
        <f aca="false">Cleaned_Data!K27</f>
        <v>1</v>
      </c>
      <c r="L26" s="3" t="n">
        <f aca="false">Cleaned_Data!L27</f>
        <v>4.6</v>
      </c>
      <c r="M26" s="3" t="n">
        <f aca="false">Dummy_Variables!E27</f>
        <v>0</v>
      </c>
      <c r="N26" s="3" t="n">
        <f aca="false">Dummy_Variables!F27</f>
        <v>0</v>
      </c>
      <c r="O26" s="3" t="n">
        <f aca="false">Dummy_Variables!G27</f>
        <v>1</v>
      </c>
      <c r="P26" s="3" t="n">
        <f aca="false">Dummy_Variables!H27</f>
        <v>1</v>
      </c>
      <c r="Q26" s="3" t="n">
        <f aca="false">Dummy_Variables!I27</f>
        <v>0</v>
      </c>
      <c r="R26" s="3" t="n">
        <f aca="false">Dummy_Variables!J27</f>
        <v>0</v>
      </c>
      <c r="S26" s="3" t="n">
        <f aca="false">Cleaned_Data!M27</f>
        <v>555929.4</v>
      </c>
    </row>
    <row r="27" customFormat="false" ht="15" hidden="false" customHeight="true" outlineLevel="0" collapsed="false">
      <c r="A27" s="3" t="str">
        <f aca="false">Cleaned_Data!A28</f>
        <v>STR-1006</v>
      </c>
      <c r="B27" s="4" t="n">
        <f aca="false">Cleaned_Data!B28</f>
        <v>45748</v>
      </c>
      <c r="C27" s="3" t="str">
        <f aca="false">Cleaned_Data!C28</f>
        <v>North</v>
      </c>
      <c r="D27" s="3" t="str">
        <f aca="false">Cleaned_Data!D28</f>
        <v>Residential</v>
      </c>
      <c r="E27" s="3" t="n">
        <f aca="false">Cleaned_Data!E28</f>
        <v>62060.43</v>
      </c>
      <c r="F27" s="3" t="n">
        <f aca="false">Cleaned_Data!F28</f>
        <v>2613</v>
      </c>
      <c r="G27" s="3" t="n">
        <f aca="false">Cleaned_Data!G28</f>
        <v>0.216</v>
      </c>
      <c r="H27" s="3" t="n">
        <f aca="false">Cleaned_Data!H28</f>
        <v>12</v>
      </c>
      <c r="I27" s="3" t="n">
        <f aca="false">Cleaned_Data!I28</f>
        <v>92.1</v>
      </c>
      <c r="J27" s="3" t="n">
        <f aca="false">Cleaned_Data!J28</f>
        <v>1.55</v>
      </c>
      <c r="K27" s="3" t="n">
        <f aca="false">Cleaned_Data!K28</f>
        <v>0</v>
      </c>
      <c r="L27" s="3" t="n">
        <f aca="false">Cleaned_Data!L28</f>
        <v>4.7</v>
      </c>
      <c r="M27" s="3" t="n">
        <f aca="false">Dummy_Variables!E28</f>
        <v>0</v>
      </c>
      <c r="N27" s="3" t="n">
        <f aca="false">Dummy_Variables!F28</f>
        <v>0</v>
      </c>
      <c r="O27" s="3" t="n">
        <f aca="false">Dummy_Variables!G28</f>
        <v>1</v>
      </c>
      <c r="P27" s="3" t="n">
        <f aca="false">Dummy_Variables!H28</f>
        <v>1</v>
      </c>
      <c r="Q27" s="3" t="n">
        <f aca="false">Dummy_Variables!I28</f>
        <v>0</v>
      </c>
      <c r="R27" s="3" t="n">
        <f aca="false">Dummy_Variables!J28</f>
        <v>0</v>
      </c>
      <c r="S27" s="3" t="n">
        <f aca="false">Cleaned_Data!M28</f>
        <v>565810.99</v>
      </c>
    </row>
    <row r="28" customFormat="false" ht="15" hidden="false" customHeight="true" outlineLevel="0" collapsed="false">
      <c r="A28" s="3" t="str">
        <f aca="false">Cleaned_Data!A29</f>
        <v>STR-1007</v>
      </c>
      <c r="B28" s="4" t="n">
        <f aca="false">Cleaned_Data!B29</f>
        <v>45658</v>
      </c>
      <c r="C28" s="3" t="str">
        <f aca="false">Cleaned_Data!C29</f>
        <v>West</v>
      </c>
      <c r="D28" s="3" t="str">
        <f aca="false">Cleaned_Data!D29</f>
        <v>Mall</v>
      </c>
      <c r="E28" s="3" t="n">
        <f aca="false">Cleaned_Data!E29</f>
        <v>57696.69</v>
      </c>
      <c r="F28" s="3" t="n">
        <f aca="false">Cleaned_Data!F29</f>
        <v>10218</v>
      </c>
      <c r="G28" s="3" t="n">
        <f aca="false">Cleaned_Data!G29</f>
        <v>0.121</v>
      </c>
      <c r="H28" s="3" t="n">
        <f aca="false">Cleaned_Data!H29</f>
        <v>25</v>
      </c>
      <c r="I28" s="3" t="n">
        <f aca="false">Cleaned_Data!I29</f>
        <v>94.8</v>
      </c>
      <c r="J28" s="3" t="n">
        <f aca="false">Cleaned_Data!J29</f>
        <v>2.99</v>
      </c>
      <c r="K28" s="3" t="n">
        <f aca="false">Cleaned_Data!K29</f>
        <v>0</v>
      </c>
      <c r="L28" s="3" t="n">
        <f aca="false">Cleaned_Data!L29</f>
        <v>3.5</v>
      </c>
      <c r="M28" s="3" t="n">
        <f aca="false">Dummy_Variables!E29</f>
        <v>0</v>
      </c>
      <c r="N28" s="3" t="n">
        <f aca="false">Dummy_Variables!F29</f>
        <v>1</v>
      </c>
      <c r="O28" s="3" t="n">
        <f aca="false">Dummy_Variables!G29</f>
        <v>0</v>
      </c>
      <c r="P28" s="3" t="n">
        <f aca="false">Dummy_Variables!H29</f>
        <v>0</v>
      </c>
      <c r="Q28" s="3" t="n">
        <f aca="false">Dummy_Variables!I29</f>
        <v>0</v>
      </c>
      <c r="R28" s="3" t="n">
        <f aca="false">Dummy_Variables!J29</f>
        <v>1</v>
      </c>
      <c r="S28" s="3" t="n">
        <f aca="false">Cleaned_Data!M29</f>
        <v>811771.14</v>
      </c>
    </row>
    <row r="29" customFormat="false" ht="15" hidden="false" customHeight="true" outlineLevel="0" collapsed="false">
      <c r="A29" s="3" t="str">
        <f aca="false">Cleaned_Data!A30</f>
        <v>STR-1007</v>
      </c>
      <c r="B29" s="4" t="n">
        <f aca="false">Cleaned_Data!B30</f>
        <v>45689</v>
      </c>
      <c r="C29" s="3" t="str">
        <f aca="false">Cleaned_Data!C30</f>
        <v>West</v>
      </c>
      <c r="D29" s="3" t="str">
        <f aca="false">Cleaned_Data!D30</f>
        <v>Mall</v>
      </c>
      <c r="E29" s="3" t="n">
        <f aca="false">Cleaned_Data!E30</f>
        <v>172415.52</v>
      </c>
      <c r="F29" s="3" t="n">
        <f aca="false">Cleaned_Data!F30</f>
        <v>8927</v>
      </c>
      <c r="G29" s="3" t="n">
        <f aca="false">Cleaned_Data!G30</f>
        <v>0.14</v>
      </c>
      <c r="H29" s="3" t="n">
        <f aca="false">Cleaned_Data!H30</f>
        <v>22</v>
      </c>
      <c r="I29" s="3" t="n">
        <f aca="false">Cleaned_Data!I30</f>
        <v>86.2</v>
      </c>
      <c r="J29" s="3" t="n">
        <f aca="false">Cleaned_Data!J30</f>
        <v>7.04</v>
      </c>
      <c r="K29" s="3" t="n">
        <f aca="false">Cleaned_Data!K30</f>
        <v>0</v>
      </c>
      <c r="L29" s="3" t="n">
        <f aca="false">Cleaned_Data!L30</f>
        <v>3.9</v>
      </c>
      <c r="M29" s="3" t="n">
        <f aca="false">Dummy_Variables!E30</f>
        <v>0</v>
      </c>
      <c r="N29" s="3" t="n">
        <f aca="false">Dummy_Variables!F30</f>
        <v>1</v>
      </c>
      <c r="O29" s="3" t="n">
        <f aca="false">Dummy_Variables!G30</f>
        <v>0</v>
      </c>
      <c r="P29" s="3" t="n">
        <f aca="false">Dummy_Variables!H30</f>
        <v>0</v>
      </c>
      <c r="Q29" s="3" t="n">
        <f aca="false">Dummy_Variables!I30</f>
        <v>0</v>
      </c>
      <c r="R29" s="3" t="n">
        <f aca="false">Dummy_Variables!J30</f>
        <v>1</v>
      </c>
      <c r="S29" s="3" t="n">
        <f aca="false">Cleaned_Data!M30</f>
        <v>800451.94</v>
      </c>
    </row>
    <row r="30" customFormat="false" ht="15" hidden="false" customHeight="true" outlineLevel="0" collapsed="false">
      <c r="A30" s="3" t="str">
        <f aca="false">Cleaned_Data!A31</f>
        <v>STR-1007</v>
      </c>
      <c r="B30" s="4" t="n">
        <f aca="false">Cleaned_Data!B31</f>
        <v>45717</v>
      </c>
      <c r="C30" s="3" t="str">
        <f aca="false">Cleaned_Data!C31</f>
        <v>West</v>
      </c>
      <c r="D30" s="3" t="str">
        <f aca="false">Cleaned_Data!D31</f>
        <v>Mall</v>
      </c>
      <c r="E30" s="3" t="n">
        <f aca="false">Cleaned_Data!E31</f>
        <v>55270.52</v>
      </c>
      <c r="F30" s="3" t="n">
        <f aca="false">Cleaned_Data!F31</f>
        <v>9315</v>
      </c>
      <c r="G30" s="3" t="n">
        <f aca="false">Cleaned_Data!G31</f>
        <v>0.169</v>
      </c>
      <c r="H30" s="3" t="n">
        <f aca="false">Cleaned_Data!H31</f>
        <v>23</v>
      </c>
      <c r="I30" s="3" t="n">
        <f aca="false">Cleaned_Data!I31</f>
        <v>91.9</v>
      </c>
      <c r="J30" s="3" t="n">
        <f aca="false">Cleaned_Data!J31</f>
        <v>4.94</v>
      </c>
      <c r="K30" s="3" t="n">
        <f aca="false">Cleaned_Data!K31</f>
        <v>0</v>
      </c>
      <c r="L30" s="3" t="n">
        <f aca="false">Cleaned_Data!L31</f>
        <v>4</v>
      </c>
      <c r="M30" s="3" t="n">
        <f aca="false">Dummy_Variables!E31</f>
        <v>0</v>
      </c>
      <c r="N30" s="3" t="n">
        <f aca="false">Dummy_Variables!F31</f>
        <v>1</v>
      </c>
      <c r="O30" s="3" t="n">
        <f aca="false">Dummy_Variables!G31</f>
        <v>0</v>
      </c>
      <c r="P30" s="3" t="n">
        <f aca="false">Dummy_Variables!H31</f>
        <v>0</v>
      </c>
      <c r="Q30" s="3" t="n">
        <f aca="false">Dummy_Variables!I31</f>
        <v>0</v>
      </c>
      <c r="R30" s="3" t="n">
        <f aca="false">Dummy_Variables!J31</f>
        <v>1</v>
      </c>
      <c r="S30" s="3" t="n">
        <f aca="false">Cleaned_Data!M31</f>
        <v>783672.82</v>
      </c>
    </row>
    <row r="31" customFormat="false" ht="15" hidden="false" customHeight="true" outlineLevel="0" collapsed="false">
      <c r="A31" s="3" t="str">
        <f aca="false">Cleaned_Data!A32</f>
        <v>STR-1007</v>
      </c>
      <c r="B31" s="4" t="n">
        <f aca="false">Cleaned_Data!B32</f>
        <v>45748</v>
      </c>
      <c r="C31" s="3" t="str">
        <f aca="false">Cleaned_Data!C32</f>
        <v>West</v>
      </c>
      <c r="D31" s="3" t="str">
        <f aca="false">Cleaned_Data!D32</f>
        <v>Mall</v>
      </c>
      <c r="E31" s="3" t="n">
        <f aca="false">Cleaned_Data!E32</f>
        <v>52715.1</v>
      </c>
      <c r="F31" s="3" t="n">
        <f aca="false">Cleaned_Data!F32</f>
        <v>7223</v>
      </c>
      <c r="G31" s="3" t="n">
        <f aca="false">Cleaned_Data!G32</f>
        <v>0.122</v>
      </c>
      <c r="H31" s="3" t="n">
        <f aca="false">Cleaned_Data!H32</f>
        <v>16</v>
      </c>
      <c r="I31" s="3" t="n">
        <f aca="false">Cleaned_Data!I32</f>
        <v>84.2</v>
      </c>
      <c r="J31" s="3" t="n">
        <f aca="false">Cleaned_Data!J32</f>
        <v>16.15</v>
      </c>
      <c r="K31" s="3" t="n">
        <f aca="false">Cleaned_Data!K32</f>
        <v>0</v>
      </c>
      <c r="L31" s="3" t="n">
        <f aca="false">Cleaned_Data!L32</f>
        <v>3.7</v>
      </c>
      <c r="M31" s="3" t="n">
        <f aca="false">Dummy_Variables!E32</f>
        <v>0</v>
      </c>
      <c r="N31" s="3" t="n">
        <f aca="false">Dummy_Variables!F32</f>
        <v>1</v>
      </c>
      <c r="O31" s="3" t="n">
        <f aca="false">Dummy_Variables!G32</f>
        <v>0</v>
      </c>
      <c r="P31" s="3" t="n">
        <f aca="false">Dummy_Variables!H32</f>
        <v>0</v>
      </c>
      <c r="Q31" s="3" t="n">
        <f aca="false">Dummy_Variables!I32</f>
        <v>0</v>
      </c>
      <c r="R31" s="3" t="n">
        <f aca="false">Dummy_Variables!J32</f>
        <v>1</v>
      </c>
      <c r="S31" s="3" t="n">
        <f aca="false">Cleaned_Data!M32</f>
        <v>701641.97</v>
      </c>
    </row>
    <row r="32" customFormat="false" ht="15" hidden="false" customHeight="true" outlineLevel="0" collapsed="false">
      <c r="A32" s="3" t="str">
        <f aca="false">Cleaned_Data!A33</f>
        <v>STR-1008</v>
      </c>
      <c r="B32" s="4" t="n">
        <f aca="false">Cleaned_Data!B33</f>
        <v>45658</v>
      </c>
      <c r="C32" s="3" t="str">
        <f aca="false">Cleaned_Data!C33</f>
        <v>East</v>
      </c>
      <c r="D32" s="3" t="str">
        <f aca="false">Cleaned_Data!D33</f>
        <v>Residential</v>
      </c>
      <c r="E32" s="3" t="n">
        <f aca="false">Cleaned_Data!E33</f>
        <v>68600.62</v>
      </c>
      <c r="F32" s="3" t="n">
        <f aca="false">Cleaned_Data!F33</f>
        <v>3988</v>
      </c>
      <c r="G32" s="3" t="n">
        <f aca="false">Cleaned_Data!G33</f>
        <v>0.124</v>
      </c>
      <c r="H32" s="3" t="n">
        <f aca="false">Cleaned_Data!H33</f>
        <v>11</v>
      </c>
      <c r="I32" s="3" t="n">
        <f aca="false">Cleaned_Data!I33</f>
        <v>85</v>
      </c>
      <c r="J32" s="3" t="n">
        <f aca="false">Cleaned_Data!J33</f>
        <v>0.48</v>
      </c>
      <c r="K32" s="3" t="n">
        <f aca="false">Cleaned_Data!K33</f>
        <v>0</v>
      </c>
      <c r="L32" s="3" t="n">
        <f aca="false">Cleaned_Data!L33</f>
        <v>3.6</v>
      </c>
      <c r="M32" s="3" t="n">
        <f aca="false">Dummy_Variables!E33</f>
        <v>0</v>
      </c>
      <c r="N32" s="3" t="n">
        <f aca="false">Dummy_Variables!F33</f>
        <v>0</v>
      </c>
      <c r="O32" s="3" t="n">
        <f aca="false">Dummy_Variables!G33</f>
        <v>1</v>
      </c>
      <c r="P32" s="3" t="n">
        <f aca="false">Dummy_Variables!H33</f>
        <v>0</v>
      </c>
      <c r="Q32" s="3" t="n">
        <f aca="false">Dummy_Variables!I33</f>
        <v>0</v>
      </c>
      <c r="R32" s="3" t="n">
        <f aca="false">Dummy_Variables!J33</f>
        <v>0</v>
      </c>
      <c r="S32" s="3" t="n">
        <f aca="false">Cleaned_Data!M33</f>
        <v>511844.41</v>
      </c>
    </row>
    <row r="33" customFormat="false" ht="15" hidden="false" customHeight="true" outlineLevel="0" collapsed="false">
      <c r="A33" s="3" t="str">
        <f aca="false">Cleaned_Data!A34</f>
        <v>STR-1008</v>
      </c>
      <c r="B33" s="4" t="n">
        <f aca="false">Cleaned_Data!B34</f>
        <v>45689</v>
      </c>
      <c r="C33" s="3" t="str">
        <f aca="false">Cleaned_Data!C34</f>
        <v>East</v>
      </c>
      <c r="D33" s="3" t="str">
        <f aca="false">Cleaned_Data!D34</f>
        <v>Residential</v>
      </c>
      <c r="E33" s="3" t="n">
        <f aca="false">Cleaned_Data!E34</f>
        <v>63176.73</v>
      </c>
      <c r="F33" s="3" t="n">
        <f aca="false">Cleaned_Data!F34</f>
        <v>2390</v>
      </c>
      <c r="G33" s="3" t="n">
        <f aca="false">Cleaned_Data!G34</f>
        <v>0.216</v>
      </c>
      <c r="H33" s="3" t="n">
        <f aca="false">Cleaned_Data!H34</f>
        <v>9</v>
      </c>
      <c r="I33" s="3" t="n">
        <f aca="false">Cleaned_Data!I34</f>
        <v>87.5</v>
      </c>
      <c r="J33" s="3" t="n">
        <f aca="false">Cleaned_Data!J34</f>
        <v>0.31</v>
      </c>
      <c r="K33" s="3" t="n">
        <f aca="false">Cleaned_Data!K34</f>
        <v>0</v>
      </c>
      <c r="L33" s="3" t="n">
        <f aca="false">Cleaned_Data!L34</f>
        <v>3.1</v>
      </c>
      <c r="M33" s="3" t="n">
        <f aca="false">Dummy_Variables!E34</f>
        <v>0</v>
      </c>
      <c r="N33" s="3" t="n">
        <f aca="false">Dummy_Variables!F34</f>
        <v>0</v>
      </c>
      <c r="O33" s="3" t="n">
        <f aca="false">Dummy_Variables!G34</f>
        <v>1</v>
      </c>
      <c r="P33" s="3" t="n">
        <f aca="false">Dummy_Variables!H34</f>
        <v>0</v>
      </c>
      <c r="Q33" s="3" t="n">
        <f aca="false">Dummy_Variables!I34</f>
        <v>0</v>
      </c>
      <c r="R33" s="3" t="n">
        <f aca="false">Dummy_Variables!J34</f>
        <v>0</v>
      </c>
      <c r="S33" s="3" t="n">
        <f aca="false">Cleaned_Data!M34</f>
        <v>537383.79</v>
      </c>
    </row>
    <row r="34" customFormat="false" ht="15" hidden="false" customHeight="true" outlineLevel="0" collapsed="false">
      <c r="A34" s="3" t="str">
        <f aca="false">Cleaned_Data!A35</f>
        <v>STR-1008</v>
      </c>
      <c r="B34" s="4" t="n">
        <f aca="false">Cleaned_Data!B35</f>
        <v>45717</v>
      </c>
      <c r="C34" s="3" t="str">
        <f aca="false">Cleaned_Data!C35</f>
        <v>East</v>
      </c>
      <c r="D34" s="3" t="str">
        <f aca="false">Cleaned_Data!D35</f>
        <v>Residential</v>
      </c>
      <c r="E34" s="3" t="n">
        <f aca="false">Cleaned_Data!E35</f>
        <v>44970.08</v>
      </c>
      <c r="F34" s="3" t="n">
        <f aca="false">Cleaned_Data!F35</f>
        <v>2471</v>
      </c>
      <c r="G34" s="3" t="n">
        <f aca="false">Cleaned_Data!G35</f>
        <v>0.136</v>
      </c>
      <c r="H34" s="3" t="n">
        <f aca="false">Cleaned_Data!H35</f>
        <v>11</v>
      </c>
      <c r="I34" s="3" t="n">
        <f aca="false">Cleaned_Data!I35</f>
        <v>87.6</v>
      </c>
      <c r="J34" s="3" t="n">
        <f aca="false">Cleaned_Data!J35</f>
        <v>3.01</v>
      </c>
      <c r="K34" s="3" t="n">
        <f aca="false">Cleaned_Data!K35</f>
        <v>1</v>
      </c>
      <c r="L34" s="3" t="n">
        <f aca="false">Cleaned_Data!L35</f>
        <v>3.7</v>
      </c>
      <c r="M34" s="3" t="n">
        <f aca="false">Dummy_Variables!E35</f>
        <v>0</v>
      </c>
      <c r="N34" s="3" t="n">
        <f aca="false">Dummy_Variables!F35</f>
        <v>0</v>
      </c>
      <c r="O34" s="3" t="n">
        <f aca="false">Dummy_Variables!G35</f>
        <v>1</v>
      </c>
      <c r="P34" s="3" t="n">
        <f aca="false">Dummy_Variables!H35</f>
        <v>0</v>
      </c>
      <c r="Q34" s="3" t="n">
        <f aca="false">Dummy_Variables!I35</f>
        <v>0</v>
      </c>
      <c r="R34" s="3" t="n">
        <f aca="false">Dummy_Variables!J35</f>
        <v>0</v>
      </c>
      <c r="S34" s="3" t="n">
        <f aca="false">Cleaned_Data!M35</f>
        <v>500173.02</v>
      </c>
    </row>
    <row r="35" customFormat="false" ht="15" hidden="false" customHeight="true" outlineLevel="0" collapsed="false">
      <c r="A35" s="3" t="str">
        <f aca="false">Cleaned_Data!A36</f>
        <v>STR-1008</v>
      </c>
      <c r="B35" s="4" t="n">
        <f aca="false">Cleaned_Data!B36</f>
        <v>45748</v>
      </c>
      <c r="C35" s="3" t="str">
        <f aca="false">Cleaned_Data!C36</f>
        <v>East</v>
      </c>
      <c r="D35" s="3" t="str">
        <f aca="false">Cleaned_Data!D36</f>
        <v>Residential</v>
      </c>
      <c r="E35" s="3" t="n">
        <f aca="false">Cleaned_Data!E36</f>
        <v>69816.35</v>
      </c>
      <c r="F35" s="3" t="n">
        <f aca="false">Cleaned_Data!F36</f>
        <v>971</v>
      </c>
      <c r="G35" s="3" t="n">
        <f aca="false">Cleaned_Data!G36</f>
        <v>0.168</v>
      </c>
      <c r="H35" s="3" t="n">
        <f aca="false">Cleaned_Data!H36</f>
        <v>5</v>
      </c>
      <c r="I35" s="3" t="n">
        <f aca="false">Cleaned_Data!I36</f>
        <v>89.9</v>
      </c>
      <c r="J35" s="3" t="n">
        <f aca="false">Cleaned_Data!J36</f>
        <v>12.15</v>
      </c>
      <c r="K35" s="3" t="n">
        <f aca="false">Cleaned_Data!K36</f>
        <v>0</v>
      </c>
      <c r="L35" s="3" t="n">
        <f aca="false">Cleaned_Data!L36</f>
        <v>3.6</v>
      </c>
      <c r="M35" s="3" t="n">
        <f aca="false">Dummy_Variables!E36</f>
        <v>0</v>
      </c>
      <c r="N35" s="3" t="n">
        <f aca="false">Dummy_Variables!F36</f>
        <v>0</v>
      </c>
      <c r="O35" s="3" t="n">
        <f aca="false">Dummy_Variables!G36</f>
        <v>1</v>
      </c>
      <c r="P35" s="3" t="n">
        <f aca="false">Dummy_Variables!H36</f>
        <v>0</v>
      </c>
      <c r="Q35" s="3" t="n">
        <f aca="false">Dummy_Variables!I36</f>
        <v>0</v>
      </c>
      <c r="R35" s="3" t="n">
        <f aca="false">Dummy_Variables!J36</f>
        <v>0</v>
      </c>
      <c r="S35" s="3" t="n">
        <f aca="false">Cleaned_Data!M36</f>
        <v>427917.38</v>
      </c>
    </row>
    <row r="36" customFormat="false" ht="15" hidden="false" customHeight="true" outlineLevel="0" collapsed="false">
      <c r="A36" s="3" t="str">
        <f aca="false">Cleaned_Data!A37</f>
        <v>STR-1009</v>
      </c>
      <c r="B36" s="4" t="n">
        <f aca="false">Cleaned_Data!B37</f>
        <v>45658</v>
      </c>
      <c r="C36" s="3" t="str">
        <f aca="false">Cleaned_Data!C37</f>
        <v>North</v>
      </c>
      <c r="D36" s="3" t="str">
        <f aca="false">Cleaned_Data!D37</f>
        <v>Residential</v>
      </c>
      <c r="E36" s="3" t="n">
        <f aca="false">Cleaned_Data!E37</f>
        <v>54597.83</v>
      </c>
      <c r="F36" s="3" t="n">
        <f aca="false">Cleaned_Data!F37</f>
        <v>9429</v>
      </c>
      <c r="G36" s="3" t="n">
        <f aca="false">Cleaned_Data!G37</f>
        <v>0.188</v>
      </c>
      <c r="H36" s="3" t="n">
        <f aca="false">Cleaned_Data!H37</f>
        <v>21</v>
      </c>
      <c r="I36" s="3" t="n">
        <f aca="false">Cleaned_Data!I37</f>
        <v>83.3</v>
      </c>
      <c r="J36" s="3" t="n">
        <f aca="false">Cleaned_Data!J37</f>
        <v>11.71</v>
      </c>
      <c r="K36" s="3" t="n">
        <f aca="false">Cleaned_Data!K37</f>
        <v>0</v>
      </c>
      <c r="L36" s="3" t="n">
        <f aca="false">Cleaned_Data!L37</f>
        <v>4.2</v>
      </c>
      <c r="M36" s="3" t="n">
        <f aca="false">Dummy_Variables!E37</f>
        <v>0</v>
      </c>
      <c r="N36" s="3" t="n">
        <f aca="false">Dummy_Variables!F37</f>
        <v>0</v>
      </c>
      <c r="O36" s="3" t="n">
        <f aca="false">Dummy_Variables!G37</f>
        <v>1</v>
      </c>
      <c r="P36" s="3" t="n">
        <f aca="false">Dummy_Variables!H37</f>
        <v>1</v>
      </c>
      <c r="Q36" s="3" t="n">
        <f aca="false">Dummy_Variables!I37</f>
        <v>0</v>
      </c>
      <c r="R36" s="3" t="n">
        <f aca="false">Dummy_Variables!J37</f>
        <v>0</v>
      </c>
      <c r="S36" s="3" t="n">
        <f aca="false">Cleaned_Data!M37</f>
        <v>641865.03</v>
      </c>
    </row>
    <row r="37" customFormat="false" ht="15" hidden="false" customHeight="true" outlineLevel="0" collapsed="false">
      <c r="A37" s="3" t="str">
        <f aca="false">Cleaned_Data!A38</f>
        <v>STR-1009</v>
      </c>
      <c r="B37" s="4" t="n">
        <f aca="false">Cleaned_Data!B38</f>
        <v>45689</v>
      </c>
      <c r="C37" s="3" t="str">
        <f aca="false">Cleaned_Data!C38</f>
        <v>North</v>
      </c>
      <c r="D37" s="3" t="str">
        <f aca="false">Cleaned_Data!D38</f>
        <v>Residential</v>
      </c>
      <c r="E37" s="3" t="n">
        <f aca="false">Cleaned_Data!E38</f>
        <v>73771.91</v>
      </c>
      <c r="F37" s="3" t="n">
        <f aca="false">Cleaned_Data!F38</f>
        <v>11695</v>
      </c>
      <c r="G37" s="3" t="n">
        <f aca="false">Cleaned_Data!G38</f>
        <v>0.07</v>
      </c>
      <c r="H37" s="3" t="n">
        <f aca="false">Cleaned_Data!H38</f>
        <v>25</v>
      </c>
      <c r="I37" s="3" t="n">
        <f aca="false">Cleaned_Data!I38</f>
        <v>84.7</v>
      </c>
      <c r="J37" s="3" t="n">
        <f aca="false">Cleaned_Data!J38</f>
        <v>0.62</v>
      </c>
      <c r="K37" s="3" t="n">
        <f aca="false">Cleaned_Data!K38</f>
        <v>0</v>
      </c>
      <c r="L37" s="3" t="n">
        <f aca="false">Cleaned_Data!L38</f>
        <v>3.9</v>
      </c>
      <c r="M37" s="3" t="n">
        <f aca="false">Dummy_Variables!E38</f>
        <v>0</v>
      </c>
      <c r="N37" s="3" t="n">
        <f aca="false">Dummy_Variables!F38</f>
        <v>0</v>
      </c>
      <c r="O37" s="3" t="n">
        <f aca="false">Dummy_Variables!G38</f>
        <v>1</v>
      </c>
      <c r="P37" s="3" t="n">
        <f aca="false">Dummy_Variables!H38</f>
        <v>1</v>
      </c>
      <c r="Q37" s="3" t="n">
        <f aca="false">Dummy_Variables!I38</f>
        <v>0</v>
      </c>
      <c r="R37" s="3" t="n">
        <f aca="false">Dummy_Variables!J38</f>
        <v>0</v>
      </c>
      <c r="S37" s="3" t="n">
        <f aca="false">Cleaned_Data!M38</f>
        <v>799477.76</v>
      </c>
    </row>
    <row r="38" customFormat="false" ht="15" hidden="false" customHeight="true" outlineLevel="0" collapsed="false">
      <c r="A38" s="3" t="str">
        <f aca="false">Cleaned_Data!A39</f>
        <v>STR-1009</v>
      </c>
      <c r="B38" s="4" t="n">
        <f aca="false">Cleaned_Data!B39</f>
        <v>45717</v>
      </c>
      <c r="C38" s="3" t="str">
        <f aca="false">Cleaned_Data!C39</f>
        <v>North</v>
      </c>
      <c r="D38" s="3" t="str">
        <f aca="false">Cleaned_Data!D39</f>
        <v>Residential</v>
      </c>
      <c r="E38" s="3" t="n">
        <f aca="false">Cleaned_Data!E39</f>
        <v>74413.88</v>
      </c>
      <c r="F38" s="3" t="n">
        <f aca="false">Cleaned_Data!F39</f>
        <v>9449</v>
      </c>
      <c r="G38" s="3" t="n">
        <f aca="false">Cleaned_Data!G39</f>
        <v>0.039</v>
      </c>
      <c r="H38" s="3" t="n">
        <f aca="false">Cleaned_Data!H39</f>
        <v>23</v>
      </c>
      <c r="I38" s="3" t="n">
        <f aca="false">Cleaned_Data!I39</f>
        <v>92.1</v>
      </c>
      <c r="J38" s="3" t="n">
        <f aca="false">Cleaned_Data!J39</f>
        <v>2.12</v>
      </c>
      <c r="K38" s="3" t="n">
        <f aca="false">Cleaned_Data!K39</f>
        <v>0</v>
      </c>
      <c r="L38" s="3" t="n">
        <f aca="false">Cleaned_Data!L39</f>
        <v>3.5</v>
      </c>
      <c r="M38" s="3" t="n">
        <f aca="false">Dummy_Variables!E39</f>
        <v>0</v>
      </c>
      <c r="N38" s="3" t="n">
        <f aca="false">Dummy_Variables!F39</f>
        <v>0</v>
      </c>
      <c r="O38" s="3" t="n">
        <f aca="false">Dummy_Variables!G39</f>
        <v>1</v>
      </c>
      <c r="P38" s="3" t="n">
        <f aca="false">Dummy_Variables!H39</f>
        <v>1</v>
      </c>
      <c r="Q38" s="3" t="n">
        <f aca="false">Dummy_Variables!I39</f>
        <v>0</v>
      </c>
      <c r="R38" s="3" t="n">
        <f aca="false">Dummy_Variables!J39</f>
        <v>0</v>
      </c>
      <c r="S38" s="3" t="n">
        <f aca="false">Cleaned_Data!M39</f>
        <v>798952.17</v>
      </c>
    </row>
    <row r="39" customFormat="false" ht="15" hidden="false" customHeight="true" outlineLevel="0" collapsed="false">
      <c r="A39" s="3" t="str">
        <f aca="false">Cleaned_Data!A40</f>
        <v>STR-1009</v>
      </c>
      <c r="B39" s="4" t="n">
        <f aca="false">Cleaned_Data!B40</f>
        <v>45748</v>
      </c>
      <c r="C39" s="3" t="str">
        <f aca="false">Cleaned_Data!C40</f>
        <v>North</v>
      </c>
      <c r="D39" s="3" t="str">
        <f aca="false">Cleaned_Data!D40</f>
        <v>Residential</v>
      </c>
      <c r="E39" s="3" t="n">
        <f aca="false">Cleaned_Data!E40</f>
        <v>52483.77</v>
      </c>
      <c r="F39" s="3" t="n">
        <f aca="false">Cleaned_Data!F40</f>
        <v>10453</v>
      </c>
      <c r="G39" s="3" t="n">
        <f aca="false">Cleaned_Data!G40</f>
        <v>0.247</v>
      </c>
      <c r="H39" s="3" t="n">
        <f aca="false">Cleaned_Data!H40</f>
        <v>25</v>
      </c>
      <c r="I39" s="3" t="n">
        <f aca="false">Cleaned_Data!I40</f>
        <v>99</v>
      </c>
      <c r="J39" s="3" t="n">
        <f aca="false">Cleaned_Data!J40</f>
        <v>6.31</v>
      </c>
      <c r="K39" s="3" t="n">
        <f aca="false">Cleaned_Data!K40</f>
        <v>0</v>
      </c>
      <c r="L39" s="3" t="n">
        <f aca="false">Cleaned_Data!L40</f>
        <v>3.6</v>
      </c>
      <c r="M39" s="3" t="n">
        <f aca="false">Dummy_Variables!E40</f>
        <v>0</v>
      </c>
      <c r="N39" s="3" t="n">
        <f aca="false">Dummy_Variables!F40</f>
        <v>0</v>
      </c>
      <c r="O39" s="3" t="n">
        <f aca="false">Dummy_Variables!G40</f>
        <v>1</v>
      </c>
      <c r="P39" s="3" t="n">
        <f aca="false">Dummy_Variables!H40</f>
        <v>1</v>
      </c>
      <c r="Q39" s="3" t="n">
        <f aca="false">Dummy_Variables!I40</f>
        <v>0</v>
      </c>
      <c r="R39" s="3" t="n">
        <f aca="false">Dummy_Variables!J40</f>
        <v>0</v>
      </c>
      <c r="S39" s="3" t="n">
        <f aca="false">Cleaned_Data!M40</f>
        <v>800979.78</v>
      </c>
    </row>
    <row r="40" customFormat="false" ht="15" hidden="false" customHeight="true" outlineLevel="0" collapsed="false">
      <c r="A40" s="3" t="str">
        <f aca="false">Cleaned_Data!A41</f>
        <v>STR-1010</v>
      </c>
      <c r="B40" s="4" t="n">
        <f aca="false">Cleaned_Data!B41</f>
        <v>45658</v>
      </c>
      <c r="C40" s="3" t="str">
        <f aca="false">Cleaned_Data!C41</f>
        <v>North</v>
      </c>
      <c r="D40" s="3" t="str">
        <f aca="false">Cleaned_Data!D41</f>
        <v>Mall</v>
      </c>
      <c r="E40" s="3" t="n">
        <f aca="false">Cleaned_Data!E41</f>
        <v>75269.87</v>
      </c>
      <c r="F40" s="3" t="n">
        <f aca="false">Cleaned_Data!F41</f>
        <v>8838</v>
      </c>
      <c r="G40" s="3" t="n">
        <f aca="false">Cleaned_Data!G41</f>
        <v>0.092</v>
      </c>
      <c r="H40" s="3" t="n">
        <f aca="false">Cleaned_Data!H41</f>
        <v>21</v>
      </c>
      <c r="I40" s="3" t="n">
        <f aca="false">Cleaned_Data!I41</f>
        <v>83.1</v>
      </c>
      <c r="J40" s="3" t="n">
        <f aca="false">Cleaned_Data!J41</f>
        <v>9.56</v>
      </c>
      <c r="K40" s="3" t="n">
        <f aca="false">Cleaned_Data!K41</f>
        <v>1</v>
      </c>
      <c r="L40" s="3" t="n">
        <f aca="false">Cleaned_Data!L41</f>
        <v>4.2</v>
      </c>
      <c r="M40" s="3" t="n">
        <f aca="false">Dummy_Variables!E41</f>
        <v>0</v>
      </c>
      <c r="N40" s="3" t="n">
        <f aca="false">Dummy_Variables!F41</f>
        <v>1</v>
      </c>
      <c r="O40" s="3" t="n">
        <f aca="false">Dummy_Variables!G41</f>
        <v>0</v>
      </c>
      <c r="P40" s="3" t="n">
        <f aca="false">Dummy_Variables!H41</f>
        <v>1</v>
      </c>
      <c r="Q40" s="3" t="n">
        <f aca="false">Dummy_Variables!I41</f>
        <v>0</v>
      </c>
      <c r="R40" s="3" t="n">
        <f aca="false">Dummy_Variables!J41</f>
        <v>0</v>
      </c>
      <c r="S40" s="3" t="n">
        <f aca="false">Cleaned_Data!M41</f>
        <v>820593.93</v>
      </c>
    </row>
    <row r="41" customFormat="false" ht="15" hidden="false" customHeight="true" outlineLevel="0" collapsed="false">
      <c r="A41" s="3" t="str">
        <f aca="false">Cleaned_Data!A42</f>
        <v>STR-1010</v>
      </c>
      <c r="B41" s="4" t="n">
        <f aca="false">Cleaned_Data!B42</f>
        <v>45689</v>
      </c>
      <c r="C41" s="3" t="str">
        <f aca="false">Cleaned_Data!C42</f>
        <v>North</v>
      </c>
      <c r="D41" s="3" t="str">
        <f aca="false">Cleaned_Data!D42</f>
        <v>Mall</v>
      </c>
      <c r="E41" s="3" t="n">
        <f aca="false">Cleaned_Data!E42</f>
        <v>61245.41</v>
      </c>
      <c r="F41" s="3" t="n">
        <f aca="false">Cleaned_Data!F42</f>
        <v>8156</v>
      </c>
      <c r="G41" s="3" t="n">
        <f aca="false">Cleaned_Data!G42</f>
        <v>0.156</v>
      </c>
      <c r="H41" s="3" t="n">
        <f aca="false">Cleaned_Data!H42</f>
        <v>19</v>
      </c>
      <c r="I41" s="3" t="n">
        <f aca="false">Cleaned_Data!I42</f>
        <v>92.9</v>
      </c>
      <c r="J41" s="3" t="n">
        <f aca="false">Cleaned_Data!J42</f>
        <v>9.05</v>
      </c>
      <c r="K41" s="3" t="n">
        <f aca="false">Cleaned_Data!K42</f>
        <v>0</v>
      </c>
      <c r="L41" s="3" t="n">
        <f aca="false">Cleaned_Data!L42</f>
        <v>3.8</v>
      </c>
      <c r="M41" s="3" t="n">
        <f aca="false">Dummy_Variables!E42</f>
        <v>0</v>
      </c>
      <c r="N41" s="3" t="n">
        <f aca="false">Dummy_Variables!F42</f>
        <v>1</v>
      </c>
      <c r="O41" s="3" t="n">
        <f aca="false">Dummy_Variables!G42</f>
        <v>0</v>
      </c>
      <c r="P41" s="3" t="n">
        <f aca="false">Dummy_Variables!H42</f>
        <v>1</v>
      </c>
      <c r="Q41" s="3" t="n">
        <f aca="false">Dummy_Variables!I42</f>
        <v>0</v>
      </c>
      <c r="R41" s="3" t="n">
        <f aca="false">Dummy_Variables!J42</f>
        <v>0</v>
      </c>
      <c r="S41" s="3" t="n">
        <f aca="false">Cleaned_Data!M42</f>
        <v>718330.53</v>
      </c>
    </row>
    <row r="42" customFormat="false" ht="15" hidden="false" customHeight="true" outlineLevel="0" collapsed="false">
      <c r="A42" s="3" t="str">
        <f aca="false">Cleaned_Data!A43</f>
        <v>STR-1010</v>
      </c>
      <c r="B42" s="4" t="n">
        <f aca="false">Cleaned_Data!B43</f>
        <v>45717</v>
      </c>
      <c r="C42" s="3" t="str">
        <f aca="false">Cleaned_Data!C43</f>
        <v>North</v>
      </c>
      <c r="D42" s="3" t="str">
        <f aca="false">Cleaned_Data!D43</f>
        <v>Mall</v>
      </c>
      <c r="E42" s="3" t="n">
        <f aca="false">Cleaned_Data!E43</f>
        <v>93381.26</v>
      </c>
      <c r="F42" s="3" t="n">
        <f aca="false">Cleaned_Data!F43</f>
        <v>7562</v>
      </c>
      <c r="G42" s="3" t="n">
        <f aca="false">Cleaned_Data!G43</f>
        <v>0.198</v>
      </c>
      <c r="H42" s="3" t="n">
        <f aca="false">Cleaned_Data!H43</f>
        <v>19</v>
      </c>
      <c r="I42" s="3" t="n">
        <f aca="false">Cleaned_Data!I43</f>
        <v>82.9</v>
      </c>
      <c r="J42" s="3" t="n">
        <f aca="false">Cleaned_Data!J43</f>
        <v>5.05</v>
      </c>
      <c r="K42" s="3" t="n">
        <f aca="false">Cleaned_Data!K43</f>
        <v>0</v>
      </c>
      <c r="L42" s="3" t="n">
        <f aca="false">Cleaned_Data!L43</f>
        <v>4</v>
      </c>
      <c r="M42" s="3" t="n">
        <f aca="false">Dummy_Variables!E43</f>
        <v>0</v>
      </c>
      <c r="N42" s="3" t="n">
        <f aca="false">Dummy_Variables!F43</f>
        <v>1</v>
      </c>
      <c r="O42" s="3" t="n">
        <f aca="false">Dummy_Variables!G43</f>
        <v>0</v>
      </c>
      <c r="P42" s="3" t="n">
        <f aca="false">Dummy_Variables!H43</f>
        <v>1</v>
      </c>
      <c r="Q42" s="3" t="n">
        <f aca="false">Dummy_Variables!I43</f>
        <v>0</v>
      </c>
      <c r="R42" s="3" t="n">
        <f aca="false">Dummy_Variables!J43</f>
        <v>0</v>
      </c>
      <c r="S42" s="3" t="n">
        <f aca="false">Cleaned_Data!M43</f>
        <v>736633.4</v>
      </c>
    </row>
    <row r="43" customFormat="false" ht="15" hidden="false" customHeight="true" outlineLevel="0" collapsed="false">
      <c r="A43" s="3" t="str">
        <f aca="false">Cleaned_Data!A44</f>
        <v>STR-1010</v>
      </c>
      <c r="B43" s="4" t="n">
        <f aca="false">Cleaned_Data!B44</f>
        <v>45748</v>
      </c>
      <c r="C43" s="3" t="str">
        <f aca="false">Cleaned_Data!C44</f>
        <v>North</v>
      </c>
      <c r="D43" s="3" t="str">
        <f aca="false">Cleaned_Data!D44</f>
        <v>Mall</v>
      </c>
      <c r="E43" s="3" t="n">
        <f aca="false">Cleaned_Data!E44</f>
        <v>65012.19</v>
      </c>
      <c r="F43" s="3" t="n">
        <f aca="false">Cleaned_Data!F44</f>
        <v>9598</v>
      </c>
      <c r="G43" s="3" t="n">
        <f aca="false">Cleaned_Data!G44</f>
        <v>0.085</v>
      </c>
      <c r="H43" s="3" t="n">
        <f aca="false">Cleaned_Data!H44</f>
        <v>24</v>
      </c>
      <c r="I43" s="3" t="n">
        <f aca="false">Cleaned_Data!I44</f>
        <v>98.3</v>
      </c>
      <c r="J43" s="3" t="n">
        <f aca="false">Cleaned_Data!J44</f>
        <v>0.89</v>
      </c>
      <c r="K43" s="3" t="n">
        <f aca="false">Cleaned_Data!K44</f>
        <v>0</v>
      </c>
      <c r="L43" s="3" t="n">
        <f aca="false">Cleaned_Data!L44</f>
        <v>3.8</v>
      </c>
      <c r="M43" s="3" t="n">
        <f aca="false">Dummy_Variables!E44</f>
        <v>0</v>
      </c>
      <c r="N43" s="3" t="n">
        <f aca="false">Dummy_Variables!F44</f>
        <v>1</v>
      </c>
      <c r="O43" s="3" t="n">
        <f aca="false">Dummy_Variables!G44</f>
        <v>0</v>
      </c>
      <c r="P43" s="3" t="n">
        <f aca="false">Dummy_Variables!H44</f>
        <v>1</v>
      </c>
      <c r="Q43" s="3" t="n">
        <f aca="false">Dummy_Variables!I44</f>
        <v>0</v>
      </c>
      <c r="R43" s="3" t="n">
        <f aca="false">Dummy_Variables!J44</f>
        <v>0</v>
      </c>
      <c r="S43" s="3" t="n">
        <f aca="false">Cleaned_Data!M44</f>
        <v>828623.85</v>
      </c>
    </row>
    <row r="44" customFormat="false" ht="15" hidden="false" customHeight="true" outlineLevel="0" collapsed="false">
      <c r="A44" s="3" t="str">
        <f aca="false">Cleaned_Data!A45</f>
        <v>STR-1011</v>
      </c>
      <c r="B44" s="4" t="n">
        <f aca="false">Cleaned_Data!B45</f>
        <v>45658</v>
      </c>
      <c r="C44" s="3" t="str">
        <f aca="false">Cleaned_Data!C45</f>
        <v>East</v>
      </c>
      <c r="D44" s="3" t="str">
        <f aca="false">Cleaned_Data!D45</f>
        <v>Mall</v>
      </c>
      <c r="E44" s="3" t="n">
        <f aca="false">Cleaned_Data!E45</f>
        <v>40462.94</v>
      </c>
      <c r="F44" s="3" t="n">
        <f aca="false">Cleaned_Data!F45</f>
        <v>3660</v>
      </c>
      <c r="G44" s="3" t="n">
        <f aca="false">Cleaned_Data!G45</f>
        <v>0.218</v>
      </c>
      <c r="H44" s="3" t="n">
        <f aca="false">Cleaned_Data!H45</f>
        <v>11</v>
      </c>
      <c r="I44" s="3" t="n">
        <f aca="false">Cleaned_Data!I45</f>
        <v>95.2</v>
      </c>
      <c r="J44" s="3" t="n">
        <f aca="false">Cleaned_Data!J45</f>
        <v>5.57</v>
      </c>
      <c r="K44" s="3" t="n">
        <f aca="false">Cleaned_Data!K45</f>
        <v>0</v>
      </c>
      <c r="L44" s="3" t="n">
        <f aca="false">Cleaned_Data!L45</f>
        <v>4.4</v>
      </c>
      <c r="M44" s="3" t="n">
        <f aca="false">Dummy_Variables!E45</f>
        <v>0</v>
      </c>
      <c r="N44" s="3" t="n">
        <f aca="false">Dummy_Variables!F45</f>
        <v>1</v>
      </c>
      <c r="O44" s="3" t="n">
        <f aca="false">Dummy_Variables!G45</f>
        <v>0</v>
      </c>
      <c r="P44" s="3" t="n">
        <f aca="false">Dummy_Variables!H45</f>
        <v>0</v>
      </c>
      <c r="Q44" s="3" t="n">
        <f aca="false">Dummy_Variables!I45</f>
        <v>0</v>
      </c>
      <c r="R44" s="3" t="n">
        <f aca="false">Dummy_Variables!J45</f>
        <v>0</v>
      </c>
      <c r="S44" s="3" t="n">
        <f aca="false">Cleaned_Data!M45</f>
        <v>592195.85</v>
      </c>
    </row>
    <row r="45" customFormat="false" ht="15" hidden="false" customHeight="true" outlineLevel="0" collapsed="false">
      <c r="A45" s="3" t="str">
        <f aca="false">Cleaned_Data!A46</f>
        <v>STR-1011</v>
      </c>
      <c r="B45" s="4" t="n">
        <f aca="false">Cleaned_Data!B46</f>
        <v>45689</v>
      </c>
      <c r="C45" s="3" t="str">
        <f aca="false">Cleaned_Data!C46</f>
        <v>East</v>
      </c>
      <c r="D45" s="3" t="str">
        <f aca="false">Cleaned_Data!D46</f>
        <v>Mall</v>
      </c>
      <c r="E45" s="3" t="n">
        <f aca="false">Cleaned_Data!E46</f>
        <v>46123.88</v>
      </c>
      <c r="F45" s="3" t="n">
        <f aca="false">Cleaned_Data!F46</f>
        <v>3227</v>
      </c>
      <c r="G45" s="3" t="n">
        <f aca="false">Cleaned_Data!G46</f>
        <v>0.143</v>
      </c>
      <c r="H45" s="3" t="n">
        <f aca="false">Cleaned_Data!H46</f>
        <v>10</v>
      </c>
      <c r="I45" s="3" t="n">
        <f aca="false">Cleaned_Data!I46</f>
        <v>75.4</v>
      </c>
      <c r="J45" s="3" t="n">
        <f aca="false">Cleaned_Data!J46</f>
        <v>1.06</v>
      </c>
      <c r="K45" s="3" t="n">
        <f aca="false">Cleaned_Data!K46</f>
        <v>0</v>
      </c>
      <c r="L45" s="3" t="n">
        <f aca="false">Cleaned_Data!L46</f>
        <v>4.4</v>
      </c>
      <c r="M45" s="3" t="n">
        <f aca="false">Dummy_Variables!E46</f>
        <v>0</v>
      </c>
      <c r="N45" s="3" t="n">
        <f aca="false">Dummy_Variables!F46</f>
        <v>1</v>
      </c>
      <c r="O45" s="3" t="n">
        <f aca="false">Dummy_Variables!G46</f>
        <v>0</v>
      </c>
      <c r="P45" s="3" t="n">
        <f aca="false">Dummy_Variables!H46</f>
        <v>0</v>
      </c>
      <c r="Q45" s="3" t="n">
        <f aca="false">Dummy_Variables!I46</f>
        <v>0</v>
      </c>
      <c r="R45" s="3" t="n">
        <f aca="false">Dummy_Variables!J46</f>
        <v>0</v>
      </c>
      <c r="S45" s="3" t="n">
        <f aca="false">Cleaned_Data!M46</f>
        <v>532644.46</v>
      </c>
    </row>
    <row r="46" customFormat="false" ht="15" hidden="false" customHeight="true" outlineLevel="0" collapsed="false">
      <c r="A46" s="3" t="str">
        <f aca="false">Cleaned_Data!A47</f>
        <v>STR-1011</v>
      </c>
      <c r="B46" s="4" t="n">
        <f aca="false">Cleaned_Data!B47</f>
        <v>45717</v>
      </c>
      <c r="C46" s="3" t="str">
        <f aca="false">Cleaned_Data!C47</f>
        <v>East</v>
      </c>
      <c r="D46" s="3" t="str">
        <f aca="false">Cleaned_Data!D47</f>
        <v>Mall</v>
      </c>
      <c r="E46" s="3" t="n">
        <f aca="false">Cleaned_Data!E47</f>
        <v>68077.54</v>
      </c>
      <c r="F46" s="3" t="n">
        <f aca="false">Cleaned_Data!F47</f>
        <v>3360</v>
      </c>
      <c r="G46" s="3" t="n">
        <f aca="false">Cleaned_Data!G47</f>
        <v>0.128</v>
      </c>
      <c r="H46" s="3" t="n">
        <f aca="false">Cleaned_Data!H47</f>
        <v>14</v>
      </c>
      <c r="I46" s="3" t="n">
        <f aca="false">Cleaned_Data!I47</f>
        <v>88.2</v>
      </c>
      <c r="J46" s="3" t="n">
        <f aca="false">Cleaned_Data!J47</f>
        <v>1.24</v>
      </c>
      <c r="K46" s="3" t="n">
        <f aca="false">Cleaned_Data!K47</f>
        <v>1</v>
      </c>
      <c r="L46" s="3" t="n">
        <f aca="false">Cleaned_Data!L47</f>
        <v>4</v>
      </c>
      <c r="M46" s="3" t="n">
        <f aca="false">Dummy_Variables!E47</f>
        <v>0</v>
      </c>
      <c r="N46" s="3" t="n">
        <f aca="false">Dummy_Variables!F47</f>
        <v>1</v>
      </c>
      <c r="O46" s="3" t="n">
        <f aca="false">Dummy_Variables!G47</f>
        <v>0</v>
      </c>
      <c r="P46" s="3" t="n">
        <f aca="false">Dummy_Variables!H47</f>
        <v>0</v>
      </c>
      <c r="Q46" s="3" t="n">
        <f aca="false">Dummy_Variables!I47</f>
        <v>0</v>
      </c>
      <c r="R46" s="3" t="n">
        <f aca="false">Dummy_Variables!J47</f>
        <v>0</v>
      </c>
      <c r="S46" s="3" t="n">
        <f aca="false">Cleaned_Data!M47</f>
        <v>657429.18</v>
      </c>
    </row>
    <row r="47" customFormat="false" ht="15" hidden="false" customHeight="true" outlineLevel="0" collapsed="false">
      <c r="A47" s="3" t="str">
        <f aca="false">Cleaned_Data!A48</f>
        <v>STR-1011</v>
      </c>
      <c r="B47" s="4" t="n">
        <f aca="false">Cleaned_Data!B48</f>
        <v>45748</v>
      </c>
      <c r="C47" s="3" t="str">
        <f aca="false">Cleaned_Data!C48</f>
        <v>East</v>
      </c>
      <c r="D47" s="3" t="str">
        <f aca="false">Cleaned_Data!D48</f>
        <v>Mall</v>
      </c>
      <c r="E47" s="3" t="n">
        <f aca="false">Cleaned_Data!E48</f>
        <v>64882.14</v>
      </c>
      <c r="F47" s="3" t="n">
        <f aca="false">Cleaned_Data!F48</f>
        <v>3642</v>
      </c>
      <c r="G47" s="3" t="n">
        <f aca="false">Cleaned_Data!G48</f>
        <v>0.019</v>
      </c>
      <c r="H47" s="3" t="n">
        <f aca="false">Cleaned_Data!H48</f>
        <v>13</v>
      </c>
      <c r="I47" s="3" t="n">
        <f aca="false">Cleaned_Data!I48</f>
        <v>87.8</v>
      </c>
      <c r="J47" s="3" t="n">
        <f aca="false">Cleaned_Data!J48</f>
        <v>4.52</v>
      </c>
      <c r="K47" s="3" t="n">
        <f aca="false">Cleaned_Data!K48</f>
        <v>0</v>
      </c>
      <c r="L47" s="3" t="n">
        <f aca="false">Cleaned_Data!L48</f>
        <v>4.2</v>
      </c>
      <c r="M47" s="3" t="n">
        <f aca="false">Dummy_Variables!E48</f>
        <v>0</v>
      </c>
      <c r="N47" s="3" t="n">
        <f aca="false">Dummy_Variables!F48</f>
        <v>1</v>
      </c>
      <c r="O47" s="3" t="n">
        <f aca="false">Dummy_Variables!G48</f>
        <v>0</v>
      </c>
      <c r="P47" s="3" t="n">
        <f aca="false">Dummy_Variables!H48</f>
        <v>0</v>
      </c>
      <c r="Q47" s="3" t="n">
        <f aca="false">Dummy_Variables!I48</f>
        <v>0</v>
      </c>
      <c r="R47" s="3" t="n">
        <f aca="false">Dummy_Variables!J48</f>
        <v>0</v>
      </c>
      <c r="S47" s="3" t="n">
        <f aca="false">Cleaned_Data!M48</f>
        <v>605178</v>
      </c>
    </row>
    <row r="48" customFormat="false" ht="15" hidden="false" customHeight="true" outlineLevel="0" collapsed="false">
      <c r="A48" s="3" t="str">
        <f aca="false">Cleaned_Data!A49</f>
        <v>STR-1012</v>
      </c>
      <c r="B48" s="4" t="n">
        <f aca="false">Cleaned_Data!B49</f>
        <v>45658</v>
      </c>
      <c r="C48" s="3" t="str">
        <f aca="false">Cleaned_Data!C49</f>
        <v>West</v>
      </c>
      <c r="D48" s="3" t="str">
        <f aca="false">Cleaned_Data!D49</f>
        <v>Residential</v>
      </c>
      <c r="E48" s="3" t="n">
        <f aca="false">Cleaned_Data!E49</f>
        <v>138855.51</v>
      </c>
      <c r="F48" s="3" t="n">
        <f aca="false">Cleaned_Data!F49</f>
        <v>5145</v>
      </c>
      <c r="G48" s="3" t="n">
        <f aca="false">Cleaned_Data!G49</f>
        <v>0.06</v>
      </c>
      <c r="H48" s="3" t="n">
        <f aca="false">Cleaned_Data!H49</f>
        <v>17</v>
      </c>
      <c r="I48" s="3" t="n">
        <f aca="false">Cleaned_Data!I49</f>
        <v>88.2</v>
      </c>
      <c r="J48" s="3" t="n">
        <f aca="false">Cleaned_Data!J49</f>
        <v>9.58</v>
      </c>
      <c r="K48" s="3" t="n">
        <f aca="false">Cleaned_Data!K49</f>
        <v>0</v>
      </c>
      <c r="L48" s="3" t="n">
        <f aca="false">Cleaned_Data!L49</f>
        <v>3.2</v>
      </c>
      <c r="M48" s="3" t="n">
        <f aca="false">Dummy_Variables!E49</f>
        <v>0</v>
      </c>
      <c r="N48" s="3" t="n">
        <f aca="false">Dummy_Variables!F49</f>
        <v>0</v>
      </c>
      <c r="O48" s="3" t="n">
        <f aca="false">Dummy_Variables!G49</f>
        <v>1</v>
      </c>
      <c r="P48" s="3" t="n">
        <f aca="false">Dummy_Variables!H49</f>
        <v>0</v>
      </c>
      <c r="Q48" s="3" t="n">
        <f aca="false">Dummy_Variables!I49</f>
        <v>0</v>
      </c>
      <c r="R48" s="3" t="n">
        <f aca="false">Dummy_Variables!J49</f>
        <v>1</v>
      </c>
      <c r="S48" s="3" t="n">
        <f aca="false">Cleaned_Data!M49</f>
        <v>595467.6</v>
      </c>
    </row>
    <row r="49" customFormat="false" ht="15" hidden="false" customHeight="true" outlineLevel="0" collapsed="false">
      <c r="A49" s="3" t="str">
        <f aca="false">Cleaned_Data!A50</f>
        <v>STR-1012</v>
      </c>
      <c r="B49" s="4" t="n">
        <f aca="false">Cleaned_Data!B50</f>
        <v>45689</v>
      </c>
      <c r="C49" s="3" t="str">
        <f aca="false">Cleaned_Data!C50</f>
        <v>West</v>
      </c>
      <c r="D49" s="3" t="str">
        <f aca="false">Cleaned_Data!D50</f>
        <v>Residential</v>
      </c>
      <c r="E49" s="3" t="n">
        <f aca="false">Cleaned_Data!E50</f>
        <v>63630.21</v>
      </c>
      <c r="F49" s="3" t="n">
        <f aca="false">Cleaned_Data!F50</f>
        <v>4460</v>
      </c>
      <c r="G49" s="3" t="n">
        <f aca="false">Cleaned_Data!G50</f>
        <v>0.235</v>
      </c>
      <c r="H49" s="3" t="n">
        <f aca="false">Cleaned_Data!H50</f>
        <v>14</v>
      </c>
      <c r="I49" s="3" t="n">
        <f aca="false">Cleaned_Data!I50</f>
        <v>98.6</v>
      </c>
      <c r="J49" s="3" t="n">
        <f aca="false">Cleaned_Data!J50</f>
        <v>5.52</v>
      </c>
      <c r="K49" s="3" t="n">
        <f aca="false">Cleaned_Data!K50</f>
        <v>0</v>
      </c>
      <c r="L49" s="3" t="n">
        <f aca="false">Cleaned_Data!L50</f>
        <v>3.5</v>
      </c>
      <c r="M49" s="3" t="n">
        <f aca="false">Dummy_Variables!E50</f>
        <v>0</v>
      </c>
      <c r="N49" s="3" t="n">
        <f aca="false">Dummy_Variables!F50</f>
        <v>0</v>
      </c>
      <c r="O49" s="3" t="n">
        <f aca="false">Dummy_Variables!G50</f>
        <v>1</v>
      </c>
      <c r="P49" s="3" t="n">
        <f aca="false">Dummy_Variables!H50</f>
        <v>0</v>
      </c>
      <c r="Q49" s="3" t="n">
        <f aca="false">Dummy_Variables!I50</f>
        <v>0</v>
      </c>
      <c r="R49" s="3" t="n">
        <f aca="false">Dummy_Variables!J50</f>
        <v>1</v>
      </c>
      <c r="S49" s="3" t="n">
        <f aca="false">Cleaned_Data!M50</f>
        <v>599603.4</v>
      </c>
    </row>
    <row r="50" customFormat="false" ht="15" hidden="false" customHeight="true" outlineLevel="0" collapsed="false">
      <c r="A50" s="3" t="str">
        <f aca="false">Cleaned_Data!A51</f>
        <v>STR-1012</v>
      </c>
      <c r="B50" s="4" t="n">
        <f aca="false">Cleaned_Data!B51</f>
        <v>45717</v>
      </c>
      <c r="C50" s="3" t="str">
        <f aca="false">Cleaned_Data!C51</f>
        <v>West</v>
      </c>
      <c r="D50" s="3" t="str">
        <f aca="false">Cleaned_Data!D51</f>
        <v>Residential</v>
      </c>
      <c r="E50" s="3" t="n">
        <f aca="false">Cleaned_Data!E51</f>
        <v>50043.65</v>
      </c>
      <c r="F50" s="3" t="n">
        <f aca="false">Cleaned_Data!F51</f>
        <v>3804</v>
      </c>
      <c r="G50" s="3" t="n">
        <f aca="false">Cleaned_Data!G51</f>
        <v>0.113</v>
      </c>
      <c r="H50" s="3" t="n">
        <f aca="false">Cleaned_Data!H51</f>
        <v>11</v>
      </c>
      <c r="I50" s="3" t="n">
        <f aca="false">Cleaned_Data!I51</f>
        <v>90.9</v>
      </c>
      <c r="J50" s="3" t="n">
        <f aca="false">Cleaned_Data!J51</f>
        <v>2.7</v>
      </c>
      <c r="K50" s="3" t="n">
        <f aca="false">Cleaned_Data!K51</f>
        <v>1</v>
      </c>
      <c r="L50" s="3" t="n">
        <f aca="false">Cleaned_Data!L51</f>
        <v>3.2</v>
      </c>
      <c r="M50" s="3" t="n">
        <f aca="false">Dummy_Variables!E51</f>
        <v>0</v>
      </c>
      <c r="N50" s="3" t="n">
        <f aca="false">Dummy_Variables!F51</f>
        <v>0</v>
      </c>
      <c r="O50" s="3" t="n">
        <f aca="false">Dummy_Variables!G51</f>
        <v>1</v>
      </c>
      <c r="P50" s="3" t="n">
        <f aca="false">Dummy_Variables!H51</f>
        <v>0</v>
      </c>
      <c r="Q50" s="3" t="n">
        <f aca="false">Dummy_Variables!I51</f>
        <v>0</v>
      </c>
      <c r="R50" s="3" t="n">
        <f aca="false">Dummy_Variables!J51</f>
        <v>1</v>
      </c>
      <c r="S50" s="3" t="n">
        <f aca="false">Cleaned_Data!M51</f>
        <v>614800.09</v>
      </c>
    </row>
    <row r="51" customFormat="false" ht="15" hidden="false" customHeight="true" outlineLevel="0" collapsed="false">
      <c r="A51" s="3" t="str">
        <f aca="false">Cleaned_Data!A52</f>
        <v>STR-1012</v>
      </c>
      <c r="B51" s="4" t="n">
        <f aca="false">Cleaned_Data!B52</f>
        <v>45748</v>
      </c>
      <c r="C51" s="3" t="str">
        <f aca="false">Cleaned_Data!C52</f>
        <v>West</v>
      </c>
      <c r="D51" s="3" t="str">
        <f aca="false">Cleaned_Data!D52</f>
        <v>Residential</v>
      </c>
      <c r="E51" s="3" t="n">
        <f aca="false">Cleaned_Data!E52</f>
        <v>42093.84</v>
      </c>
      <c r="F51" s="3" t="n">
        <f aca="false">Cleaned_Data!F52</f>
        <v>4074</v>
      </c>
      <c r="G51" s="3" t="n">
        <f aca="false">Cleaned_Data!G52</f>
        <v>0.155</v>
      </c>
      <c r="H51" s="3" t="n">
        <f aca="false">Cleaned_Data!H52</f>
        <v>15</v>
      </c>
      <c r="I51" s="3" t="n">
        <f aca="false">Cleaned_Data!I52</f>
        <v>88</v>
      </c>
      <c r="J51" s="3" t="n">
        <f aca="false">Cleaned_Data!J52</f>
        <v>9.64</v>
      </c>
      <c r="K51" s="3" t="n">
        <f aca="false">Cleaned_Data!K52</f>
        <v>0</v>
      </c>
      <c r="L51" s="3" t="n">
        <f aca="false">Cleaned_Data!L52</f>
        <v>3.3</v>
      </c>
      <c r="M51" s="3" t="n">
        <f aca="false">Dummy_Variables!E52</f>
        <v>0</v>
      </c>
      <c r="N51" s="3" t="n">
        <f aca="false">Dummy_Variables!F52</f>
        <v>0</v>
      </c>
      <c r="O51" s="3" t="n">
        <f aca="false">Dummy_Variables!G52</f>
        <v>1</v>
      </c>
      <c r="P51" s="3" t="n">
        <f aca="false">Dummy_Variables!H52</f>
        <v>0</v>
      </c>
      <c r="Q51" s="3" t="n">
        <f aca="false">Dummy_Variables!I52</f>
        <v>0</v>
      </c>
      <c r="R51" s="3" t="n">
        <f aca="false">Dummy_Variables!J52</f>
        <v>1</v>
      </c>
      <c r="S51" s="3" t="n">
        <f aca="false">Cleaned_Data!M52</f>
        <v>585365.73</v>
      </c>
    </row>
    <row r="52" customFormat="false" ht="15" hidden="false" customHeight="true" outlineLevel="0" collapsed="false">
      <c r="A52" s="3" t="str">
        <f aca="false">Cleaned_Data!A53</f>
        <v>STR-1013</v>
      </c>
      <c r="B52" s="4" t="n">
        <f aca="false">Cleaned_Data!B53</f>
        <v>45658</v>
      </c>
      <c r="C52" s="3" t="str">
        <f aca="false">Cleaned_Data!C53</f>
        <v>North</v>
      </c>
      <c r="D52" s="3" t="str">
        <f aca="false">Cleaned_Data!D53</f>
        <v>Mall</v>
      </c>
      <c r="E52" s="3" t="n">
        <f aca="false">Cleaned_Data!E53</f>
        <v>46624.05</v>
      </c>
      <c r="F52" s="3" t="n">
        <f aca="false">Cleaned_Data!F53</f>
        <v>5104</v>
      </c>
      <c r="G52" s="3" t="n">
        <f aca="false">Cleaned_Data!G53</f>
        <v>0.109</v>
      </c>
      <c r="H52" s="3" t="n">
        <f aca="false">Cleaned_Data!H53</f>
        <v>11</v>
      </c>
      <c r="I52" s="3" t="n">
        <f aca="false">Cleaned_Data!I53</f>
        <v>97.3</v>
      </c>
      <c r="J52" s="3" t="n">
        <f aca="false">Cleaned_Data!J53</f>
        <v>3.49</v>
      </c>
      <c r="K52" s="3" t="n">
        <f aca="false">Cleaned_Data!K53</f>
        <v>1</v>
      </c>
      <c r="L52" s="3" t="n">
        <f aca="false">Cleaned_Data!L53</f>
        <v>4.7</v>
      </c>
      <c r="M52" s="3" t="n">
        <f aca="false">Dummy_Variables!E53</f>
        <v>0</v>
      </c>
      <c r="N52" s="3" t="n">
        <f aca="false">Dummy_Variables!F53</f>
        <v>1</v>
      </c>
      <c r="O52" s="3" t="n">
        <f aca="false">Dummy_Variables!G53</f>
        <v>0</v>
      </c>
      <c r="P52" s="3" t="n">
        <f aca="false">Dummy_Variables!H53</f>
        <v>1</v>
      </c>
      <c r="Q52" s="3" t="n">
        <f aca="false">Dummy_Variables!I53</f>
        <v>0</v>
      </c>
      <c r="R52" s="3" t="n">
        <f aca="false">Dummy_Variables!J53</f>
        <v>0</v>
      </c>
      <c r="S52" s="3" t="n">
        <f aca="false">Cleaned_Data!M53</f>
        <v>622811.74</v>
      </c>
    </row>
    <row r="53" customFormat="false" ht="15" hidden="false" customHeight="true" outlineLevel="0" collapsed="false">
      <c r="A53" s="3" t="str">
        <f aca="false">Cleaned_Data!A54</f>
        <v>STR-1013</v>
      </c>
      <c r="B53" s="4" t="n">
        <f aca="false">Cleaned_Data!B54</f>
        <v>45689</v>
      </c>
      <c r="C53" s="3" t="str">
        <f aca="false">Cleaned_Data!C54</f>
        <v>North</v>
      </c>
      <c r="D53" s="3" t="str">
        <f aca="false">Cleaned_Data!D54</f>
        <v>Mall</v>
      </c>
      <c r="E53" s="3" t="n">
        <f aca="false">Cleaned_Data!E54</f>
        <v>49710.29</v>
      </c>
      <c r="F53" s="3" t="n">
        <f aca="false">Cleaned_Data!F54</f>
        <v>5559</v>
      </c>
      <c r="G53" s="3" t="n">
        <f aca="false">Cleaned_Data!G54</f>
        <v>0.218</v>
      </c>
      <c r="H53" s="3" t="n">
        <f aca="false">Cleaned_Data!H54</f>
        <v>14</v>
      </c>
      <c r="I53" s="3" t="n">
        <f aca="false">Cleaned_Data!I54</f>
        <v>71</v>
      </c>
      <c r="J53" s="3" t="n">
        <f aca="false">Cleaned_Data!J54</f>
        <v>9.11</v>
      </c>
      <c r="K53" s="3" t="n">
        <f aca="false">Cleaned_Data!K54</f>
        <v>0</v>
      </c>
      <c r="L53" s="3" t="n">
        <f aca="false">Cleaned_Data!L54</f>
        <v>4.6</v>
      </c>
      <c r="M53" s="3" t="n">
        <f aca="false">Dummy_Variables!E54</f>
        <v>0</v>
      </c>
      <c r="N53" s="3" t="n">
        <f aca="false">Dummy_Variables!F54</f>
        <v>1</v>
      </c>
      <c r="O53" s="3" t="n">
        <f aca="false">Dummy_Variables!G54</f>
        <v>0</v>
      </c>
      <c r="P53" s="3" t="n">
        <f aca="false">Dummy_Variables!H54</f>
        <v>1</v>
      </c>
      <c r="Q53" s="3" t="n">
        <f aca="false">Dummy_Variables!I54</f>
        <v>0</v>
      </c>
      <c r="R53" s="3" t="n">
        <f aca="false">Dummy_Variables!J54</f>
        <v>0</v>
      </c>
      <c r="S53" s="3" t="n">
        <f aca="false">Cleaned_Data!M54</f>
        <v>603297.57</v>
      </c>
    </row>
    <row r="54" customFormat="false" ht="15" hidden="false" customHeight="true" outlineLevel="0" collapsed="false">
      <c r="A54" s="3" t="str">
        <f aca="false">Cleaned_Data!A55</f>
        <v>STR-1013</v>
      </c>
      <c r="B54" s="4" t="n">
        <f aca="false">Cleaned_Data!B55</f>
        <v>45717</v>
      </c>
      <c r="C54" s="3" t="str">
        <f aca="false">Cleaned_Data!C55</f>
        <v>North</v>
      </c>
      <c r="D54" s="3" t="str">
        <f aca="false">Cleaned_Data!D55</f>
        <v>Mall</v>
      </c>
      <c r="E54" s="3" t="n">
        <f aca="false">Cleaned_Data!E55</f>
        <v>48287.85</v>
      </c>
      <c r="F54" s="3" t="n">
        <f aca="false">Cleaned_Data!F55</f>
        <v>5150</v>
      </c>
      <c r="G54" s="3" t="n">
        <f aca="false">Cleaned_Data!G55</f>
        <v>0.008</v>
      </c>
      <c r="H54" s="3" t="n">
        <f aca="false">Cleaned_Data!H55</f>
        <v>12</v>
      </c>
      <c r="I54" s="3" t="n">
        <f aca="false">Cleaned_Data!I55</f>
        <v>80.4</v>
      </c>
      <c r="J54" s="3" t="n">
        <f aca="false">Cleaned_Data!J55</f>
        <v>7.4</v>
      </c>
      <c r="K54" s="3" t="n">
        <f aca="false">Cleaned_Data!K55</f>
        <v>0</v>
      </c>
      <c r="L54" s="3" t="n">
        <f aca="false">Cleaned_Data!L55</f>
        <v>4.5</v>
      </c>
      <c r="M54" s="3" t="n">
        <f aca="false">Dummy_Variables!E55</f>
        <v>0</v>
      </c>
      <c r="N54" s="3" t="n">
        <f aca="false">Dummy_Variables!F55</f>
        <v>1</v>
      </c>
      <c r="O54" s="3" t="n">
        <f aca="false">Dummy_Variables!G55</f>
        <v>0</v>
      </c>
      <c r="P54" s="3" t="n">
        <f aca="false">Dummy_Variables!H55</f>
        <v>1</v>
      </c>
      <c r="Q54" s="3" t="n">
        <f aca="false">Dummy_Variables!I55</f>
        <v>0</v>
      </c>
      <c r="R54" s="3" t="n">
        <f aca="false">Dummy_Variables!J55</f>
        <v>0</v>
      </c>
      <c r="S54" s="3" t="n">
        <f aca="false">Cleaned_Data!M55</f>
        <v>625672.86</v>
      </c>
    </row>
    <row r="55" customFormat="false" ht="15" hidden="false" customHeight="true" outlineLevel="0" collapsed="false">
      <c r="A55" s="3" t="str">
        <f aca="false">Cleaned_Data!A56</f>
        <v>STR-1013</v>
      </c>
      <c r="B55" s="4" t="n">
        <f aca="false">Cleaned_Data!B56</f>
        <v>45748</v>
      </c>
      <c r="C55" s="3" t="str">
        <f aca="false">Cleaned_Data!C56</f>
        <v>North</v>
      </c>
      <c r="D55" s="3" t="str">
        <f aca="false">Cleaned_Data!D56</f>
        <v>Mall</v>
      </c>
      <c r="E55" s="3" t="n">
        <f aca="false">Cleaned_Data!E56</f>
        <v>65312.49</v>
      </c>
      <c r="F55" s="3" t="n">
        <f aca="false">Cleaned_Data!F56</f>
        <v>7189</v>
      </c>
      <c r="G55" s="3" t="n">
        <f aca="false">Cleaned_Data!G56</f>
        <v>0.05</v>
      </c>
      <c r="H55" s="3" t="n">
        <f aca="false">Cleaned_Data!H56</f>
        <v>19</v>
      </c>
      <c r="I55" s="3" t="n">
        <f aca="false">Cleaned_Data!I56</f>
        <v>93.7</v>
      </c>
      <c r="J55" s="3" t="n">
        <f aca="false">Cleaned_Data!J56</f>
        <v>7.16</v>
      </c>
      <c r="K55" s="3" t="n">
        <f aca="false">Cleaned_Data!K56</f>
        <v>0</v>
      </c>
      <c r="L55" s="3" t="n">
        <f aca="false">Cleaned_Data!L56</f>
        <v>4.6</v>
      </c>
      <c r="M55" s="3" t="n">
        <f aca="false">Dummy_Variables!E56</f>
        <v>0</v>
      </c>
      <c r="N55" s="3" t="n">
        <f aca="false">Dummy_Variables!F56</f>
        <v>1</v>
      </c>
      <c r="O55" s="3" t="n">
        <f aca="false">Dummy_Variables!G56</f>
        <v>0</v>
      </c>
      <c r="P55" s="3" t="n">
        <f aca="false">Dummy_Variables!H56</f>
        <v>1</v>
      </c>
      <c r="Q55" s="3" t="n">
        <f aca="false">Dummy_Variables!I56</f>
        <v>0</v>
      </c>
      <c r="R55" s="3" t="n">
        <f aca="false">Dummy_Variables!J56</f>
        <v>0</v>
      </c>
      <c r="S55" s="3" t="n">
        <f aca="false">Cleaned_Data!M56</f>
        <v>773815.14</v>
      </c>
    </row>
    <row r="56" customFormat="false" ht="15" hidden="false" customHeight="true" outlineLevel="0" collapsed="false">
      <c r="A56" s="3" t="str">
        <f aca="false">Cleaned_Data!A57</f>
        <v>STR-1014</v>
      </c>
      <c r="B56" s="4" t="n">
        <f aca="false">Cleaned_Data!B57</f>
        <v>45658</v>
      </c>
      <c r="C56" s="3" t="str">
        <f aca="false">Cleaned_Data!C57</f>
        <v>West</v>
      </c>
      <c r="D56" s="3" t="str">
        <f aca="false">Cleaned_Data!D57</f>
        <v>High Street</v>
      </c>
      <c r="E56" s="3" t="n">
        <f aca="false">Cleaned_Data!E57</f>
        <v>53015.46</v>
      </c>
      <c r="F56" s="3" t="n">
        <f aca="false">Cleaned_Data!F57</f>
        <v>3279</v>
      </c>
      <c r="G56" s="3" t="n">
        <f aca="false">Cleaned_Data!G57</f>
        <v>0.087</v>
      </c>
      <c r="H56" s="3" t="n">
        <f aca="false">Cleaned_Data!H57</f>
        <v>9</v>
      </c>
      <c r="I56" s="3" t="n">
        <f aca="false">Cleaned_Data!I57</f>
        <v>84.3</v>
      </c>
      <c r="J56" s="3" t="n">
        <f aca="false">Cleaned_Data!J57</f>
        <v>22.02</v>
      </c>
      <c r="K56" s="3" t="n">
        <f aca="false">Cleaned_Data!K57</f>
        <v>0</v>
      </c>
      <c r="L56" s="3" t="n">
        <f aca="false">Cleaned_Data!L57</f>
        <v>3.9</v>
      </c>
      <c r="M56" s="3" t="n">
        <f aca="false">Dummy_Variables!E57</f>
        <v>0</v>
      </c>
      <c r="N56" s="3" t="n">
        <f aca="false">Dummy_Variables!F57</f>
        <v>0</v>
      </c>
      <c r="O56" s="3" t="n">
        <f aca="false">Dummy_Variables!G57</f>
        <v>0</v>
      </c>
      <c r="P56" s="3" t="n">
        <f aca="false">Dummy_Variables!H57</f>
        <v>0</v>
      </c>
      <c r="Q56" s="3" t="n">
        <f aca="false">Dummy_Variables!I57</f>
        <v>0</v>
      </c>
      <c r="R56" s="3" t="n">
        <f aca="false">Dummy_Variables!J57</f>
        <v>1</v>
      </c>
      <c r="S56" s="3" t="n">
        <f aca="false">Cleaned_Data!M57</f>
        <v>463534.25</v>
      </c>
    </row>
    <row r="57" customFormat="false" ht="15" hidden="false" customHeight="true" outlineLevel="0" collapsed="false">
      <c r="A57" s="3" t="str">
        <f aca="false">Cleaned_Data!A58</f>
        <v>STR-1014</v>
      </c>
      <c r="B57" s="4" t="n">
        <f aca="false">Cleaned_Data!B58</f>
        <v>45689</v>
      </c>
      <c r="C57" s="3" t="str">
        <f aca="false">Cleaned_Data!C58</f>
        <v>West</v>
      </c>
      <c r="D57" s="3" t="str">
        <f aca="false">Cleaned_Data!D58</f>
        <v>High Street</v>
      </c>
      <c r="E57" s="3" t="n">
        <f aca="false">Cleaned_Data!E58</f>
        <v>99874.01</v>
      </c>
      <c r="F57" s="3" t="n">
        <f aca="false">Cleaned_Data!F58</f>
        <v>5887</v>
      </c>
      <c r="G57" s="3" t="n">
        <f aca="false">Cleaned_Data!G58</f>
        <v>0.262</v>
      </c>
      <c r="H57" s="3" t="n">
        <f aca="false">Cleaned_Data!H58</f>
        <v>14</v>
      </c>
      <c r="I57" s="3" t="n">
        <f aca="false">Cleaned_Data!I58</f>
        <v>88.7</v>
      </c>
      <c r="J57" s="3" t="n">
        <f aca="false">Cleaned_Data!J58</f>
        <v>6.18</v>
      </c>
      <c r="K57" s="3" t="n">
        <f aca="false">Cleaned_Data!K58</f>
        <v>0</v>
      </c>
      <c r="L57" s="3" t="n">
        <f aca="false">Cleaned_Data!L58</f>
        <v>4.7</v>
      </c>
      <c r="M57" s="3" t="n">
        <f aca="false">Dummy_Variables!E58</f>
        <v>0</v>
      </c>
      <c r="N57" s="3" t="n">
        <f aca="false">Dummy_Variables!F58</f>
        <v>0</v>
      </c>
      <c r="O57" s="3" t="n">
        <f aca="false">Dummy_Variables!G58</f>
        <v>0</v>
      </c>
      <c r="P57" s="3" t="n">
        <f aca="false">Dummy_Variables!H58</f>
        <v>0</v>
      </c>
      <c r="Q57" s="3" t="n">
        <f aca="false">Dummy_Variables!I58</f>
        <v>0</v>
      </c>
      <c r="R57" s="3" t="n">
        <f aca="false">Dummy_Variables!J58</f>
        <v>1</v>
      </c>
      <c r="S57" s="3" t="n">
        <f aca="false">Cleaned_Data!M58</f>
        <v>746677.75</v>
      </c>
    </row>
    <row r="58" customFormat="false" ht="15" hidden="false" customHeight="true" outlineLevel="0" collapsed="false">
      <c r="A58" s="3" t="str">
        <f aca="false">Cleaned_Data!A59</f>
        <v>STR-1014</v>
      </c>
      <c r="B58" s="4" t="n">
        <f aca="false">Cleaned_Data!B59</f>
        <v>45717</v>
      </c>
      <c r="C58" s="3" t="str">
        <f aca="false">Cleaned_Data!C59</f>
        <v>West</v>
      </c>
      <c r="D58" s="3" t="str">
        <f aca="false">Cleaned_Data!D59</f>
        <v>High Street</v>
      </c>
      <c r="E58" s="3" t="n">
        <f aca="false">Cleaned_Data!E59</f>
        <v>81195.5</v>
      </c>
      <c r="F58" s="3" t="n">
        <f aca="false">Cleaned_Data!F59</f>
        <v>5516</v>
      </c>
      <c r="G58" s="3" t="n">
        <f aca="false">Cleaned_Data!G59</f>
        <v>0.106</v>
      </c>
      <c r="H58" s="3" t="n">
        <f aca="false">Cleaned_Data!H59</f>
        <v>14</v>
      </c>
      <c r="I58" s="3" t="n">
        <f aca="false">Cleaned_Data!I59</f>
        <v>88</v>
      </c>
      <c r="J58" s="3" t="n">
        <f aca="false">Cleaned_Data!J59</f>
        <v>1.76</v>
      </c>
      <c r="K58" s="3" t="n">
        <f aca="false">Cleaned_Data!K59</f>
        <v>0</v>
      </c>
      <c r="L58" s="3" t="n">
        <f aca="false">Cleaned_Data!L59</f>
        <v>4.3</v>
      </c>
      <c r="M58" s="3" t="n">
        <f aca="false">Dummy_Variables!E59</f>
        <v>0</v>
      </c>
      <c r="N58" s="3" t="n">
        <f aca="false">Dummy_Variables!F59</f>
        <v>0</v>
      </c>
      <c r="O58" s="3" t="n">
        <f aca="false">Dummy_Variables!G59</f>
        <v>0</v>
      </c>
      <c r="P58" s="3" t="n">
        <f aca="false">Dummy_Variables!H59</f>
        <v>0</v>
      </c>
      <c r="Q58" s="3" t="n">
        <f aca="false">Dummy_Variables!I59</f>
        <v>0</v>
      </c>
      <c r="R58" s="3" t="n">
        <f aca="false">Dummy_Variables!J59</f>
        <v>1</v>
      </c>
      <c r="S58" s="3" t="n">
        <f aca="false">Cleaned_Data!M59</f>
        <v>720852.5</v>
      </c>
    </row>
    <row r="59" customFormat="false" ht="15" hidden="false" customHeight="true" outlineLevel="0" collapsed="false">
      <c r="A59" s="3" t="str">
        <f aca="false">Cleaned_Data!A60</f>
        <v>STR-1014</v>
      </c>
      <c r="B59" s="4" t="n">
        <f aca="false">Cleaned_Data!B60</f>
        <v>45748</v>
      </c>
      <c r="C59" s="3" t="str">
        <f aca="false">Cleaned_Data!C60</f>
        <v>West</v>
      </c>
      <c r="D59" s="3" t="str">
        <f aca="false">Cleaned_Data!D60</f>
        <v>High Street</v>
      </c>
      <c r="E59" s="3" t="n">
        <f aca="false">Cleaned_Data!E60</f>
        <v>27808.6</v>
      </c>
      <c r="F59" s="3" t="n">
        <f aca="false">Cleaned_Data!F60</f>
        <v>2863</v>
      </c>
      <c r="G59" s="3" t="n">
        <f aca="false">Cleaned_Data!G60</f>
        <v>0.08</v>
      </c>
      <c r="H59" s="3" t="n">
        <f aca="false">Cleaned_Data!H60</f>
        <v>13</v>
      </c>
      <c r="I59" s="3" t="n">
        <f aca="false">Cleaned_Data!I60</f>
        <v>89.3</v>
      </c>
      <c r="J59" s="3" t="n">
        <f aca="false">Cleaned_Data!J60</f>
        <v>0.47</v>
      </c>
      <c r="K59" s="3" t="n">
        <f aca="false">Cleaned_Data!K60</f>
        <v>0</v>
      </c>
      <c r="L59" s="3" t="n">
        <f aca="false">Cleaned_Data!L60</f>
        <v>4.1</v>
      </c>
      <c r="M59" s="3" t="n">
        <f aca="false">Dummy_Variables!E60</f>
        <v>0</v>
      </c>
      <c r="N59" s="3" t="n">
        <f aca="false">Dummy_Variables!F60</f>
        <v>0</v>
      </c>
      <c r="O59" s="3" t="n">
        <f aca="false">Dummy_Variables!G60</f>
        <v>0</v>
      </c>
      <c r="P59" s="3" t="n">
        <f aca="false">Dummy_Variables!H60</f>
        <v>0</v>
      </c>
      <c r="Q59" s="3" t="n">
        <f aca="false">Dummy_Variables!I60</f>
        <v>0</v>
      </c>
      <c r="R59" s="3" t="n">
        <f aca="false">Dummy_Variables!J60</f>
        <v>1</v>
      </c>
      <c r="S59" s="3" t="n">
        <f aca="false">Cleaned_Data!M60</f>
        <v>487464.91</v>
      </c>
    </row>
    <row r="60" customFormat="false" ht="15" hidden="false" customHeight="true" outlineLevel="0" collapsed="false">
      <c r="A60" s="3" t="str">
        <f aca="false">Cleaned_Data!A61</f>
        <v>STR-1015</v>
      </c>
      <c r="B60" s="4" t="n">
        <f aca="false">Cleaned_Data!B61</f>
        <v>45658</v>
      </c>
      <c r="C60" s="3" t="str">
        <f aca="false">Cleaned_Data!C61</f>
        <v>East</v>
      </c>
      <c r="D60" s="3" t="str">
        <f aca="false">Cleaned_Data!D61</f>
        <v>Airport</v>
      </c>
      <c r="E60" s="3" t="n">
        <f aca="false">Cleaned_Data!E61</f>
        <v>19365.06</v>
      </c>
      <c r="F60" s="3" t="n">
        <f aca="false">Cleaned_Data!F61</f>
        <v>2378</v>
      </c>
      <c r="G60" s="3" t="n">
        <f aca="false">Cleaned_Data!G61</f>
        <v>0</v>
      </c>
      <c r="H60" s="3" t="n">
        <f aca="false">Cleaned_Data!H61</f>
        <v>12</v>
      </c>
      <c r="I60" s="3" t="n">
        <f aca="false">Cleaned_Data!I61</f>
        <v>94.8</v>
      </c>
      <c r="J60" s="3" t="n">
        <f aca="false">Cleaned_Data!J61</f>
        <v>0.2</v>
      </c>
      <c r="K60" s="3" t="n">
        <f aca="false">Cleaned_Data!K61</f>
        <v>0</v>
      </c>
      <c r="L60" s="3" t="n">
        <f aca="false">Cleaned_Data!L61</f>
        <v>3.5</v>
      </c>
      <c r="M60" s="3" t="n">
        <f aca="false">Dummy_Variables!E61</f>
        <v>1</v>
      </c>
      <c r="N60" s="3" t="n">
        <f aca="false">Dummy_Variables!F61</f>
        <v>0</v>
      </c>
      <c r="O60" s="3" t="n">
        <f aca="false">Dummy_Variables!G61</f>
        <v>0</v>
      </c>
      <c r="P60" s="3" t="n">
        <f aca="false">Dummy_Variables!H61</f>
        <v>0</v>
      </c>
      <c r="Q60" s="3" t="n">
        <f aca="false">Dummy_Variables!I61</f>
        <v>0</v>
      </c>
      <c r="R60" s="3" t="n">
        <f aca="false">Dummy_Variables!J61</f>
        <v>0</v>
      </c>
      <c r="S60" s="3" t="n">
        <f aca="false">Cleaned_Data!M61</f>
        <v>518049.26</v>
      </c>
    </row>
    <row r="61" customFormat="false" ht="15" hidden="false" customHeight="true" outlineLevel="0" collapsed="false">
      <c r="A61" s="3" t="str">
        <f aca="false">Cleaned_Data!A62</f>
        <v>STR-1015</v>
      </c>
      <c r="B61" s="4" t="n">
        <f aca="false">Cleaned_Data!B62</f>
        <v>45689</v>
      </c>
      <c r="C61" s="3" t="str">
        <f aca="false">Cleaned_Data!C62</f>
        <v>East</v>
      </c>
      <c r="D61" s="3" t="str">
        <f aca="false">Cleaned_Data!D62</f>
        <v>Airport</v>
      </c>
      <c r="E61" s="3" t="n">
        <f aca="false">Cleaned_Data!E62</f>
        <v>59405.68</v>
      </c>
      <c r="F61" s="3" t="n">
        <f aca="false">Cleaned_Data!F62</f>
        <v>2515</v>
      </c>
      <c r="G61" s="3" t="n">
        <f aca="false">Cleaned_Data!G62</f>
        <v>0.039</v>
      </c>
      <c r="H61" s="3" t="n">
        <f aca="false">Cleaned_Data!H62</f>
        <v>12</v>
      </c>
      <c r="I61" s="3" t="n">
        <f aca="false">Cleaned_Data!I62</f>
        <v>76</v>
      </c>
      <c r="J61" s="3" t="n">
        <f aca="false">Cleaned_Data!J62</f>
        <v>5.11</v>
      </c>
      <c r="K61" s="3" t="n">
        <f aca="false">Cleaned_Data!K62</f>
        <v>0</v>
      </c>
      <c r="L61" s="3" t="n">
        <f aca="false">Cleaned_Data!L62</f>
        <v>3.7</v>
      </c>
      <c r="M61" s="3" t="n">
        <f aca="false">Dummy_Variables!E62</f>
        <v>1</v>
      </c>
      <c r="N61" s="3" t="n">
        <f aca="false">Dummy_Variables!F62</f>
        <v>0</v>
      </c>
      <c r="O61" s="3" t="n">
        <f aca="false">Dummy_Variables!G62</f>
        <v>0</v>
      </c>
      <c r="P61" s="3" t="n">
        <f aca="false">Dummy_Variables!H62</f>
        <v>0</v>
      </c>
      <c r="Q61" s="3" t="n">
        <f aca="false">Dummy_Variables!I62</f>
        <v>0</v>
      </c>
      <c r="R61" s="3" t="n">
        <f aca="false">Dummy_Variables!J62</f>
        <v>0</v>
      </c>
      <c r="S61" s="3" t="n">
        <f aca="false">Cleaned_Data!M62</f>
        <v>500298.48</v>
      </c>
    </row>
    <row r="62" customFormat="false" ht="15" hidden="false" customHeight="true" outlineLevel="0" collapsed="false">
      <c r="A62" s="3" t="str">
        <f aca="false">Cleaned_Data!A63</f>
        <v>STR-1015</v>
      </c>
      <c r="B62" s="4" t="n">
        <f aca="false">Cleaned_Data!B63</f>
        <v>45717</v>
      </c>
      <c r="C62" s="3" t="str">
        <f aca="false">Cleaned_Data!C63</f>
        <v>East</v>
      </c>
      <c r="D62" s="3" t="str">
        <f aca="false">Cleaned_Data!D63</f>
        <v>Airport</v>
      </c>
      <c r="E62" s="3" t="n">
        <f aca="false">Cleaned_Data!E63</f>
        <v>118910.48</v>
      </c>
      <c r="F62" s="3" t="n">
        <f aca="false">Cleaned_Data!F63</f>
        <v>4022</v>
      </c>
      <c r="G62" s="3" t="n">
        <f aca="false">Cleaned_Data!G63</f>
        <v>0.137</v>
      </c>
      <c r="H62" s="3" t="n">
        <f aca="false">Cleaned_Data!H63</f>
        <v>11</v>
      </c>
      <c r="I62" s="3" t="n">
        <f aca="false">Cleaned_Data!I63</f>
        <v>87.1</v>
      </c>
      <c r="J62" s="3" t="n">
        <f aca="false">Cleaned_Data!J63</f>
        <v>0.2</v>
      </c>
      <c r="K62" s="3" t="n">
        <f aca="false">Cleaned_Data!K63</f>
        <v>0</v>
      </c>
      <c r="L62" s="3" t="n">
        <f aca="false">Cleaned_Data!L63</f>
        <v>3.1</v>
      </c>
      <c r="M62" s="3" t="n">
        <f aca="false">Dummy_Variables!E63</f>
        <v>1</v>
      </c>
      <c r="N62" s="3" t="n">
        <f aca="false">Dummy_Variables!F63</f>
        <v>0</v>
      </c>
      <c r="O62" s="3" t="n">
        <f aca="false">Dummy_Variables!G63</f>
        <v>0</v>
      </c>
      <c r="P62" s="3" t="n">
        <f aca="false">Dummy_Variables!H63</f>
        <v>0</v>
      </c>
      <c r="Q62" s="3" t="n">
        <f aca="false">Dummy_Variables!I63</f>
        <v>0</v>
      </c>
      <c r="R62" s="3" t="n">
        <f aca="false">Dummy_Variables!J63</f>
        <v>0</v>
      </c>
      <c r="S62" s="3" t="n">
        <f aca="false">Cleaned_Data!M63</f>
        <v>617291.15</v>
      </c>
    </row>
    <row r="63" customFormat="false" ht="15" hidden="false" customHeight="true" outlineLevel="0" collapsed="false">
      <c r="A63" s="3" t="str">
        <f aca="false">Cleaned_Data!A64</f>
        <v>STR-1015</v>
      </c>
      <c r="B63" s="4" t="n">
        <f aca="false">Cleaned_Data!B64</f>
        <v>45748</v>
      </c>
      <c r="C63" s="3" t="str">
        <f aca="false">Cleaned_Data!C64</f>
        <v>East</v>
      </c>
      <c r="D63" s="3" t="str">
        <f aca="false">Cleaned_Data!D64</f>
        <v>Airport</v>
      </c>
      <c r="E63" s="3" t="n">
        <f aca="false">Cleaned_Data!E64</f>
        <v>52952.12</v>
      </c>
      <c r="F63" s="3" t="n">
        <f aca="false">Cleaned_Data!F64</f>
        <v>4377</v>
      </c>
      <c r="G63" s="3" t="n">
        <f aca="false">Cleaned_Data!G64</f>
        <v>0.092</v>
      </c>
      <c r="H63" s="3" t="n">
        <f aca="false">Cleaned_Data!H64</f>
        <v>14</v>
      </c>
      <c r="I63" s="3" t="n">
        <f aca="false">Cleaned_Data!I64</f>
        <v>88.6</v>
      </c>
      <c r="J63" s="3" t="n">
        <f aca="false">Cleaned_Data!J64</f>
        <v>13.59</v>
      </c>
      <c r="K63" s="3" t="n">
        <f aca="false">Cleaned_Data!K64</f>
        <v>0</v>
      </c>
      <c r="L63" s="3" t="n">
        <f aca="false">Cleaned_Data!L64</f>
        <v>3.1</v>
      </c>
      <c r="M63" s="3" t="n">
        <f aca="false">Dummy_Variables!E64</f>
        <v>1</v>
      </c>
      <c r="N63" s="3" t="n">
        <f aca="false">Dummy_Variables!F64</f>
        <v>0</v>
      </c>
      <c r="O63" s="3" t="n">
        <f aca="false">Dummy_Variables!G64</f>
        <v>0</v>
      </c>
      <c r="P63" s="3" t="n">
        <f aca="false">Dummy_Variables!H64</f>
        <v>0</v>
      </c>
      <c r="Q63" s="3" t="n">
        <f aca="false">Dummy_Variables!I64</f>
        <v>0</v>
      </c>
      <c r="R63" s="3" t="n">
        <f aca="false">Dummy_Variables!J64</f>
        <v>0</v>
      </c>
      <c r="S63" s="3" t="n">
        <f aca="false">Cleaned_Data!M64</f>
        <v>553756.43</v>
      </c>
    </row>
    <row r="64" customFormat="false" ht="15" hidden="false" customHeight="true" outlineLevel="0" collapsed="false">
      <c r="A64" s="3" t="str">
        <f aca="false">Cleaned_Data!A65</f>
        <v>STR-1016</v>
      </c>
      <c r="B64" s="4" t="n">
        <f aca="false">Cleaned_Data!B65</f>
        <v>45658</v>
      </c>
      <c r="C64" s="3" t="str">
        <f aca="false">Cleaned_Data!C65</f>
        <v>South</v>
      </c>
      <c r="D64" s="3" t="str">
        <f aca="false">Cleaned_Data!D65</f>
        <v>High Street</v>
      </c>
      <c r="E64" s="3" t="n">
        <f aca="false">Cleaned_Data!E65</f>
        <v>74907.98</v>
      </c>
      <c r="F64" s="3" t="n">
        <f aca="false">Cleaned_Data!F65</f>
        <v>5306</v>
      </c>
      <c r="G64" s="3" t="n">
        <f aca="false">Cleaned_Data!G65</f>
        <v>0.062</v>
      </c>
      <c r="H64" s="3" t="n">
        <f aca="false">Cleaned_Data!H65</f>
        <v>16</v>
      </c>
      <c r="I64" s="3" t="n">
        <f aca="false">Cleaned_Data!I65</f>
        <v>95.6</v>
      </c>
      <c r="J64" s="3" t="n">
        <f aca="false">Cleaned_Data!J65</f>
        <v>1.02</v>
      </c>
      <c r="K64" s="3" t="n">
        <f aca="false">Cleaned_Data!K65</f>
        <v>0</v>
      </c>
      <c r="L64" s="3" t="n">
        <f aca="false">Cleaned_Data!L65</f>
        <v>3.7</v>
      </c>
      <c r="M64" s="3" t="n">
        <f aca="false">Dummy_Variables!E65</f>
        <v>0</v>
      </c>
      <c r="N64" s="3" t="n">
        <f aca="false">Dummy_Variables!F65</f>
        <v>0</v>
      </c>
      <c r="O64" s="3" t="n">
        <f aca="false">Dummy_Variables!G65</f>
        <v>0</v>
      </c>
      <c r="P64" s="3" t="n">
        <f aca="false">Dummy_Variables!H65</f>
        <v>0</v>
      </c>
      <c r="Q64" s="3" t="n">
        <f aca="false">Dummy_Variables!I65</f>
        <v>1</v>
      </c>
      <c r="R64" s="3" t="n">
        <f aca="false">Dummy_Variables!J65</f>
        <v>0</v>
      </c>
      <c r="S64" s="3" t="n">
        <f aca="false">Cleaned_Data!M65</f>
        <v>749559.71</v>
      </c>
    </row>
    <row r="65" customFormat="false" ht="15" hidden="false" customHeight="true" outlineLevel="0" collapsed="false">
      <c r="A65" s="3" t="str">
        <f aca="false">Cleaned_Data!A66</f>
        <v>STR-1016</v>
      </c>
      <c r="B65" s="4" t="n">
        <f aca="false">Cleaned_Data!B66</f>
        <v>45689</v>
      </c>
      <c r="C65" s="3" t="str">
        <f aca="false">Cleaned_Data!C66</f>
        <v>South</v>
      </c>
      <c r="D65" s="3" t="str">
        <f aca="false">Cleaned_Data!D66</f>
        <v>High Street</v>
      </c>
      <c r="E65" s="3" t="n">
        <f aca="false">Cleaned_Data!E66</f>
        <v>37284.66</v>
      </c>
      <c r="F65" s="3" t="n">
        <f aca="false">Cleaned_Data!F66</f>
        <v>3928</v>
      </c>
      <c r="G65" s="3" t="n">
        <f aca="false">Cleaned_Data!G66</f>
        <v>0.074</v>
      </c>
      <c r="H65" s="3" t="n">
        <f aca="false">Cleaned_Data!H66</f>
        <v>12</v>
      </c>
      <c r="I65" s="3" t="n">
        <f aca="false">Cleaned_Data!I66</f>
        <v>86.5</v>
      </c>
      <c r="J65" s="3" t="n">
        <f aca="false">Cleaned_Data!J66</f>
        <v>1.64</v>
      </c>
      <c r="K65" s="3" t="n">
        <f aca="false">Cleaned_Data!K66</f>
        <v>0</v>
      </c>
      <c r="L65" s="3" t="n">
        <f aca="false">Cleaned_Data!L66</f>
        <v>3.8</v>
      </c>
      <c r="M65" s="3" t="n">
        <f aca="false">Dummy_Variables!E66</f>
        <v>0</v>
      </c>
      <c r="N65" s="3" t="n">
        <f aca="false">Dummy_Variables!F66</f>
        <v>0</v>
      </c>
      <c r="O65" s="3" t="n">
        <f aca="false">Dummy_Variables!G66</f>
        <v>0</v>
      </c>
      <c r="P65" s="3" t="n">
        <f aca="false">Dummy_Variables!H66</f>
        <v>0</v>
      </c>
      <c r="Q65" s="3" t="n">
        <f aca="false">Dummy_Variables!I66</f>
        <v>1</v>
      </c>
      <c r="R65" s="3" t="n">
        <f aca="false">Dummy_Variables!J66</f>
        <v>0</v>
      </c>
      <c r="S65" s="3" t="n">
        <f aca="false">Cleaned_Data!M66</f>
        <v>615966.48</v>
      </c>
    </row>
    <row r="66" customFormat="false" ht="15" hidden="false" customHeight="true" outlineLevel="0" collapsed="false">
      <c r="A66" s="3" t="str">
        <f aca="false">Cleaned_Data!A67</f>
        <v>STR-1016</v>
      </c>
      <c r="B66" s="4" t="n">
        <f aca="false">Cleaned_Data!B67</f>
        <v>45717</v>
      </c>
      <c r="C66" s="3" t="str">
        <f aca="false">Cleaned_Data!C67</f>
        <v>South</v>
      </c>
      <c r="D66" s="3" t="str">
        <f aca="false">Cleaned_Data!D67</f>
        <v>High Street</v>
      </c>
      <c r="E66" s="3" t="n">
        <f aca="false">Cleaned_Data!E67</f>
        <v>50343.19</v>
      </c>
      <c r="F66" s="3" t="n">
        <f aca="false">Cleaned_Data!F67</f>
        <v>3845</v>
      </c>
      <c r="G66" s="3" t="n">
        <f aca="false">Cleaned_Data!G67</f>
        <v>0.113</v>
      </c>
      <c r="H66" s="3" t="n">
        <f aca="false">Cleaned_Data!H67</f>
        <v>9</v>
      </c>
      <c r="I66" s="3" t="n">
        <f aca="false">Cleaned_Data!I67</f>
        <v>88.7</v>
      </c>
      <c r="J66" s="3" t="n">
        <f aca="false">Cleaned_Data!J67</f>
        <v>5.15</v>
      </c>
      <c r="K66" s="3" t="n">
        <f aca="false">Cleaned_Data!K67</f>
        <v>0</v>
      </c>
      <c r="L66" s="3" t="n">
        <f aca="false">Cleaned_Data!L67</f>
        <v>3.3</v>
      </c>
      <c r="M66" s="3" t="n">
        <f aca="false">Dummy_Variables!E67</f>
        <v>0</v>
      </c>
      <c r="N66" s="3" t="n">
        <f aca="false">Dummy_Variables!F67</f>
        <v>0</v>
      </c>
      <c r="O66" s="3" t="n">
        <f aca="false">Dummy_Variables!G67</f>
        <v>0</v>
      </c>
      <c r="P66" s="3" t="n">
        <f aca="false">Dummy_Variables!H67</f>
        <v>0</v>
      </c>
      <c r="Q66" s="3" t="n">
        <f aca="false">Dummy_Variables!I67</f>
        <v>1</v>
      </c>
      <c r="R66" s="3" t="n">
        <f aca="false">Dummy_Variables!J67</f>
        <v>0</v>
      </c>
      <c r="S66" s="3" t="n">
        <f aca="false">Cleaned_Data!M67</f>
        <v>572011.2</v>
      </c>
    </row>
    <row r="67" customFormat="false" ht="15" hidden="false" customHeight="true" outlineLevel="0" collapsed="false">
      <c r="A67" s="3" t="str">
        <f aca="false">Cleaned_Data!A68</f>
        <v>STR-1016</v>
      </c>
      <c r="B67" s="4" t="n">
        <f aca="false">Cleaned_Data!B68</f>
        <v>45748</v>
      </c>
      <c r="C67" s="3" t="str">
        <f aca="false">Cleaned_Data!C68</f>
        <v>South</v>
      </c>
      <c r="D67" s="3" t="str">
        <f aca="false">Cleaned_Data!D68</f>
        <v>High Street</v>
      </c>
      <c r="E67" s="3" t="n">
        <f aca="false">Cleaned_Data!E68</f>
        <v>74954.47</v>
      </c>
      <c r="F67" s="3" t="n">
        <f aca="false">Cleaned_Data!F68</f>
        <v>6620</v>
      </c>
      <c r="G67" s="3" t="n">
        <f aca="false">Cleaned_Data!G68</f>
        <v>0.054</v>
      </c>
      <c r="H67" s="3" t="n">
        <f aca="false">Cleaned_Data!H68</f>
        <v>17</v>
      </c>
      <c r="I67" s="3" t="n">
        <f aca="false">Cleaned_Data!I68</f>
        <v>91.1</v>
      </c>
      <c r="J67" s="3" t="n">
        <f aca="false">Cleaned_Data!J68</f>
        <v>1.11</v>
      </c>
      <c r="K67" s="3" t="n">
        <f aca="false">Cleaned_Data!K68</f>
        <v>0</v>
      </c>
      <c r="L67" s="3" t="n">
        <f aca="false">Cleaned_Data!L68</f>
        <v>3.5</v>
      </c>
      <c r="M67" s="3" t="n">
        <f aca="false">Dummy_Variables!E68</f>
        <v>0</v>
      </c>
      <c r="N67" s="3" t="n">
        <f aca="false">Dummy_Variables!F68</f>
        <v>0</v>
      </c>
      <c r="O67" s="3" t="n">
        <f aca="false">Dummy_Variables!G68</f>
        <v>0</v>
      </c>
      <c r="P67" s="3" t="n">
        <f aca="false">Dummy_Variables!H68</f>
        <v>0</v>
      </c>
      <c r="Q67" s="3" t="n">
        <f aca="false">Dummy_Variables!I68</f>
        <v>1</v>
      </c>
      <c r="R67" s="3" t="n">
        <f aca="false">Dummy_Variables!J68</f>
        <v>0</v>
      </c>
      <c r="S67" s="3" t="n">
        <f aca="false">Cleaned_Data!M68</f>
        <v>761860.19</v>
      </c>
    </row>
    <row r="68" customFormat="false" ht="15" hidden="false" customHeight="true" outlineLevel="0" collapsed="false">
      <c r="A68" s="3" t="str">
        <f aca="false">Cleaned_Data!A69</f>
        <v>STR-1017</v>
      </c>
      <c r="B68" s="4" t="n">
        <f aca="false">Cleaned_Data!B69</f>
        <v>45658</v>
      </c>
      <c r="C68" s="3" t="str">
        <f aca="false">Cleaned_Data!C69</f>
        <v>West</v>
      </c>
      <c r="D68" s="3" t="str">
        <f aca="false">Cleaned_Data!D69</f>
        <v>High Street</v>
      </c>
      <c r="E68" s="3" t="n">
        <f aca="false">Cleaned_Data!E69</f>
        <v>70040.31</v>
      </c>
      <c r="F68" s="3" t="n">
        <f aca="false">Cleaned_Data!F69</f>
        <v>9175</v>
      </c>
      <c r="G68" s="3" t="n">
        <f aca="false">Cleaned_Data!G69</f>
        <v>0.107</v>
      </c>
      <c r="H68" s="3" t="n">
        <f aca="false">Cleaned_Data!H69</f>
        <v>23</v>
      </c>
      <c r="I68" s="3" t="n">
        <f aca="false">Cleaned_Data!I69</f>
        <v>95.1</v>
      </c>
      <c r="J68" s="3" t="n">
        <f aca="false">Cleaned_Data!J69</f>
        <v>6.08</v>
      </c>
      <c r="K68" s="3" t="n">
        <f aca="false">Cleaned_Data!K69</f>
        <v>1</v>
      </c>
      <c r="L68" s="3" t="n">
        <f aca="false">Cleaned_Data!L69</f>
        <v>3.4</v>
      </c>
      <c r="M68" s="3" t="n">
        <f aca="false">Dummy_Variables!E69</f>
        <v>0</v>
      </c>
      <c r="N68" s="3" t="n">
        <f aca="false">Dummy_Variables!F69</f>
        <v>0</v>
      </c>
      <c r="O68" s="3" t="n">
        <f aca="false">Dummy_Variables!G69</f>
        <v>0</v>
      </c>
      <c r="P68" s="3" t="n">
        <f aca="false">Dummy_Variables!H69</f>
        <v>0</v>
      </c>
      <c r="Q68" s="3" t="n">
        <f aca="false">Dummy_Variables!I69</f>
        <v>0</v>
      </c>
      <c r="R68" s="3" t="n">
        <f aca="false">Dummy_Variables!J69</f>
        <v>1</v>
      </c>
      <c r="S68" s="3" t="n">
        <f aca="false">Cleaned_Data!M69</f>
        <v>784502.68</v>
      </c>
    </row>
    <row r="69" customFormat="false" ht="15" hidden="false" customHeight="true" outlineLevel="0" collapsed="false">
      <c r="A69" s="3" t="str">
        <f aca="false">Cleaned_Data!A70</f>
        <v>STR-1017</v>
      </c>
      <c r="B69" s="4" t="n">
        <f aca="false">Cleaned_Data!B70</f>
        <v>45689</v>
      </c>
      <c r="C69" s="3" t="str">
        <f aca="false">Cleaned_Data!C70</f>
        <v>West</v>
      </c>
      <c r="D69" s="3" t="str">
        <f aca="false">Cleaned_Data!D70</f>
        <v>High Street</v>
      </c>
      <c r="E69" s="3" t="n">
        <f aca="false">Cleaned_Data!E70</f>
        <v>51148.69</v>
      </c>
      <c r="F69" s="3" t="n">
        <f aca="false">Cleaned_Data!F70</f>
        <v>7940</v>
      </c>
      <c r="G69" s="3" t="n">
        <f aca="false">Cleaned_Data!G70</f>
        <v>0.156</v>
      </c>
      <c r="H69" s="3" t="n">
        <f aca="false">Cleaned_Data!H70</f>
        <v>18</v>
      </c>
      <c r="I69" s="3" t="n">
        <f aca="false">Cleaned_Data!I70</f>
        <v>93.3</v>
      </c>
      <c r="J69" s="3" t="n">
        <f aca="false">Cleaned_Data!J70</f>
        <v>10.91</v>
      </c>
      <c r="K69" s="3" t="n">
        <f aca="false">Cleaned_Data!K70</f>
        <v>0</v>
      </c>
      <c r="L69" s="3" t="n">
        <f aca="false">Cleaned_Data!L70</f>
        <v>3.6</v>
      </c>
      <c r="M69" s="3" t="n">
        <f aca="false">Dummy_Variables!E70</f>
        <v>0</v>
      </c>
      <c r="N69" s="3" t="n">
        <f aca="false">Dummy_Variables!F70</f>
        <v>0</v>
      </c>
      <c r="O69" s="3" t="n">
        <f aca="false">Dummy_Variables!G70</f>
        <v>0</v>
      </c>
      <c r="P69" s="3" t="n">
        <f aca="false">Dummy_Variables!H70</f>
        <v>0</v>
      </c>
      <c r="Q69" s="3" t="n">
        <f aca="false">Dummy_Variables!I70</f>
        <v>0</v>
      </c>
      <c r="R69" s="3" t="n">
        <f aca="false">Dummy_Variables!J70</f>
        <v>1</v>
      </c>
      <c r="S69" s="3" t="n">
        <f aca="false">Cleaned_Data!M70</f>
        <v>717141.55</v>
      </c>
    </row>
    <row r="70" customFormat="false" ht="15" hidden="false" customHeight="true" outlineLevel="0" collapsed="false">
      <c r="A70" s="3" t="str">
        <f aca="false">Cleaned_Data!A71</f>
        <v>STR-1017</v>
      </c>
      <c r="B70" s="4" t="n">
        <f aca="false">Cleaned_Data!B71</f>
        <v>45717</v>
      </c>
      <c r="C70" s="3" t="str">
        <f aca="false">Cleaned_Data!C71</f>
        <v>West</v>
      </c>
      <c r="D70" s="3" t="str">
        <f aca="false">Cleaned_Data!D71</f>
        <v>High Street</v>
      </c>
      <c r="E70" s="3" t="n">
        <f aca="false">Cleaned_Data!E71</f>
        <v>79346.1</v>
      </c>
      <c r="F70" s="3" t="n">
        <f aca="false">Cleaned_Data!F71</f>
        <v>9628</v>
      </c>
      <c r="G70" s="3" t="n">
        <f aca="false">Cleaned_Data!G71</f>
        <v>0.102</v>
      </c>
      <c r="H70" s="3" t="n">
        <f aca="false">Cleaned_Data!H71</f>
        <v>20</v>
      </c>
      <c r="I70" s="3" t="n">
        <f aca="false">Cleaned_Data!I71</f>
        <v>99</v>
      </c>
      <c r="J70" s="3" t="n">
        <f aca="false">Cleaned_Data!J71</f>
        <v>19.01</v>
      </c>
      <c r="K70" s="3" t="n">
        <f aca="false">Cleaned_Data!K71</f>
        <v>1</v>
      </c>
      <c r="L70" s="3" t="n">
        <f aca="false">Cleaned_Data!L71</f>
        <v>3.2</v>
      </c>
      <c r="M70" s="3" t="n">
        <f aca="false">Dummy_Variables!E71</f>
        <v>0</v>
      </c>
      <c r="N70" s="3" t="n">
        <f aca="false">Dummy_Variables!F71</f>
        <v>0</v>
      </c>
      <c r="O70" s="3" t="n">
        <f aca="false">Dummy_Variables!G71</f>
        <v>0</v>
      </c>
      <c r="P70" s="3" t="n">
        <f aca="false">Dummy_Variables!H71</f>
        <v>0</v>
      </c>
      <c r="Q70" s="3" t="n">
        <f aca="false">Dummy_Variables!I71</f>
        <v>0</v>
      </c>
      <c r="R70" s="3" t="n">
        <f aca="false">Dummy_Variables!J71</f>
        <v>1</v>
      </c>
      <c r="S70" s="3" t="n">
        <f aca="false">Cleaned_Data!M71</f>
        <v>685379.08</v>
      </c>
    </row>
    <row r="71" customFormat="false" ht="15" hidden="false" customHeight="true" outlineLevel="0" collapsed="false">
      <c r="A71" s="3" t="str">
        <f aca="false">Cleaned_Data!A72</f>
        <v>STR-1017</v>
      </c>
      <c r="B71" s="4" t="n">
        <f aca="false">Cleaned_Data!B72</f>
        <v>45748</v>
      </c>
      <c r="C71" s="3" t="str">
        <f aca="false">Cleaned_Data!C72</f>
        <v>West</v>
      </c>
      <c r="D71" s="3" t="str">
        <f aca="false">Cleaned_Data!D72</f>
        <v>High Street</v>
      </c>
      <c r="E71" s="3" t="n">
        <f aca="false">Cleaned_Data!E72</f>
        <v>42018.4</v>
      </c>
      <c r="F71" s="3" t="n">
        <f aca="false">Cleaned_Data!F72</f>
        <v>8296</v>
      </c>
      <c r="G71" s="3" t="n">
        <f aca="false">Cleaned_Data!G72</f>
        <v>0.115</v>
      </c>
      <c r="H71" s="3" t="n">
        <f aca="false">Cleaned_Data!H72</f>
        <v>17</v>
      </c>
      <c r="I71" s="3" t="n">
        <f aca="false">Cleaned_Data!I72</f>
        <v>91.8</v>
      </c>
      <c r="J71" s="3" t="n">
        <f aca="false">Cleaned_Data!J72</f>
        <v>0.77</v>
      </c>
      <c r="K71" s="3" t="n">
        <f aca="false">Cleaned_Data!K72</f>
        <v>0</v>
      </c>
      <c r="L71" s="3" t="n">
        <f aca="false">Cleaned_Data!L72</f>
        <v>3.4</v>
      </c>
      <c r="M71" s="3" t="n">
        <f aca="false">Dummy_Variables!E72</f>
        <v>0</v>
      </c>
      <c r="N71" s="3" t="n">
        <f aca="false">Dummy_Variables!F72</f>
        <v>0</v>
      </c>
      <c r="O71" s="3" t="n">
        <f aca="false">Dummy_Variables!G72</f>
        <v>0</v>
      </c>
      <c r="P71" s="3" t="n">
        <f aca="false">Dummy_Variables!H72</f>
        <v>0</v>
      </c>
      <c r="Q71" s="3" t="n">
        <f aca="false">Dummy_Variables!I72</f>
        <v>0</v>
      </c>
      <c r="R71" s="3" t="n">
        <f aca="false">Dummy_Variables!J72</f>
        <v>1</v>
      </c>
      <c r="S71" s="3" t="n">
        <f aca="false">Cleaned_Data!M72</f>
        <v>740496.65</v>
      </c>
    </row>
    <row r="72" customFormat="false" ht="15" hidden="false" customHeight="true" outlineLevel="0" collapsed="false">
      <c r="A72" s="3" t="str">
        <f aca="false">Cleaned_Data!A73</f>
        <v>STR-1018</v>
      </c>
      <c r="B72" s="4" t="n">
        <f aca="false">Cleaned_Data!B73</f>
        <v>45658</v>
      </c>
      <c r="C72" s="3" t="str">
        <f aca="false">Cleaned_Data!C73</f>
        <v>East</v>
      </c>
      <c r="D72" s="3" t="str">
        <f aca="false">Cleaned_Data!D73</f>
        <v>High Street</v>
      </c>
      <c r="E72" s="3" t="n">
        <f aca="false">Cleaned_Data!E73</f>
        <v>70937.24</v>
      </c>
      <c r="F72" s="3" t="n">
        <f aca="false">Cleaned_Data!F73</f>
        <v>3595</v>
      </c>
      <c r="G72" s="3" t="n">
        <f aca="false">Cleaned_Data!G73</f>
        <v>0.141</v>
      </c>
      <c r="H72" s="3" t="n">
        <f aca="false">Cleaned_Data!H73</f>
        <v>11</v>
      </c>
      <c r="I72" s="3" t="n">
        <f aca="false">Cleaned_Data!I73</f>
        <v>88.9</v>
      </c>
      <c r="J72" s="3" t="n">
        <f aca="false">Cleaned_Data!J73</f>
        <v>2.83</v>
      </c>
      <c r="K72" s="3" t="n">
        <f aca="false">Cleaned_Data!K73</f>
        <v>1</v>
      </c>
      <c r="L72" s="3" t="n">
        <f aca="false">Cleaned_Data!L73</f>
        <v>3.3</v>
      </c>
      <c r="M72" s="3" t="n">
        <f aca="false">Dummy_Variables!E73</f>
        <v>0</v>
      </c>
      <c r="N72" s="3" t="n">
        <f aca="false">Dummy_Variables!F73</f>
        <v>0</v>
      </c>
      <c r="O72" s="3" t="n">
        <f aca="false">Dummy_Variables!G73</f>
        <v>0</v>
      </c>
      <c r="P72" s="3" t="n">
        <f aca="false">Dummy_Variables!H73</f>
        <v>0</v>
      </c>
      <c r="Q72" s="3" t="n">
        <f aca="false">Dummy_Variables!I73</f>
        <v>0</v>
      </c>
      <c r="R72" s="3" t="n">
        <f aca="false">Dummy_Variables!J73</f>
        <v>0</v>
      </c>
      <c r="S72" s="3" t="n">
        <f aca="false">Cleaned_Data!M73</f>
        <v>661927.14</v>
      </c>
    </row>
    <row r="73" customFormat="false" ht="15" hidden="false" customHeight="true" outlineLevel="0" collapsed="false">
      <c r="A73" s="3" t="str">
        <f aca="false">Cleaned_Data!A74</f>
        <v>STR-1018</v>
      </c>
      <c r="B73" s="4" t="n">
        <f aca="false">Cleaned_Data!B74</f>
        <v>45689</v>
      </c>
      <c r="C73" s="3" t="str">
        <f aca="false">Cleaned_Data!C74</f>
        <v>East</v>
      </c>
      <c r="D73" s="3" t="str">
        <f aca="false">Cleaned_Data!D74</f>
        <v>High Street</v>
      </c>
      <c r="E73" s="3" t="n">
        <f aca="false">Cleaned_Data!E74</f>
        <v>36813.45</v>
      </c>
      <c r="F73" s="3" t="n">
        <f aca="false">Cleaned_Data!F74</f>
        <v>2834</v>
      </c>
      <c r="G73" s="3" t="n">
        <f aca="false">Cleaned_Data!G74</f>
        <v>0.191</v>
      </c>
      <c r="H73" s="3" t="n">
        <f aca="false">Cleaned_Data!H74</f>
        <v>11</v>
      </c>
      <c r="I73" s="3" t="n">
        <f aca="false">Cleaned_Data!I74</f>
        <v>81.8</v>
      </c>
      <c r="J73" s="3" t="n">
        <f aca="false">Cleaned_Data!J74</f>
        <v>2.33</v>
      </c>
      <c r="K73" s="3" t="n">
        <f aca="false">Cleaned_Data!K74</f>
        <v>0</v>
      </c>
      <c r="L73" s="3" t="n">
        <f aca="false">Cleaned_Data!L74</f>
        <v>3.3</v>
      </c>
      <c r="M73" s="3" t="n">
        <f aca="false">Dummy_Variables!E74</f>
        <v>0</v>
      </c>
      <c r="N73" s="3" t="n">
        <f aca="false">Dummy_Variables!F74</f>
        <v>0</v>
      </c>
      <c r="O73" s="3" t="n">
        <f aca="false">Dummy_Variables!G74</f>
        <v>0</v>
      </c>
      <c r="P73" s="3" t="n">
        <f aca="false">Dummy_Variables!H74</f>
        <v>0</v>
      </c>
      <c r="Q73" s="3" t="n">
        <f aca="false">Dummy_Variables!I74</f>
        <v>0</v>
      </c>
      <c r="R73" s="3" t="n">
        <f aca="false">Dummy_Variables!J74</f>
        <v>0</v>
      </c>
      <c r="S73" s="3" t="n">
        <f aca="false">Cleaned_Data!M74</f>
        <v>479050.5</v>
      </c>
    </row>
    <row r="74" customFormat="false" ht="15" hidden="false" customHeight="true" outlineLevel="0" collapsed="false">
      <c r="A74" s="3" t="str">
        <f aca="false">Cleaned_Data!A75</f>
        <v>STR-1018</v>
      </c>
      <c r="B74" s="4" t="n">
        <f aca="false">Cleaned_Data!B75</f>
        <v>45717</v>
      </c>
      <c r="C74" s="3" t="str">
        <f aca="false">Cleaned_Data!C75</f>
        <v>East</v>
      </c>
      <c r="D74" s="3" t="str">
        <f aca="false">Cleaned_Data!D75</f>
        <v>High Street</v>
      </c>
      <c r="E74" s="3" t="n">
        <f aca="false">Cleaned_Data!E75</f>
        <v>60571.82</v>
      </c>
      <c r="F74" s="3" t="n">
        <f aca="false">Cleaned_Data!F75</f>
        <v>3193</v>
      </c>
      <c r="G74" s="3" t="n">
        <f aca="false">Cleaned_Data!G75</f>
        <v>0.197</v>
      </c>
      <c r="H74" s="3" t="n">
        <f aca="false">Cleaned_Data!H75</f>
        <v>7</v>
      </c>
      <c r="I74" s="3" t="n">
        <f aca="false">Cleaned_Data!I75</f>
        <v>99</v>
      </c>
      <c r="J74" s="3" t="n">
        <f aca="false">Cleaned_Data!J75</f>
        <v>1.43</v>
      </c>
      <c r="K74" s="3" t="n">
        <f aca="false">Cleaned_Data!K75</f>
        <v>0</v>
      </c>
      <c r="L74" s="3" t="n">
        <f aca="false">Cleaned_Data!L75</f>
        <v>3.2</v>
      </c>
      <c r="M74" s="3" t="n">
        <f aca="false">Dummy_Variables!E75</f>
        <v>0</v>
      </c>
      <c r="N74" s="3" t="n">
        <f aca="false">Dummy_Variables!F75</f>
        <v>0</v>
      </c>
      <c r="O74" s="3" t="n">
        <f aca="false">Dummy_Variables!G75</f>
        <v>0</v>
      </c>
      <c r="P74" s="3" t="n">
        <f aca="false">Dummy_Variables!H75</f>
        <v>0</v>
      </c>
      <c r="Q74" s="3" t="n">
        <f aca="false">Dummy_Variables!I75</f>
        <v>0</v>
      </c>
      <c r="R74" s="3" t="n">
        <f aca="false">Dummy_Variables!J75</f>
        <v>0</v>
      </c>
      <c r="S74" s="3" t="n">
        <f aca="false">Cleaned_Data!M75</f>
        <v>605023.87</v>
      </c>
    </row>
    <row r="75" customFormat="false" ht="15" hidden="false" customHeight="true" outlineLevel="0" collapsed="false">
      <c r="A75" s="3" t="str">
        <f aca="false">Cleaned_Data!A76</f>
        <v>STR-1018</v>
      </c>
      <c r="B75" s="4" t="n">
        <f aca="false">Cleaned_Data!B76</f>
        <v>45748</v>
      </c>
      <c r="C75" s="3" t="str">
        <f aca="false">Cleaned_Data!C76</f>
        <v>East</v>
      </c>
      <c r="D75" s="3" t="str">
        <f aca="false">Cleaned_Data!D76</f>
        <v>High Street</v>
      </c>
      <c r="E75" s="3" t="n">
        <f aca="false">Cleaned_Data!E76</f>
        <v>55081.16</v>
      </c>
      <c r="F75" s="3" t="n">
        <f aca="false">Cleaned_Data!F76</f>
        <v>5485</v>
      </c>
      <c r="G75" s="3" t="n">
        <f aca="false">Cleaned_Data!G76</f>
        <v>0.036</v>
      </c>
      <c r="H75" s="3" t="n">
        <f aca="false">Cleaned_Data!H76</f>
        <v>12</v>
      </c>
      <c r="I75" s="3" t="n">
        <f aca="false">Cleaned_Data!I76</f>
        <v>88</v>
      </c>
      <c r="J75" s="3" t="n">
        <f aca="false">Cleaned_Data!J76</f>
        <v>3.365</v>
      </c>
      <c r="K75" s="3" t="n">
        <f aca="false">Cleaned_Data!K76</f>
        <v>0</v>
      </c>
      <c r="L75" s="3" t="n">
        <f aca="false">Cleaned_Data!L76</f>
        <v>3.5</v>
      </c>
      <c r="M75" s="3" t="n">
        <f aca="false">Dummy_Variables!E76</f>
        <v>0</v>
      </c>
      <c r="N75" s="3" t="n">
        <f aca="false">Dummy_Variables!F76</f>
        <v>0</v>
      </c>
      <c r="O75" s="3" t="n">
        <f aca="false">Dummy_Variables!G76</f>
        <v>0</v>
      </c>
      <c r="P75" s="3" t="n">
        <f aca="false">Dummy_Variables!H76</f>
        <v>0</v>
      </c>
      <c r="Q75" s="3" t="n">
        <f aca="false">Dummy_Variables!I76</f>
        <v>0</v>
      </c>
      <c r="R75" s="3" t="n">
        <f aca="false">Dummy_Variables!J76</f>
        <v>0</v>
      </c>
      <c r="S75" s="3" t="n">
        <f aca="false">Cleaned_Data!M76</f>
        <v>674774.09</v>
      </c>
    </row>
    <row r="76" customFormat="false" ht="15" hidden="false" customHeight="true" outlineLevel="0" collapsed="false">
      <c r="A76" s="3" t="str">
        <f aca="false">Cleaned_Data!A77</f>
        <v>STR-1019</v>
      </c>
      <c r="B76" s="4" t="n">
        <f aca="false">Cleaned_Data!B77</f>
        <v>45658</v>
      </c>
      <c r="C76" s="3" t="str">
        <f aca="false">Cleaned_Data!C77</f>
        <v>East</v>
      </c>
      <c r="D76" s="3" t="str">
        <f aca="false">Cleaned_Data!D77</f>
        <v>Residential</v>
      </c>
      <c r="E76" s="3" t="n">
        <f aca="false">Cleaned_Data!E77</f>
        <v>46201.46</v>
      </c>
      <c r="F76" s="3" t="n">
        <f aca="false">Cleaned_Data!F77</f>
        <v>5918</v>
      </c>
      <c r="G76" s="3" t="n">
        <f aca="false">Cleaned_Data!G77</f>
        <v>0.277</v>
      </c>
      <c r="H76" s="3" t="n">
        <f aca="false">Cleaned_Data!H77</f>
        <v>13</v>
      </c>
      <c r="I76" s="3" t="n">
        <f aca="false">Cleaned_Data!I77</f>
        <v>78.8</v>
      </c>
      <c r="J76" s="3" t="n">
        <f aca="false">Cleaned_Data!J77</f>
        <v>4.91</v>
      </c>
      <c r="K76" s="3" t="n">
        <f aca="false">Cleaned_Data!K77</f>
        <v>0</v>
      </c>
      <c r="L76" s="3" t="n">
        <f aca="false">Cleaned_Data!L77</f>
        <v>4.5</v>
      </c>
      <c r="M76" s="3" t="n">
        <f aca="false">Dummy_Variables!E77</f>
        <v>0</v>
      </c>
      <c r="N76" s="3" t="n">
        <f aca="false">Dummy_Variables!F77</f>
        <v>0</v>
      </c>
      <c r="O76" s="3" t="n">
        <f aca="false">Dummy_Variables!G77</f>
        <v>1</v>
      </c>
      <c r="P76" s="3" t="n">
        <f aca="false">Dummy_Variables!H77</f>
        <v>0</v>
      </c>
      <c r="Q76" s="3" t="n">
        <f aca="false">Dummy_Variables!I77</f>
        <v>0</v>
      </c>
      <c r="R76" s="3" t="n">
        <f aca="false">Dummy_Variables!J77</f>
        <v>0</v>
      </c>
      <c r="S76" s="3" t="n">
        <f aca="false">Cleaned_Data!M77</f>
        <v>616069.41</v>
      </c>
    </row>
    <row r="77" customFormat="false" ht="15" hidden="false" customHeight="true" outlineLevel="0" collapsed="false">
      <c r="A77" s="3" t="str">
        <f aca="false">Cleaned_Data!A78</f>
        <v>STR-1019</v>
      </c>
      <c r="B77" s="4" t="n">
        <f aca="false">Cleaned_Data!B78</f>
        <v>45689</v>
      </c>
      <c r="C77" s="3" t="str">
        <f aca="false">Cleaned_Data!C78</f>
        <v>East</v>
      </c>
      <c r="D77" s="3" t="str">
        <f aca="false">Cleaned_Data!D78</f>
        <v>Residential</v>
      </c>
      <c r="E77" s="3" t="n">
        <f aca="false">Cleaned_Data!E78</f>
        <v>53762.92</v>
      </c>
      <c r="F77" s="3" t="n">
        <f aca="false">Cleaned_Data!F78</f>
        <v>6821</v>
      </c>
      <c r="G77" s="3" t="n">
        <f aca="false">Cleaned_Data!G78</f>
        <v>0.066</v>
      </c>
      <c r="H77" s="3" t="n">
        <f aca="false">Cleaned_Data!H78</f>
        <v>19</v>
      </c>
      <c r="I77" s="3" t="n">
        <f aca="false">Cleaned_Data!I78</f>
        <v>94.6</v>
      </c>
      <c r="J77" s="3" t="n">
        <f aca="false">Cleaned_Data!J78</f>
        <v>7.03</v>
      </c>
      <c r="K77" s="3" t="n">
        <f aca="false">Cleaned_Data!K78</f>
        <v>0</v>
      </c>
      <c r="L77" s="3" t="n">
        <f aca="false">Cleaned_Data!L78</f>
        <v>4.4</v>
      </c>
      <c r="M77" s="3" t="n">
        <f aca="false">Dummy_Variables!E78</f>
        <v>0</v>
      </c>
      <c r="N77" s="3" t="n">
        <f aca="false">Dummy_Variables!F78</f>
        <v>0</v>
      </c>
      <c r="O77" s="3" t="n">
        <f aca="false">Dummy_Variables!G78</f>
        <v>1</v>
      </c>
      <c r="P77" s="3" t="n">
        <f aca="false">Dummy_Variables!H78</f>
        <v>0</v>
      </c>
      <c r="Q77" s="3" t="n">
        <f aca="false">Dummy_Variables!I78</f>
        <v>0</v>
      </c>
      <c r="R77" s="3" t="n">
        <f aca="false">Dummy_Variables!J78</f>
        <v>0</v>
      </c>
      <c r="S77" s="3" t="n">
        <f aca="false">Cleaned_Data!M78</f>
        <v>630829.94</v>
      </c>
    </row>
    <row r="78" customFormat="false" ht="15" hidden="false" customHeight="true" outlineLevel="0" collapsed="false">
      <c r="A78" s="3" t="str">
        <f aca="false">Cleaned_Data!A79</f>
        <v>STR-1019</v>
      </c>
      <c r="B78" s="4" t="n">
        <f aca="false">Cleaned_Data!B79</f>
        <v>45717</v>
      </c>
      <c r="C78" s="3" t="str">
        <f aca="false">Cleaned_Data!C79</f>
        <v>East</v>
      </c>
      <c r="D78" s="3" t="str">
        <f aca="false">Cleaned_Data!D79</f>
        <v>Residential</v>
      </c>
      <c r="E78" s="3" t="n">
        <f aca="false">Cleaned_Data!E79</f>
        <v>70144.78</v>
      </c>
      <c r="F78" s="3" t="n">
        <f aca="false">Cleaned_Data!F79</f>
        <v>6806</v>
      </c>
      <c r="G78" s="3" t="n">
        <f aca="false">Cleaned_Data!G79</f>
        <v>0.178</v>
      </c>
      <c r="H78" s="3" t="n">
        <f aca="false">Cleaned_Data!H79</f>
        <v>20</v>
      </c>
      <c r="I78" s="3" t="n">
        <f aca="false">Cleaned_Data!I79</f>
        <v>93.1</v>
      </c>
      <c r="J78" s="3" t="n">
        <f aca="false">Cleaned_Data!J79</f>
        <v>0.28</v>
      </c>
      <c r="K78" s="3" t="n">
        <f aca="false">Cleaned_Data!K79</f>
        <v>1</v>
      </c>
      <c r="L78" s="3" t="n">
        <f aca="false">Cleaned_Data!L79</f>
        <v>4.3</v>
      </c>
      <c r="M78" s="3" t="n">
        <f aca="false">Dummy_Variables!E79</f>
        <v>0</v>
      </c>
      <c r="N78" s="3" t="n">
        <f aca="false">Dummy_Variables!F79</f>
        <v>0</v>
      </c>
      <c r="O78" s="3" t="n">
        <f aca="false">Dummy_Variables!G79</f>
        <v>1</v>
      </c>
      <c r="P78" s="3" t="n">
        <f aca="false">Dummy_Variables!H79</f>
        <v>0</v>
      </c>
      <c r="Q78" s="3" t="n">
        <f aca="false">Dummy_Variables!I79</f>
        <v>0</v>
      </c>
      <c r="R78" s="3" t="n">
        <f aca="false">Dummy_Variables!J79</f>
        <v>0</v>
      </c>
      <c r="S78" s="3" t="n">
        <f aca="false">Cleaned_Data!M79</f>
        <v>788087.68</v>
      </c>
    </row>
    <row r="79" customFormat="false" ht="15" hidden="false" customHeight="true" outlineLevel="0" collapsed="false">
      <c r="A79" s="3" t="str">
        <f aca="false">Cleaned_Data!A80</f>
        <v>STR-1019</v>
      </c>
      <c r="B79" s="4" t="n">
        <f aca="false">Cleaned_Data!B80</f>
        <v>45748</v>
      </c>
      <c r="C79" s="3" t="str">
        <f aca="false">Cleaned_Data!C80</f>
        <v>East</v>
      </c>
      <c r="D79" s="3" t="str">
        <f aca="false">Cleaned_Data!D80</f>
        <v>Residential</v>
      </c>
      <c r="E79" s="3" t="n">
        <f aca="false">Cleaned_Data!E80</f>
        <v>58749.63</v>
      </c>
      <c r="F79" s="3" t="n">
        <f aca="false">Cleaned_Data!F80</f>
        <v>8252</v>
      </c>
      <c r="G79" s="3" t="n">
        <f aca="false">Cleaned_Data!G80</f>
        <v>0.203</v>
      </c>
      <c r="H79" s="3" t="n">
        <f aca="false">Cleaned_Data!H80</f>
        <v>20</v>
      </c>
      <c r="I79" s="3" t="n">
        <f aca="false">Cleaned_Data!I80</f>
        <v>85.2</v>
      </c>
      <c r="J79" s="3" t="n">
        <f aca="false">Cleaned_Data!J80</f>
        <v>3.61</v>
      </c>
      <c r="K79" s="3" t="n">
        <f aca="false">Cleaned_Data!K80</f>
        <v>0</v>
      </c>
      <c r="L79" s="3" t="n">
        <f aca="false">Cleaned_Data!L80</f>
        <v>4.5</v>
      </c>
      <c r="M79" s="3" t="n">
        <f aca="false">Dummy_Variables!E80</f>
        <v>0</v>
      </c>
      <c r="N79" s="3" t="n">
        <f aca="false">Dummy_Variables!F80</f>
        <v>0</v>
      </c>
      <c r="O79" s="3" t="n">
        <f aca="false">Dummy_Variables!G80</f>
        <v>1</v>
      </c>
      <c r="P79" s="3" t="n">
        <f aca="false">Dummy_Variables!H80</f>
        <v>0</v>
      </c>
      <c r="Q79" s="3" t="n">
        <f aca="false">Dummy_Variables!I80</f>
        <v>0</v>
      </c>
      <c r="R79" s="3" t="n">
        <f aca="false">Dummy_Variables!J80</f>
        <v>0</v>
      </c>
      <c r="S79" s="3" t="n">
        <f aca="false">Cleaned_Data!M80</f>
        <v>680840.36</v>
      </c>
    </row>
    <row r="80" customFormat="false" ht="15" hidden="false" customHeight="true" outlineLevel="0" collapsed="false">
      <c r="A80" s="3" t="str">
        <f aca="false">Cleaned_Data!A81</f>
        <v>STR-1020</v>
      </c>
      <c r="B80" s="4" t="n">
        <f aca="false">Cleaned_Data!B81</f>
        <v>45658</v>
      </c>
      <c r="C80" s="3" t="str">
        <f aca="false">Cleaned_Data!C81</f>
        <v>South</v>
      </c>
      <c r="D80" s="3" t="str">
        <f aca="false">Cleaned_Data!D81</f>
        <v>High Street</v>
      </c>
      <c r="E80" s="3" t="n">
        <f aca="false">Cleaned_Data!E81</f>
        <v>56973.18</v>
      </c>
      <c r="F80" s="3" t="n">
        <f aca="false">Cleaned_Data!F81</f>
        <v>6662</v>
      </c>
      <c r="G80" s="3" t="n">
        <f aca="false">Cleaned_Data!G81</f>
        <v>0.1</v>
      </c>
      <c r="H80" s="3" t="n">
        <f aca="false">Cleaned_Data!H81</f>
        <v>15</v>
      </c>
      <c r="I80" s="3" t="n">
        <f aca="false">Cleaned_Data!I81</f>
        <v>77.7</v>
      </c>
      <c r="J80" s="3" t="n">
        <f aca="false">Cleaned_Data!J81</f>
        <v>7.52</v>
      </c>
      <c r="K80" s="3" t="n">
        <f aca="false">Cleaned_Data!K81</f>
        <v>1</v>
      </c>
      <c r="L80" s="3" t="n">
        <f aca="false">Cleaned_Data!L81</f>
        <v>3.2</v>
      </c>
      <c r="M80" s="3" t="n">
        <f aca="false">Dummy_Variables!E81</f>
        <v>0</v>
      </c>
      <c r="N80" s="3" t="n">
        <f aca="false">Dummy_Variables!F81</f>
        <v>0</v>
      </c>
      <c r="O80" s="3" t="n">
        <f aca="false">Dummy_Variables!G81</f>
        <v>0</v>
      </c>
      <c r="P80" s="3" t="n">
        <f aca="false">Dummy_Variables!H81</f>
        <v>0</v>
      </c>
      <c r="Q80" s="3" t="n">
        <f aca="false">Dummy_Variables!I81</f>
        <v>1</v>
      </c>
      <c r="R80" s="3" t="n">
        <f aca="false">Dummy_Variables!J81</f>
        <v>0</v>
      </c>
      <c r="S80" s="3" t="n">
        <f aca="false">Cleaned_Data!M81</f>
        <v>643657.47</v>
      </c>
    </row>
    <row r="81" customFormat="false" ht="15" hidden="false" customHeight="true" outlineLevel="0" collapsed="false">
      <c r="A81" s="3" t="str">
        <f aca="false">Cleaned_Data!A82</f>
        <v>STR-1020</v>
      </c>
      <c r="B81" s="4" t="n">
        <f aca="false">Cleaned_Data!B82</f>
        <v>45689</v>
      </c>
      <c r="C81" s="3" t="str">
        <f aca="false">Cleaned_Data!C82</f>
        <v>South</v>
      </c>
      <c r="D81" s="3" t="str">
        <f aca="false">Cleaned_Data!D82</f>
        <v>High Street</v>
      </c>
      <c r="E81" s="3" t="n">
        <f aca="false">Cleaned_Data!E82</f>
        <v>54872.82</v>
      </c>
      <c r="F81" s="3" t="n">
        <f aca="false">Cleaned_Data!F82</f>
        <v>5962</v>
      </c>
      <c r="G81" s="3" t="n">
        <f aca="false">Cleaned_Data!G82</f>
        <v>0.064</v>
      </c>
      <c r="H81" s="3" t="n">
        <f aca="false">Cleaned_Data!H82</f>
        <v>12</v>
      </c>
      <c r="I81" s="3" t="n">
        <f aca="false">Cleaned_Data!I82</f>
        <v>85.4</v>
      </c>
      <c r="J81" s="3" t="n">
        <f aca="false">Cleaned_Data!J82</f>
        <v>2.58</v>
      </c>
      <c r="K81" s="3" t="n">
        <f aca="false">Cleaned_Data!K82</f>
        <v>0</v>
      </c>
      <c r="L81" s="3" t="n">
        <f aca="false">Cleaned_Data!L82</f>
        <v>2.9</v>
      </c>
      <c r="M81" s="3" t="n">
        <f aca="false">Dummy_Variables!E82</f>
        <v>0</v>
      </c>
      <c r="N81" s="3" t="n">
        <f aca="false">Dummy_Variables!F82</f>
        <v>0</v>
      </c>
      <c r="O81" s="3" t="n">
        <f aca="false">Dummy_Variables!G82</f>
        <v>0</v>
      </c>
      <c r="P81" s="3" t="n">
        <f aca="false">Dummy_Variables!H82</f>
        <v>0</v>
      </c>
      <c r="Q81" s="3" t="n">
        <f aca="false">Dummy_Variables!I82</f>
        <v>1</v>
      </c>
      <c r="R81" s="3" t="n">
        <f aca="false">Dummy_Variables!J82</f>
        <v>0</v>
      </c>
      <c r="S81" s="3" t="n">
        <f aca="false">Cleaned_Data!M82</f>
        <v>691112.6</v>
      </c>
    </row>
    <row r="82" customFormat="false" ht="15" hidden="false" customHeight="true" outlineLevel="0" collapsed="false">
      <c r="A82" s="3" t="str">
        <f aca="false">Cleaned_Data!A83</f>
        <v>STR-1020</v>
      </c>
      <c r="B82" s="4" t="n">
        <f aca="false">Cleaned_Data!B83</f>
        <v>45717</v>
      </c>
      <c r="C82" s="3" t="str">
        <f aca="false">Cleaned_Data!C83</f>
        <v>South</v>
      </c>
      <c r="D82" s="3" t="str">
        <f aca="false">Cleaned_Data!D83</f>
        <v>High Street</v>
      </c>
      <c r="E82" s="3" t="n">
        <f aca="false">Cleaned_Data!E83</f>
        <v>80562.81</v>
      </c>
      <c r="F82" s="3" t="n">
        <f aca="false">Cleaned_Data!F83</f>
        <v>7470</v>
      </c>
      <c r="G82" s="3" t="n">
        <f aca="false">Cleaned_Data!G83</f>
        <v>0.172</v>
      </c>
      <c r="H82" s="3" t="n">
        <f aca="false">Cleaned_Data!H83</f>
        <v>16</v>
      </c>
      <c r="I82" s="3" t="n">
        <f aca="false">Cleaned_Data!I83</f>
        <v>83.5</v>
      </c>
      <c r="J82" s="3" t="n">
        <f aca="false">Cleaned_Data!J83</f>
        <v>2.29</v>
      </c>
      <c r="K82" s="3" t="n">
        <f aca="false">Cleaned_Data!K83</f>
        <v>0</v>
      </c>
      <c r="L82" s="3" t="n">
        <f aca="false">Cleaned_Data!L83</f>
        <v>3.3</v>
      </c>
      <c r="M82" s="3" t="n">
        <f aca="false">Dummy_Variables!E83</f>
        <v>0</v>
      </c>
      <c r="N82" s="3" t="n">
        <f aca="false">Dummy_Variables!F83</f>
        <v>0</v>
      </c>
      <c r="O82" s="3" t="n">
        <f aca="false">Dummy_Variables!G83</f>
        <v>0</v>
      </c>
      <c r="P82" s="3" t="n">
        <f aca="false">Dummy_Variables!H83</f>
        <v>0</v>
      </c>
      <c r="Q82" s="3" t="n">
        <f aca="false">Dummy_Variables!I83</f>
        <v>1</v>
      </c>
      <c r="R82" s="3" t="n">
        <f aca="false">Dummy_Variables!J83</f>
        <v>0</v>
      </c>
      <c r="S82" s="3" t="n">
        <f aca="false">Cleaned_Data!M83</f>
        <v>776922.17</v>
      </c>
    </row>
    <row r="83" customFormat="false" ht="15" hidden="false" customHeight="true" outlineLevel="0" collapsed="false">
      <c r="A83" s="3" t="str">
        <f aca="false">Cleaned_Data!A84</f>
        <v>STR-1020</v>
      </c>
      <c r="B83" s="4" t="n">
        <f aca="false">Cleaned_Data!B84</f>
        <v>45748</v>
      </c>
      <c r="C83" s="3" t="str">
        <f aca="false">Cleaned_Data!C84</f>
        <v>South</v>
      </c>
      <c r="D83" s="3" t="str">
        <f aca="false">Cleaned_Data!D84</f>
        <v>High Street</v>
      </c>
      <c r="E83" s="3" t="n">
        <f aca="false">Cleaned_Data!E84</f>
        <v>77999.9</v>
      </c>
      <c r="F83" s="3" t="n">
        <f aca="false">Cleaned_Data!F84</f>
        <v>5974</v>
      </c>
      <c r="G83" s="3" t="n">
        <f aca="false">Cleaned_Data!G84</f>
        <v>0.252</v>
      </c>
      <c r="H83" s="3" t="n">
        <f aca="false">Cleaned_Data!H84</f>
        <v>14</v>
      </c>
      <c r="I83" s="3" t="n">
        <f aca="false">Cleaned_Data!I84</f>
        <v>81.3</v>
      </c>
      <c r="J83" s="3" t="n">
        <f aca="false">Cleaned_Data!J84</f>
        <v>2.39</v>
      </c>
      <c r="K83" s="3" t="n">
        <f aca="false">Cleaned_Data!K84</f>
        <v>0</v>
      </c>
      <c r="L83" s="3" t="n">
        <f aca="false">Cleaned_Data!L84</f>
        <v>3.2</v>
      </c>
      <c r="M83" s="3" t="n">
        <f aca="false">Dummy_Variables!E84</f>
        <v>0</v>
      </c>
      <c r="N83" s="3" t="n">
        <f aca="false">Dummy_Variables!F84</f>
        <v>0</v>
      </c>
      <c r="O83" s="3" t="n">
        <f aca="false">Dummy_Variables!G84</f>
        <v>0</v>
      </c>
      <c r="P83" s="3" t="n">
        <f aca="false">Dummy_Variables!H84</f>
        <v>0</v>
      </c>
      <c r="Q83" s="3" t="n">
        <f aca="false">Dummy_Variables!I84</f>
        <v>1</v>
      </c>
      <c r="R83" s="3" t="n">
        <f aca="false">Dummy_Variables!J84</f>
        <v>0</v>
      </c>
      <c r="S83" s="3" t="n">
        <f aca="false">Cleaned_Data!M84</f>
        <v>636561.34</v>
      </c>
    </row>
    <row r="84" customFormat="false" ht="15" hidden="false" customHeight="true" outlineLevel="0" collapsed="false">
      <c r="A84" s="3" t="str">
        <f aca="false">Cleaned_Data!A85</f>
        <v>STR-1021</v>
      </c>
      <c r="B84" s="4" t="n">
        <f aca="false">Cleaned_Data!B85</f>
        <v>45658</v>
      </c>
      <c r="C84" s="3" t="str">
        <f aca="false">Cleaned_Data!C85</f>
        <v>West</v>
      </c>
      <c r="D84" s="3" t="str">
        <f aca="false">Cleaned_Data!D85</f>
        <v>Mall</v>
      </c>
      <c r="E84" s="3" t="n">
        <f aca="false">Cleaned_Data!E85</f>
        <v>60881.01</v>
      </c>
      <c r="F84" s="3" t="n">
        <f aca="false">Cleaned_Data!F85</f>
        <v>5410</v>
      </c>
      <c r="G84" s="3" t="n">
        <f aca="false">Cleaned_Data!G85</f>
        <v>0.179</v>
      </c>
      <c r="H84" s="3" t="n">
        <f aca="false">Cleaned_Data!H85</f>
        <v>15</v>
      </c>
      <c r="I84" s="3" t="n">
        <f aca="false">Cleaned_Data!I85</f>
        <v>83.9</v>
      </c>
      <c r="J84" s="3" t="n">
        <f aca="false">Cleaned_Data!J85</f>
        <v>5.24</v>
      </c>
      <c r="K84" s="3" t="n">
        <f aca="false">Cleaned_Data!K85</f>
        <v>0</v>
      </c>
      <c r="L84" s="3" t="n">
        <f aca="false">Cleaned_Data!L85</f>
        <v>4.6</v>
      </c>
      <c r="M84" s="3" t="n">
        <f aca="false">Dummy_Variables!E85</f>
        <v>0</v>
      </c>
      <c r="N84" s="3" t="n">
        <f aca="false">Dummy_Variables!F85</f>
        <v>1</v>
      </c>
      <c r="O84" s="3" t="n">
        <f aca="false">Dummy_Variables!G85</f>
        <v>0</v>
      </c>
      <c r="P84" s="3" t="n">
        <f aca="false">Dummy_Variables!H85</f>
        <v>0</v>
      </c>
      <c r="Q84" s="3" t="n">
        <f aca="false">Dummy_Variables!I85</f>
        <v>0</v>
      </c>
      <c r="R84" s="3" t="n">
        <f aca="false">Dummy_Variables!J85</f>
        <v>1</v>
      </c>
      <c r="S84" s="3" t="n">
        <f aca="false">Cleaned_Data!M85</f>
        <v>621369.58</v>
      </c>
    </row>
    <row r="85" customFormat="false" ht="15" hidden="false" customHeight="true" outlineLevel="0" collapsed="false">
      <c r="A85" s="3" t="str">
        <f aca="false">Cleaned_Data!A86</f>
        <v>STR-1021</v>
      </c>
      <c r="B85" s="4" t="n">
        <f aca="false">Cleaned_Data!B86</f>
        <v>45689</v>
      </c>
      <c r="C85" s="3" t="str">
        <f aca="false">Cleaned_Data!C86</f>
        <v>West</v>
      </c>
      <c r="D85" s="3" t="str">
        <f aca="false">Cleaned_Data!D86</f>
        <v>Mall</v>
      </c>
      <c r="E85" s="3" t="n">
        <f aca="false">Cleaned_Data!E86</f>
        <v>60628.38</v>
      </c>
      <c r="F85" s="3" t="n">
        <f aca="false">Cleaned_Data!F86</f>
        <v>4451</v>
      </c>
      <c r="G85" s="3" t="n">
        <f aca="false">Cleaned_Data!G86</f>
        <v>0.095</v>
      </c>
      <c r="H85" s="3" t="n">
        <f aca="false">Cleaned_Data!H86</f>
        <v>10</v>
      </c>
      <c r="I85" s="3" t="n">
        <f aca="false">Cleaned_Data!I86</f>
        <v>89.6</v>
      </c>
      <c r="J85" s="3" t="n">
        <f aca="false">Cleaned_Data!J86</f>
        <v>3.17</v>
      </c>
      <c r="K85" s="3" t="n">
        <f aca="false">Cleaned_Data!K86</f>
        <v>0</v>
      </c>
      <c r="L85" s="3" t="n">
        <f aca="false">Cleaned_Data!L86</f>
        <v>4.6</v>
      </c>
      <c r="M85" s="3" t="n">
        <f aca="false">Dummy_Variables!E86</f>
        <v>0</v>
      </c>
      <c r="N85" s="3" t="n">
        <f aca="false">Dummy_Variables!F86</f>
        <v>1</v>
      </c>
      <c r="O85" s="3" t="n">
        <f aca="false">Dummy_Variables!G86</f>
        <v>0</v>
      </c>
      <c r="P85" s="3" t="n">
        <f aca="false">Dummy_Variables!H86</f>
        <v>0</v>
      </c>
      <c r="Q85" s="3" t="n">
        <f aca="false">Dummy_Variables!I86</f>
        <v>0</v>
      </c>
      <c r="R85" s="3" t="n">
        <f aca="false">Dummy_Variables!J86</f>
        <v>1</v>
      </c>
      <c r="S85" s="3" t="n">
        <f aca="false">Cleaned_Data!M86</f>
        <v>682208.01</v>
      </c>
    </row>
    <row r="86" customFormat="false" ht="15" hidden="false" customHeight="true" outlineLevel="0" collapsed="false">
      <c r="A86" s="3" t="str">
        <f aca="false">Cleaned_Data!A87</f>
        <v>STR-1021</v>
      </c>
      <c r="B86" s="4" t="n">
        <f aca="false">Cleaned_Data!B87</f>
        <v>45717</v>
      </c>
      <c r="C86" s="3" t="str">
        <f aca="false">Cleaned_Data!C87</f>
        <v>West</v>
      </c>
      <c r="D86" s="3" t="str">
        <f aca="false">Cleaned_Data!D87</f>
        <v>Mall</v>
      </c>
      <c r="E86" s="3" t="n">
        <f aca="false">Cleaned_Data!E87</f>
        <v>72731.14</v>
      </c>
      <c r="F86" s="3" t="n">
        <f aca="false">Cleaned_Data!F87</f>
        <v>4644</v>
      </c>
      <c r="G86" s="3" t="n">
        <f aca="false">Cleaned_Data!G87</f>
        <v>0.084</v>
      </c>
      <c r="H86" s="3" t="n">
        <f aca="false">Cleaned_Data!H87</f>
        <v>15</v>
      </c>
      <c r="I86" s="3" t="n">
        <f aca="false">Cleaned_Data!I87</f>
        <v>87.1</v>
      </c>
      <c r="J86" s="3" t="n">
        <f aca="false">Cleaned_Data!J87</f>
        <v>2.66</v>
      </c>
      <c r="K86" s="3" t="n">
        <f aca="false">Cleaned_Data!K87</f>
        <v>0</v>
      </c>
      <c r="L86" s="3" t="n">
        <f aca="false">Cleaned_Data!L87</f>
        <v>4.6</v>
      </c>
      <c r="M86" s="3" t="n">
        <f aca="false">Dummy_Variables!E87</f>
        <v>0</v>
      </c>
      <c r="N86" s="3" t="n">
        <f aca="false">Dummy_Variables!F87</f>
        <v>1</v>
      </c>
      <c r="O86" s="3" t="n">
        <f aca="false">Dummy_Variables!G87</f>
        <v>0</v>
      </c>
      <c r="P86" s="3" t="n">
        <f aca="false">Dummy_Variables!H87</f>
        <v>0</v>
      </c>
      <c r="Q86" s="3" t="n">
        <f aca="false">Dummy_Variables!I87</f>
        <v>0</v>
      </c>
      <c r="R86" s="3" t="n">
        <f aca="false">Dummy_Variables!J87</f>
        <v>1</v>
      </c>
      <c r="S86" s="3" t="n">
        <f aca="false">Cleaned_Data!M87</f>
        <v>727241.86</v>
      </c>
    </row>
    <row r="87" customFormat="false" ht="15" hidden="false" customHeight="true" outlineLevel="0" collapsed="false">
      <c r="A87" s="3" t="str">
        <f aca="false">Cleaned_Data!A88</f>
        <v>STR-1021</v>
      </c>
      <c r="B87" s="4" t="n">
        <f aca="false">Cleaned_Data!B88</f>
        <v>45748</v>
      </c>
      <c r="C87" s="3" t="str">
        <f aca="false">Cleaned_Data!C88</f>
        <v>West</v>
      </c>
      <c r="D87" s="3" t="str">
        <f aca="false">Cleaned_Data!D88</f>
        <v>Mall</v>
      </c>
      <c r="E87" s="3" t="n">
        <f aca="false">Cleaned_Data!E88</f>
        <v>36475.71</v>
      </c>
      <c r="F87" s="3" t="n">
        <f aca="false">Cleaned_Data!F88</f>
        <v>3559</v>
      </c>
      <c r="G87" s="3" t="n">
        <f aca="false">Cleaned_Data!G88</f>
        <v>0.03</v>
      </c>
      <c r="H87" s="3" t="n">
        <f aca="false">Cleaned_Data!H88</f>
        <v>8</v>
      </c>
      <c r="I87" s="3" t="n">
        <f aca="false">Cleaned_Data!I88</f>
        <v>83.6</v>
      </c>
      <c r="J87" s="3" t="n">
        <f aca="false">Cleaned_Data!J88</f>
        <v>1.41</v>
      </c>
      <c r="K87" s="3" t="n">
        <f aca="false">Cleaned_Data!K88</f>
        <v>0</v>
      </c>
      <c r="L87" s="3" t="n">
        <f aca="false">Cleaned_Data!L88</f>
        <v>4.2</v>
      </c>
      <c r="M87" s="3" t="n">
        <f aca="false">Dummy_Variables!E88</f>
        <v>0</v>
      </c>
      <c r="N87" s="3" t="n">
        <f aca="false">Dummy_Variables!F88</f>
        <v>1</v>
      </c>
      <c r="O87" s="3" t="n">
        <f aca="false">Dummy_Variables!G88</f>
        <v>0</v>
      </c>
      <c r="P87" s="3" t="n">
        <f aca="false">Dummy_Variables!H88</f>
        <v>0</v>
      </c>
      <c r="Q87" s="3" t="n">
        <f aca="false">Dummy_Variables!I88</f>
        <v>0</v>
      </c>
      <c r="R87" s="3" t="n">
        <f aca="false">Dummy_Variables!J88</f>
        <v>1</v>
      </c>
      <c r="S87" s="3" t="n">
        <f aca="false">Cleaned_Data!M88</f>
        <v>569100.78</v>
      </c>
    </row>
    <row r="88" customFormat="false" ht="15" hidden="false" customHeight="true" outlineLevel="0" collapsed="false">
      <c r="A88" s="3" t="str">
        <f aca="false">Cleaned_Data!A89</f>
        <v>STR-1022</v>
      </c>
      <c r="B88" s="4" t="n">
        <f aca="false">Cleaned_Data!B89</f>
        <v>45658</v>
      </c>
      <c r="C88" s="3" t="str">
        <f aca="false">Cleaned_Data!C89</f>
        <v>West</v>
      </c>
      <c r="D88" s="3" t="str">
        <f aca="false">Cleaned_Data!D89</f>
        <v>High Street</v>
      </c>
      <c r="E88" s="3" t="n">
        <f aca="false">Cleaned_Data!E89</f>
        <v>55388.11</v>
      </c>
      <c r="F88" s="3" t="n">
        <f aca="false">Cleaned_Data!F89</f>
        <v>3091</v>
      </c>
      <c r="G88" s="3" t="n">
        <f aca="false">Cleaned_Data!G89</f>
        <v>0.108</v>
      </c>
      <c r="H88" s="3" t="n">
        <f aca="false">Cleaned_Data!H89</f>
        <v>7</v>
      </c>
      <c r="I88" s="3" t="n">
        <f aca="false">Cleaned_Data!I89</f>
        <v>85.4</v>
      </c>
      <c r="J88" s="3" t="n">
        <f aca="false">Cleaned_Data!J89</f>
        <v>7.34</v>
      </c>
      <c r="K88" s="3" t="n">
        <f aca="false">Cleaned_Data!K89</f>
        <v>0</v>
      </c>
      <c r="L88" s="3" t="n">
        <f aca="false">Cleaned_Data!L89</f>
        <v>4.9</v>
      </c>
      <c r="M88" s="3" t="n">
        <f aca="false">Dummy_Variables!E89</f>
        <v>0</v>
      </c>
      <c r="N88" s="3" t="n">
        <f aca="false">Dummy_Variables!F89</f>
        <v>0</v>
      </c>
      <c r="O88" s="3" t="n">
        <f aca="false">Dummy_Variables!G89</f>
        <v>0</v>
      </c>
      <c r="P88" s="3" t="n">
        <f aca="false">Dummy_Variables!H89</f>
        <v>0</v>
      </c>
      <c r="Q88" s="3" t="n">
        <f aca="false">Dummy_Variables!I89</f>
        <v>0</v>
      </c>
      <c r="R88" s="3" t="n">
        <f aca="false">Dummy_Variables!J89</f>
        <v>1</v>
      </c>
      <c r="S88" s="3" t="n">
        <f aca="false">Cleaned_Data!M89</f>
        <v>574436.29</v>
      </c>
    </row>
    <row r="89" customFormat="false" ht="15" hidden="false" customHeight="true" outlineLevel="0" collapsed="false">
      <c r="A89" s="3" t="str">
        <f aca="false">Cleaned_Data!A90</f>
        <v>STR-1022</v>
      </c>
      <c r="B89" s="4" t="n">
        <f aca="false">Cleaned_Data!B90</f>
        <v>45689</v>
      </c>
      <c r="C89" s="3" t="str">
        <f aca="false">Cleaned_Data!C90</f>
        <v>West</v>
      </c>
      <c r="D89" s="3" t="str">
        <f aca="false">Cleaned_Data!D90</f>
        <v>High Street</v>
      </c>
      <c r="E89" s="3" t="n">
        <f aca="false">Cleaned_Data!E90</f>
        <v>88443.77</v>
      </c>
      <c r="F89" s="3" t="n">
        <f aca="false">Cleaned_Data!F90</f>
        <v>4004</v>
      </c>
      <c r="G89" s="3" t="n">
        <f aca="false">Cleaned_Data!G90</f>
        <v>0.206</v>
      </c>
      <c r="H89" s="3" t="n">
        <f aca="false">Cleaned_Data!H90</f>
        <v>11</v>
      </c>
      <c r="I89" s="3" t="n">
        <f aca="false">Cleaned_Data!I90</f>
        <v>91.9</v>
      </c>
      <c r="J89" s="3" t="n">
        <f aca="false">Cleaned_Data!J90</f>
        <v>5.95</v>
      </c>
      <c r="K89" s="3" t="n">
        <f aca="false">Cleaned_Data!K90</f>
        <v>0</v>
      </c>
      <c r="L89" s="3" t="n">
        <f aca="false">Cleaned_Data!L90</f>
        <v>3.9</v>
      </c>
      <c r="M89" s="3" t="n">
        <f aca="false">Dummy_Variables!E90</f>
        <v>0</v>
      </c>
      <c r="N89" s="3" t="n">
        <f aca="false">Dummy_Variables!F90</f>
        <v>0</v>
      </c>
      <c r="O89" s="3" t="n">
        <f aca="false">Dummy_Variables!G90</f>
        <v>0</v>
      </c>
      <c r="P89" s="3" t="n">
        <f aca="false">Dummy_Variables!H90</f>
        <v>0</v>
      </c>
      <c r="Q89" s="3" t="n">
        <f aca="false">Dummy_Variables!I90</f>
        <v>0</v>
      </c>
      <c r="R89" s="3" t="n">
        <f aca="false">Dummy_Variables!J90</f>
        <v>1</v>
      </c>
      <c r="S89" s="3" t="n">
        <f aca="false">Cleaned_Data!M90</f>
        <v>611766.72</v>
      </c>
    </row>
    <row r="90" customFormat="false" ht="15" hidden="false" customHeight="true" outlineLevel="0" collapsed="false">
      <c r="A90" s="3" t="str">
        <f aca="false">Cleaned_Data!A91</f>
        <v>STR-1022</v>
      </c>
      <c r="B90" s="4" t="n">
        <f aca="false">Cleaned_Data!B91</f>
        <v>45717</v>
      </c>
      <c r="C90" s="3" t="str">
        <f aca="false">Cleaned_Data!C91</f>
        <v>West</v>
      </c>
      <c r="D90" s="3" t="str">
        <f aca="false">Cleaned_Data!D91</f>
        <v>High Street</v>
      </c>
      <c r="E90" s="3" t="n">
        <f aca="false">Cleaned_Data!E91</f>
        <v>78231.91</v>
      </c>
      <c r="F90" s="3" t="n">
        <f aca="false">Cleaned_Data!F91</f>
        <v>3788</v>
      </c>
      <c r="G90" s="3" t="n">
        <f aca="false">Cleaned_Data!G91</f>
        <v>0.059</v>
      </c>
      <c r="H90" s="3" t="n">
        <f aca="false">Cleaned_Data!H91</f>
        <v>11</v>
      </c>
      <c r="I90" s="3" t="n">
        <f aca="false">Cleaned_Data!I91</f>
        <v>88.5</v>
      </c>
      <c r="J90" s="3" t="n">
        <f aca="false">Cleaned_Data!J91</f>
        <v>15.51</v>
      </c>
      <c r="K90" s="3" t="n">
        <f aca="false">Cleaned_Data!K91</f>
        <v>0</v>
      </c>
      <c r="L90" s="3" t="n">
        <f aca="false">Cleaned_Data!L91</f>
        <v>4.3</v>
      </c>
      <c r="M90" s="3" t="n">
        <f aca="false">Dummy_Variables!E91</f>
        <v>0</v>
      </c>
      <c r="N90" s="3" t="n">
        <f aca="false">Dummy_Variables!F91</f>
        <v>0</v>
      </c>
      <c r="O90" s="3" t="n">
        <f aca="false">Dummy_Variables!G91</f>
        <v>0</v>
      </c>
      <c r="P90" s="3" t="n">
        <f aca="false">Dummy_Variables!H91</f>
        <v>0</v>
      </c>
      <c r="Q90" s="3" t="n">
        <f aca="false">Dummy_Variables!I91</f>
        <v>0</v>
      </c>
      <c r="R90" s="3" t="n">
        <f aca="false">Dummy_Variables!J91</f>
        <v>1</v>
      </c>
      <c r="S90" s="3" t="n">
        <f aca="false">Cleaned_Data!M91</f>
        <v>614596.32</v>
      </c>
    </row>
    <row r="91" customFormat="false" ht="15" hidden="false" customHeight="true" outlineLevel="0" collapsed="false">
      <c r="A91" s="3" t="str">
        <f aca="false">Cleaned_Data!A92</f>
        <v>STR-1022</v>
      </c>
      <c r="B91" s="4" t="n">
        <f aca="false">Cleaned_Data!B92</f>
        <v>45748</v>
      </c>
      <c r="C91" s="3" t="str">
        <f aca="false">Cleaned_Data!C92</f>
        <v>West</v>
      </c>
      <c r="D91" s="3" t="str">
        <f aca="false">Cleaned_Data!D92</f>
        <v>High Street</v>
      </c>
      <c r="E91" s="3" t="n">
        <f aca="false">Cleaned_Data!E92</f>
        <v>18996.32</v>
      </c>
      <c r="F91" s="3" t="n">
        <f aca="false">Cleaned_Data!F92</f>
        <v>1260</v>
      </c>
      <c r="G91" s="3" t="n">
        <f aca="false">Cleaned_Data!G92</f>
        <v>0.145</v>
      </c>
      <c r="H91" s="3" t="n">
        <f aca="false">Cleaned_Data!H92</f>
        <v>9</v>
      </c>
      <c r="I91" s="3" t="n">
        <f aca="false">Cleaned_Data!I92</f>
        <v>86.4</v>
      </c>
      <c r="J91" s="3" t="n">
        <f aca="false">Cleaned_Data!J92</f>
        <v>4.31</v>
      </c>
      <c r="K91" s="3" t="n">
        <f aca="false">Cleaned_Data!K92</f>
        <v>0</v>
      </c>
      <c r="L91" s="3" t="n">
        <f aca="false">Cleaned_Data!L92</f>
        <v>4.6</v>
      </c>
      <c r="M91" s="3" t="n">
        <f aca="false">Dummy_Variables!E92</f>
        <v>0</v>
      </c>
      <c r="N91" s="3" t="n">
        <f aca="false">Dummy_Variables!F92</f>
        <v>0</v>
      </c>
      <c r="O91" s="3" t="n">
        <f aca="false">Dummy_Variables!G92</f>
        <v>0</v>
      </c>
      <c r="P91" s="3" t="n">
        <f aca="false">Dummy_Variables!H92</f>
        <v>0</v>
      </c>
      <c r="Q91" s="3" t="n">
        <f aca="false">Dummy_Variables!I92</f>
        <v>0</v>
      </c>
      <c r="R91" s="3" t="n">
        <f aca="false">Dummy_Variables!J92</f>
        <v>1</v>
      </c>
      <c r="S91" s="3" t="n">
        <f aca="false">Cleaned_Data!M92</f>
        <v>450711.92</v>
      </c>
    </row>
    <row r="92" customFormat="false" ht="15" hidden="false" customHeight="true" outlineLevel="0" collapsed="false">
      <c r="A92" s="3" t="str">
        <f aca="false">Cleaned_Data!A93</f>
        <v>STR-1023</v>
      </c>
      <c r="B92" s="4" t="n">
        <f aca="false">Cleaned_Data!B93</f>
        <v>45658</v>
      </c>
      <c r="C92" s="3" t="str">
        <f aca="false">Cleaned_Data!C93</f>
        <v>South</v>
      </c>
      <c r="D92" s="3" t="str">
        <f aca="false">Cleaned_Data!D93</f>
        <v>Mall</v>
      </c>
      <c r="E92" s="3" t="n">
        <f aca="false">Cleaned_Data!E93</f>
        <v>50517.94</v>
      </c>
      <c r="F92" s="3" t="n">
        <f aca="false">Cleaned_Data!F93</f>
        <v>7024</v>
      </c>
      <c r="G92" s="3" t="n">
        <f aca="false">Cleaned_Data!G93</f>
        <v>0.029</v>
      </c>
      <c r="H92" s="3" t="n">
        <f aca="false">Cleaned_Data!H93</f>
        <v>18</v>
      </c>
      <c r="I92" s="3" t="n">
        <f aca="false">Cleaned_Data!I93</f>
        <v>79.2</v>
      </c>
      <c r="J92" s="3" t="n">
        <f aca="false">Cleaned_Data!J93</f>
        <v>6.61</v>
      </c>
      <c r="K92" s="3" t="n">
        <f aca="false">Cleaned_Data!K93</f>
        <v>1</v>
      </c>
      <c r="L92" s="3" t="n">
        <f aca="false">Cleaned_Data!L93</f>
        <v>4.1</v>
      </c>
      <c r="M92" s="3" t="n">
        <f aca="false">Dummy_Variables!E93</f>
        <v>0</v>
      </c>
      <c r="N92" s="3" t="n">
        <f aca="false">Dummy_Variables!F93</f>
        <v>1</v>
      </c>
      <c r="O92" s="3" t="n">
        <f aca="false">Dummy_Variables!G93</f>
        <v>0</v>
      </c>
      <c r="P92" s="3" t="n">
        <f aca="false">Dummy_Variables!H93</f>
        <v>0</v>
      </c>
      <c r="Q92" s="3" t="n">
        <f aca="false">Dummy_Variables!I93</f>
        <v>1</v>
      </c>
      <c r="R92" s="3" t="n">
        <f aca="false">Dummy_Variables!J93</f>
        <v>0</v>
      </c>
      <c r="S92" s="3" t="n">
        <f aca="false">Cleaned_Data!M93</f>
        <v>711213.46</v>
      </c>
    </row>
    <row r="93" customFormat="false" ht="15" hidden="false" customHeight="true" outlineLevel="0" collapsed="false">
      <c r="A93" s="3" t="str">
        <f aca="false">Cleaned_Data!A94</f>
        <v>STR-1023</v>
      </c>
      <c r="B93" s="4" t="n">
        <f aca="false">Cleaned_Data!B94</f>
        <v>45689</v>
      </c>
      <c r="C93" s="3" t="str">
        <f aca="false">Cleaned_Data!C94</f>
        <v>South</v>
      </c>
      <c r="D93" s="3" t="str">
        <f aca="false">Cleaned_Data!D94</f>
        <v>Mall</v>
      </c>
      <c r="E93" s="3" t="n">
        <f aca="false">Cleaned_Data!E94</f>
        <v>141540.29</v>
      </c>
      <c r="F93" s="3" t="n">
        <f aca="false">Cleaned_Data!F94</f>
        <v>5400</v>
      </c>
      <c r="G93" s="3" t="n">
        <f aca="false">Cleaned_Data!G94</f>
        <v>0.013</v>
      </c>
      <c r="H93" s="3" t="n">
        <f aca="false">Cleaned_Data!H94</f>
        <v>12</v>
      </c>
      <c r="I93" s="3" t="n">
        <f aca="false">Cleaned_Data!I94</f>
        <v>87</v>
      </c>
      <c r="J93" s="3" t="n">
        <f aca="false">Cleaned_Data!J94</f>
        <v>4.26</v>
      </c>
      <c r="K93" s="3" t="n">
        <f aca="false">Cleaned_Data!K94</f>
        <v>0</v>
      </c>
      <c r="L93" s="3" t="n">
        <f aca="false">Cleaned_Data!L94</f>
        <v>4.5</v>
      </c>
      <c r="M93" s="3" t="n">
        <f aca="false">Dummy_Variables!E94</f>
        <v>0</v>
      </c>
      <c r="N93" s="3" t="n">
        <f aca="false">Dummy_Variables!F94</f>
        <v>1</v>
      </c>
      <c r="O93" s="3" t="n">
        <f aca="false">Dummy_Variables!G94</f>
        <v>0</v>
      </c>
      <c r="P93" s="3" t="n">
        <f aca="false">Dummy_Variables!H94</f>
        <v>0</v>
      </c>
      <c r="Q93" s="3" t="n">
        <f aca="false">Dummy_Variables!I94</f>
        <v>1</v>
      </c>
      <c r="R93" s="3" t="n">
        <f aca="false">Dummy_Variables!J94</f>
        <v>0</v>
      </c>
      <c r="S93" s="3" t="n">
        <f aca="false">Cleaned_Data!M94</f>
        <v>627171.9</v>
      </c>
    </row>
    <row r="94" customFormat="false" ht="15" hidden="false" customHeight="true" outlineLevel="0" collapsed="false">
      <c r="A94" s="3" t="str">
        <f aca="false">Cleaned_Data!A95</f>
        <v>STR-1023</v>
      </c>
      <c r="B94" s="4" t="n">
        <f aca="false">Cleaned_Data!B95</f>
        <v>45717</v>
      </c>
      <c r="C94" s="3" t="str">
        <f aca="false">Cleaned_Data!C95</f>
        <v>South</v>
      </c>
      <c r="D94" s="3" t="str">
        <f aca="false">Cleaned_Data!D95</f>
        <v>Mall</v>
      </c>
      <c r="E94" s="3" t="n">
        <f aca="false">Cleaned_Data!E95</f>
        <v>82116.19</v>
      </c>
      <c r="F94" s="3" t="n">
        <f aca="false">Cleaned_Data!F95</f>
        <v>5988</v>
      </c>
      <c r="G94" s="3" t="n">
        <f aca="false">Cleaned_Data!G95</f>
        <v>0.04</v>
      </c>
      <c r="H94" s="3" t="n">
        <f aca="false">Cleaned_Data!H95</f>
        <v>17</v>
      </c>
      <c r="I94" s="3" t="n">
        <f aca="false">Cleaned_Data!I95</f>
        <v>91.8</v>
      </c>
      <c r="J94" s="3" t="n">
        <f aca="false">Cleaned_Data!J95</f>
        <v>5.75</v>
      </c>
      <c r="K94" s="3" t="n">
        <f aca="false">Cleaned_Data!K95</f>
        <v>0</v>
      </c>
      <c r="L94" s="3" t="n">
        <f aca="false">Cleaned_Data!L95</f>
        <v>4.7</v>
      </c>
      <c r="M94" s="3" t="n">
        <f aca="false">Dummy_Variables!E95</f>
        <v>0</v>
      </c>
      <c r="N94" s="3" t="n">
        <f aca="false">Dummy_Variables!F95</f>
        <v>1</v>
      </c>
      <c r="O94" s="3" t="n">
        <f aca="false">Dummy_Variables!G95</f>
        <v>0</v>
      </c>
      <c r="P94" s="3" t="n">
        <f aca="false">Dummy_Variables!H95</f>
        <v>0</v>
      </c>
      <c r="Q94" s="3" t="n">
        <f aca="false">Dummy_Variables!I95</f>
        <v>1</v>
      </c>
      <c r="R94" s="3" t="n">
        <f aca="false">Dummy_Variables!J95</f>
        <v>0</v>
      </c>
      <c r="S94" s="3" t="n">
        <f aca="false">Cleaned_Data!M95</f>
        <v>739852.58</v>
      </c>
    </row>
    <row r="95" customFormat="false" ht="15" hidden="false" customHeight="true" outlineLevel="0" collapsed="false">
      <c r="A95" s="3" t="str">
        <f aca="false">Cleaned_Data!A96</f>
        <v>STR-1023</v>
      </c>
      <c r="B95" s="4" t="n">
        <f aca="false">Cleaned_Data!B96</f>
        <v>45748</v>
      </c>
      <c r="C95" s="3" t="str">
        <f aca="false">Cleaned_Data!C96</f>
        <v>South</v>
      </c>
      <c r="D95" s="3" t="str">
        <f aca="false">Cleaned_Data!D96</f>
        <v>Mall</v>
      </c>
      <c r="E95" s="3" t="n">
        <f aca="false">Cleaned_Data!E96</f>
        <v>31207.51</v>
      </c>
      <c r="F95" s="3" t="n">
        <f aca="false">Cleaned_Data!F96</f>
        <v>3701</v>
      </c>
      <c r="G95" s="3" t="n">
        <f aca="false">Cleaned_Data!G96</f>
        <v>0.043</v>
      </c>
      <c r="H95" s="3" t="n">
        <f aca="false">Cleaned_Data!H96</f>
        <v>11</v>
      </c>
      <c r="I95" s="3" t="n">
        <f aca="false">Cleaned_Data!I96</f>
        <v>84.7</v>
      </c>
      <c r="J95" s="3" t="n">
        <f aca="false">Cleaned_Data!J96</f>
        <v>0.33</v>
      </c>
      <c r="K95" s="3" t="n">
        <f aca="false">Cleaned_Data!K96</f>
        <v>0</v>
      </c>
      <c r="L95" s="3" t="n">
        <f aca="false">Cleaned_Data!L96</f>
        <v>4.3</v>
      </c>
      <c r="M95" s="3" t="n">
        <f aca="false">Dummy_Variables!E96</f>
        <v>0</v>
      </c>
      <c r="N95" s="3" t="n">
        <f aca="false">Dummy_Variables!F96</f>
        <v>1</v>
      </c>
      <c r="O95" s="3" t="n">
        <f aca="false">Dummy_Variables!G96</f>
        <v>0</v>
      </c>
      <c r="P95" s="3" t="n">
        <f aca="false">Dummy_Variables!H96</f>
        <v>0</v>
      </c>
      <c r="Q95" s="3" t="n">
        <f aca="false">Dummy_Variables!I96</f>
        <v>1</v>
      </c>
      <c r="R95" s="3" t="n">
        <f aca="false">Dummy_Variables!J96</f>
        <v>0</v>
      </c>
      <c r="S95" s="3" t="n">
        <f aca="false">Cleaned_Data!M96</f>
        <v>586307.22</v>
      </c>
    </row>
    <row r="96" customFormat="false" ht="15" hidden="false" customHeight="true" outlineLevel="0" collapsed="false">
      <c r="A96" s="3" t="str">
        <f aca="false">Cleaned_Data!A97</f>
        <v>STR-1024</v>
      </c>
      <c r="B96" s="4" t="n">
        <f aca="false">Cleaned_Data!B97</f>
        <v>45658</v>
      </c>
      <c r="C96" s="3" t="str">
        <f aca="false">Cleaned_Data!C97</f>
        <v>West</v>
      </c>
      <c r="D96" s="3" t="str">
        <f aca="false">Cleaned_Data!D97</f>
        <v>Residential</v>
      </c>
      <c r="E96" s="3" t="n">
        <f aca="false">Cleaned_Data!E97</f>
        <v>38966.59</v>
      </c>
      <c r="F96" s="3" t="n">
        <f aca="false">Cleaned_Data!F97</f>
        <v>4509</v>
      </c>
      <c r="G96" s="3" t="n">
        <f aca="false">Cleaned_Data!G97</f>
        <v>0.194</v>
      </c>
      <c r="H96" s="3" t="n">
        <f aca="false">Cleaned_Data!H97</f>
        <v>14</v>
      </c>
      <c r="I96" s="3" t="n">
        <f aca="false">Cleaned_Data!I97</f>
        <v>91.1</v>
      </c>
      <c r="J96" s="3" t="n">
        <f aca="false">Cleaned_Data!J97</f>
        <v>2.92</v>
      </c>
      <c r="K96" s="3" t="n">
        <f aca="false">Cleaned_Data!K97</f>
        <v>0</v>
      </c>
      <c r="L96" s="3" t="n">
        <f aca="false">Cleaned_Data!L97</f>
        <v>4.6</v>
      </c>
      <c r="M96" s="3" t="n">
        <f aca="false">Dummy_Variables!E97</f>
        <v>0</v>
      </c>
      <c r="N96" s="3" t="n">
        <f aca="false">Dummy_Variables!F97</f>
        <v>0</v>
      </c>
      <c r="O96" s="3" t="n">
        <f aca="false">Dummy_Variables!G97</f>
        <v>1</v>
      </c>
      <c r="P96" s="3" t="n">
        <f aca="false">Dummy_Variables!H97</f>
        <v>0</v>
      </c>
      <c r="Q96" s="3" t="n">
        <f aca="false">Dummy_Variables!I97</f>
        <v>0</v>
      </c>
      <c r="R96" s="3" t="n">
        <f aca="false">Dummy_Variables!J97</f>
        <v>1</v>
      </c>
      <c r="S96" s="3" t="n">
        <f aca="false">Cleaned_Data!M97</f>
        <v>585937.48</v>
      </c>
    </row>
    <row r="97" customFormat="false" ht="15" hidden="false" customHeight="true" outlineLevel="0" collapsed="false">
      <c r="A97" s="3" t="str">
        <f aca="false">Cleaned_Data!A98</f>
        <v>STR-1024</v>
      </c>
      <c r="B97" s="4" t="n">
        <f aca="false">Cleaned_Data!B98</f>
        <v>45689</v>
      </c>
      <c r="C97" s="3" t="str">
        <f aca="false">Cleaned_Data!C98</f>
        <v>West</v>
      </c>
      <c r="D97" s="3" t="str">
        <f aca="false">Cleaned_Data!D98</f>
        <v>Residential</v>
      </c>
      <c r="E97" s="3" t="n">
        <f aca="false">Cleaned_Data!E98</f>
        <v>67439.3</v>
      </c>
      <c r="F97" s="3" t="n">
        <f aca="false">Cleaned_Data!F98</f>
        <v>6477</v>
      </c>
      <c r="G97" s="3" t="n">
        <f aca="false">Cleaned_Data!G98</f>
        <v>0</v>
      </c>
      <c r="H97" s="3" t="n">
        <f aca="false">Cleaned_Data!H98</f>
        <v>16</v>
      </c>
      <c r="I97" s="3" t="n">
        <f aca="false">Cleaned_Data!I98</f>
        <v>90.9</v>
      </c>
      <c r="J97" s="3" t="n">
        <f aca="false">Cleaned_Data!J98</f>
        <v>1.64</v>
      </c>
      <c r="K97" s="3" t="n">
        <f aca="false">Cleaned_Data!K98</f>
        <v>0</v>
      </c>
      <c r="L97" s="3" t="n">
        <f aca="false">Cleaned_Data!L98</f>
        <v>4.5</v>
      </c>
      <c r="M97" s="3" t="n">
        <f aca="false">Dummy_Variables!E98</f>
        <v>0</v>
      </c>
      <c r="N97" s="3" t="n">
        <f aca="false">Dummy_Variables!F98</f>
        <v>0</v>
      </c>
      <c r="O97" s="3" t="n">
        <f aca="false">Dummy_Variables!G98</f>
        <v>1</v>
      </c>
      <c r="P97" s="3" t="n">
        <f aca="false">Dummy_Variables!H98</f>
        <v>0</v>
      </c>
      <c r="Q97" s="3" t="n">
        <f aca="false">Dummy_Variables!I98</f>
        <v>0</v>
      </c>
      <c r="R97" s="3" t="n">
        <f aca="false">Dummy_Variables!J98</f>
        <v>1</v>
      </c>
      <c r="S97" s="3" t="n">
        <f aca="false">Cleaned_Data!M98</f>
        <v>753473.55</v>
      </c>
    </row>
    <row r="98" customFormat="false" ht="15" hidden="false" customHeight="true" outlineLevel="0" collapsed="false">
      <c r="A98" s="3" t="str">
        <f aca="false">Cleaned_Data!A99</f>
        <v>STR-1024</v>
      </c>
      <c r="B98" s="4" t="n">
        <f aca="false">Cleaned_Data!B99</f>
        <v>45717</v>
      </c>
      <c r="C98" s="3" t="str">
        <f aca="false">Cleaned_Data!C99</f>
        <v>West</v>
      </c>
      <c r="D98" s="3" t="str">
        <f aca="false">Cleaned_Data!D99</f>
        <v>Residential</v>
      </c>
      <c r="E98" s="3" t="n">
        <f aca="false">Cleaned_Data!E99</f>
        <v>86421.88</v>
      </c>
      <c r="F98" s="3" t="n">
        <f aca="false">Cleaned_Data!F99</f>
        <v>7970</v>
      </c>
      <c r="G98" s="3" t="n">
        <f aca="false">Cleaned_Data!G99</f>
        <v>0.073</v>
      </c>
      <c r="H98" s="3" t="n">
        <f aca="false">Cleaned_Data!H99</f>
        <v>17</v>
      </c>
      <c r="I98" s="3" t="n">
        <f aca="false">Cleaned_Data!I99</f>
        <v>91.3</v>
      </c>
      <c r="J98" s="3" t="n">
        <f aca="false">Cleaned_Data!J99</f>
        <v>0.8</v>
      </c>
      <c r="K98" s="3" t="n">
        <f aca="false">Cleaned_Data!K99</f>
        <v>0</v>
      </c>
      <c r="L98" s="3" t="n">
        <f aca="false">Cleaned_Data!L99</f>
        <v>5</v>
      </c>
      <c r="M98" s="3" t="n">
        <f aca="false">Dummy_Variables!E99</f>
        <v>0</v>
      </c>
      <c r="N98" s="3" t="n">
        <f aca="false">Dummy_Variables!F99</f>
        <v>0</v>
      </c>
      <c r="O98" s="3" t="n">
        <f aca="false">Dummy_Variables!G99</f>
        <v>1</v>
      </c>
      <c r="P98" s="3" t="n">
        <f aca="false">Dummy_Variables!H99</f>
        <v>0</v>
      </c>
      <c r="Q98" s="3" t="n">
        <f aca="false">Dummy_Variables!I99</f>
        <v>0</v>
      </c>
      <c r="R98" s="3" t="n">
        <f aca="false">Dummy_Variables!J99</f>
        <v>1</v>
      </c>
      <c r="S98" s="3" t="n">
        <f aca="false">Cleaned_Data!M99</f>
        <v>838250.32</v>
      </c>
    </row>
    <row r="99" customFormat="false" ht="15" hidden="false" customHeight="true" outlineLevel="0" collapsed="false">
      <c r="A99" s="3" t="str">
        <f aca="false">Cleaned_Data!A100</f>
        <v>STR-1024</v>
      </c>
      <c r="B99" s="4" t="n">
        <f aca="false">Cleaned_Data!B100</f>
        <v>45748</v>
      </c>
      <c r="C99" s="3" t="str">
        <f aca="false">Cleaned_Data!C100</f>
        <v>West</v>
      </c>
      <c r="D99" s="3" t="str">
        <f aca="false">Cleaned_Data!D100</f>
        <v>Residential</v>
      </c>
      <c r="E99" s="3" t="n">
        <f aca="false">Cleaned_Data!E100</f>
        <v>9534.65</v>
      </c>
      <c r="F99" s="3" t="n">
        <f aca="false">Cleaned_Data!F100</f>
        <v>6057</v>
      </c>
      <c r="G99" s="3" t="n">
        <f aca="false">Cleaned_Data!G100</f>
        <v>0.074</v>
      </c>
      <c r="H99" s="3" t="n">
        <f aca="false">Cleaned_Data!H100</f>
        <v>15</v>
      </c>
      <c r="I99" s="3" t="n">
        <f aca="false">Cleaned_Data!I100</f>
        <v>94.1</v>
      </c>
      <c r="J99" s="3" t="n">
        <f aca="false">Cleaned_Data!J100</f>
        <v>5.79</v>
      </c>
      <c r="K99" s="3" t="n">
        <f aca="false">Cleaned_Data!K100</f>
        <v>0</v>
      </c>
      <c r="L99" s="3" t="n">
        <f aca="false">Cleaned_Data!L100</f>
        <v>4.5</v>
      </c>
      <c r="M99" s="3" t="n">
        <f aca="false">Dummy_Variables!E100</f>
        <v>0</v>
      </c>
      <c r="N99" s="3" t="n">
        <f aca="false">Dummy_Variables!F100</f>
        <v>0</v>
      </c>
      <c r="O99" s="3" t="n">
        <f aca="false">Dummy_Variables!G100</f>
        <v>1</v>
      </c>
      <c r="P99" s="3" t="n">
        <f aca="false">Dummy_Variables!H100</f>
        <v>0</v>
      </c>
      <c r="Q99" s="3" t="n">
        <f aca="false">Dummy_Variables!I100</f>
        <v>0</v>
      </c>
      <c r="R99" s="3" t="n">
        <f aca="false">Dummy_Variables!J100</f>
        <v>1</v>
      </c>
      <c r="S99" s="3" t="n">
        <f aca="false">Cleaned_Data!M100</f>
        <v>607898.12</v>
      </c>
    </row>
    <row r="100" customFormat="false" ht="15" hidden="false" customHeight="true" outlineLevel="0" collapsed="false">
      <c r="A100" s="3" t="str">
        <f aca="false">Cleaned_Data!A101</f>
        <v>STR-1025</v>
      </c>
      <c r="B100" s="4" t="n">
        <f aca="false">Cleaned_Data!B101</f>
        <v>45658</v>
      </c>
      <c r="C100" s="3" t="str">
        <f aca="false">Cleaned_Data!C101</f>
        <v>West</v>
      </c>
      <c r="D100" s="3" t="str">
        <f aca="false">Cleaned_Data!D101</f>
        <v>Mall</v>
      </c>
      <c r="E100" s="3" t="n">
        <f aca="false">Cleaned_Data!E101</f>
        <v>61132.07</v>
      </c>
      <c r="F100" s="3" t="n">
        <f aca="false">Cleaned_Data!F101</f>
        <v>6394</v>
      </c>
      <c r="G100" s="3" t="n">
        <f aca="false">Cleaned_Data!G101</f>
        <v>0.163</v>
      </c>
      <c r="H100" s="3" t="n">
        <f aca="false">Cleaned_Data!H101</f>
        <v>19</v>
      </c>
      <c r="I100" s="3" t="n">
        <f aca="false">Cleaned_Data!I101</f>
        <v>91</v>
      </c>
      <c r="J100" s="3" t="n">
        <f aca="false">Cleaned_Data!J101</f>
        <v>19.6</v>
      </c>
      <c r="K100" s="3" t="n">
        <f aca="false">Cleaned_Data!K101</f>
        <v>0</v>
      </c>
      <c r="L100" s="3" t="n">
        <f aca="false">Cleaned_Data!L101</f>
        <v>4.4</v>
      </c>
      <c r="M100" s="3" t="n">
        <f aca="false">Dummy_Variables!E101</f>
        <v>0</v>
      </c>
      <c r="N100" s="3" t="n">
        <f aca="false">Dummy_Variables!F101</f>
        <v>1</v>
      </c>
      <c r="O100" s="3" t="n">
        <f aca="false">Dummy_Variables!G101</f>
        <v>0</v>
      </c>
      <c r="P100" s="3" t="n">
        <f aca="false">Dummy_Variables!H101</f>
        <v>0</v>
      </c>
      <c r="Q100" s="3" t="n">
        <f aca="false">Dummy_Variables!I101</f>
        <v>0</v>
      </c>
      <c r="R100" s="3" t="n">
        <f aca="false">Dummy_Variables!J101</f>
        <v>1</v>
      </c>
      <c r="S100" s="3" t="n">
        <f aca="false">Cleaned_Data!M101</f>
        <v>691113.62</v>
      </c>
    </row>
    <row r="101" customFormat="false" ht="15" hidden="false" customHeight="true" outlineLevel="0" collapsed="false">
      <c r="A101" s="3" t="str">
        <f aca="false">Cleaned_Data!A102</f>
        <v>STR-1025</v>
      </c>
      <c r="B101" s="4" t="n">
        <f aca="false">Cleaned_Data!B102</f>
        <v>45689</v>
      </c>
      <c r="C101" s="3" t="str">
        <f aca="false">Cleaned_Data!C102</f>
        <v>West</v>
      </c>
      <c r="D101" s="3" t="str">
        <f aca="false">Cleaned_Data!D102</f>
        <v>Mall</v>
      </c>
      <c r="E101" s="3" t="n">
        <f aca="false">Cleaned_Data!E102</f>
        <v>78839.39</v>
      </c>
      <c r="F101" s="3" t="n">
        <f aca="false">Cleaned_Data!F102</f>
        <v>5150</v>
      </c>
      <c r="G101" s="3" t="n">
        <f aca="false">Cleaned_Data!G102</f>
        <v>0.171</v>
      </c>
      <c r="H101" s="3" t="n">
        <f aca="false">Cleaned_Data!H102</f>
        <v>13</v>
      </c>
      <c r="I101" s="3" t="n">
        <f aca="false">Cleaned_Data!I102</f>
        <v>85.8</v>
      </c>
      <c r="J101" s="3" t="n">
        <f aca="false">Cleaned_Data!J102</f>
        <v>7.57</v>
      </c>
      <c r="K101" s="3" t="n">
        <f aca="false">Cleaned_Data!K102</f>
        <v>0</v>
      </c>
      <c r="L101" s="3" t="n">
        <f aca="false">Cleaned_Data!L102</f>
        <v>4.3</v>
      </c>
      <c r="M101" s="3" t="n">
        <f aca="false">Dummy_Variables!E102</f>
        <v>0</v>
      </c>
      <c r="N101" s="3" t="n">
        <f aca="false">Dummy_Variables!F102</f>
        <v>1</v>
      </c>
      <c r="O101" s="3" t="n">
        <f aca="false">Dummy_Variables!G102</f>
        <v>0</v>
      </c>
      <c r="P101" s="3" t="n">
        <f aca="false">Dummy_Variables!H102</f>
        <v>0</v>
      </c>
      <c r="Q101" s="3" t="n">
        <f aca="false">Dummy_Variables!I102</f>
        <v>0</v>
      </c>
      <c r="R101" s="3" t="n">
        <f aca="false">Dummy_Variables!J102</f>
        <v>1</v>
      </c>
      <c r="S101" s="3" t="n">
        <f aca="false">Cleaned_Data!M102</f>
        <v>735509.4</v>
      </c>
    </row>
    <row r="102" customFormat="false" ht="15" hidden="false" customHeight="true" outlineLevel="0" collapsed="false">
      <c r="A102" s="3" t="str">
        <f aca="false">Cleaned_Data!A103</f>
        <v>STR-1025</v>
      </c>
      <c r="B102" s="4" t="n">
        <f aca="false">Cleaned_Data!B103</f>
        <v>45717</v>
      </c>
      <c r="C102" s="3" t="str">
        <f aca="false">Cleaned_Data!C103</f>
        <v>West</v>
      </c>
      <c r="D102" s="3" t="str">
        <f aca="false">Cleaned_Data!D103</f>
        <v>Mall</v>
      </c>
      <c r="E102" s="3" t="n">
        <f aca="false">Cleaned_Data!E103</f>
        <v>38752.8</v>
      </c>
      <c r="F102" s="3" t="n">
        <f aca="false">Cleaned_Data!F103</f>
        <v>4712</v>
      </c>
      <c r="G102" s="3" t="n">
        <f aca="false">Cleaned_Data!G103</f>
        <v>0.075</v>
      </c>
      <c r="H102" s="3" t="n">
        <f aca="false">Cleaned_Data!H103</f>
        <v>15</v>
      </c>
      <c r="I102" s="3" t="n">
        <f aca="false">Cleaned_Data!I103</f>
        <v>89.7</v>
      </c>
      <c r="J102" s="3" t="n">
        <f aca="false">Cleaned_Data!J103</f>
        <v>3.365</v>
      </c>
      <c r="K102" s="3" t="n">
        <f aca="false">Cleaned_Data!K103</f>
        <v>0</v>
      </c>
      <c r="L102" s="3" t="n">
        <f aca="false">Cleaned_Data!L103</f>
        <v>4.3</v>
      </c>
      <c r="M102" s="3" t="n">
        <f aca="false">Dummy_Variables!E103</f>
        <v>0</v>
      </c>
      <c r="N102" s="3" t="n">
        <f aca="false">Dummy_Variables!F103</f>
        <v>1</v>
      </c>
      <c r="O102" s="3" t="n">
        <f aca="false">Dummy_Variables!G103</f>
        <v>0</v>
      </c>
      <c r="P102" s="3" t="n">
        <f aca="false">Dummy_Variables!H103</f>
        <v>0</v>
      </c>
      <c r="Q102" s="3" t="n">
        <f aca="false">Dummy_Variables!I103</f>
        <v>0</v>
      </c>
      <c r="R102" s="3" t="n">
        <f aca="false">Dummy_Variables!J103</f>
        <v>1</v>
      </c>
      <c r="S102" s="3" t="n">
        <f aca="false">Cleaned_Data!M103</f>
        <v>605775.33</v>
      </c>
    </row>
    <row r="103" customFormat="false" ht="15" hidden="false" customHeight="true" outlineLevel="0" collapsed="false">
      <c r="A103" s="3" t="str">
        <f aca="false">Cleaned_Data!A104</f>
        <v>STR-1025</v>
      </c>
      <c r="B103" s="4" t="n">
        <f aca="false">Cleaned_Data!B104</f>
        <v>45748</v>
      </c>
      <c r="C103" s="3" t="str">
        <f aca="false">Cleaned_Data!C104</f>
        <v>West</v>
      </c>
      <c r="D103" s="3" t="str">
        <f aca="false">Cleaned_Data!D104</f>
        <v>Mall</v>
      </c>
      <c r="E103" s="3" t="n">
        <f aca="false">Cleaned_Data!E104</f>
        <v>55101.1</v>
      </c>
      <c r="F103" s="3" t="n">
        <f aca="false">Cleaned_Data!F104</f>
        <v>5281</v>
      </c>
      <c r="G103" s="3" t="n">
        <f aca="false">Cleaned_Data!G104</f>
        <v>0.189</v>
      </c>
      <c r="H103" s="3" t="n">
        <f aca="false">Cleaned_Data!H104</f>
        <v>11</v>
      </c>
      <c r="I103" s="3" t="n">
        <f aca="false">Cleaned_Data!I104</f>
        <v>91</v>
      </c>
      <c r="J103" s="3" t="n">
        <f aca="false">Cleaned_Data!J104</f>
        <v>2.7</v>
      </c>
      <c r="K103" s="3" t="n">
        <f aca="false">Cleaned_Data!K104</f>
        <v>0</v>
      </c>
      <c r="L103" s="3" t="n">
        <f aca="false">Cleaned_Data!L104</f>
        <v>4.4</v>
      </c>
      <c r="M103" s="3" t="n">
        <f aca="false">Dummy_Variables!E104</f>
        <v>0</v>
      </c>
      <c r="N103" s="3" t="n">
        <f aca="false">Dummy_Variables!F104</f>
        <v>1</v>
      </c>
      <c r="O103" s="3" t="n">
        <f aca="false">Dummy_Variables!G104</f>
        <v>0</v>
      </c>
      <c r="P103" s="3" t="n">
        <f aca="false">Dummy_Variables!H104</f>
        <v>0</v>
      </c>
      <c r="Q103" s="3" t="n">
        <f aca="false">Dummy_Variables!I104</f>
        <v>0</v>
      </c>
      <c r="R103" s="3" t="n">
        <f aca="false">Dummy_Variables!J104</f>
        <v>1</v>
      </c>
      <c r="S103" s="3" t="n">
        <f aca="false">Cleaned_Data!M104</f>
        <v>675177.68</v>
      </c>
    </row>
    <row r="104" customFormat="false" ht="15" hidden="false" customHeight="true" outlineLevel="0" collapsed="false">
      <c r="A104" s="3" t="str">
        <f aca="false">Cleaned_Data!A105</f>
        <v>STR-1026</v>
      </c>
      <c r="B104" s="4" t="n">
        <f aca="false">Cleaned_Data!B105</f>
        <v>45658</v>
      </c>
      <c r="C104" s="3" t="str">
        <f aca="false">Cleaned_Data!C105</f>
        <v>East</v>
      </c>
      <c r="D104" s="3" t="str">
        <f aca="false">Cleaned_Data!D105</f>
        <v>Mall</v>
      </c>
      <c r="E104" s="3" t="n">
        <f aca="false">Cleaned_Data!E105</f>
        <v>53084.76</v>
      </c>
      <c r="F104" s="3" t="n">
        <f aca="false">Cleaned_Data!F105</f>
        <v>3642</v>
      </c>
      <c r="G104" s="3" t="n">
        <f aca="false">Cleaned_Data!G105</f>
        <v>0.15</v>
      </c>
      <c r="H104" s="3" t="n">
        <f aca="false">Cleaned_Data!H105</f>
        <v>12</v>
      </c>
      <c r="I104" s="3" t="n">
        <f aca="false">Cleaned_Data!I105</f>
        <v>91.4</v>
      </c>
      <c r="J104" s="3" t="n">
        <f aca="false">Cleaned_Data!J105</f>
        <v>0.2</v>
      </c>
      <c r="K104" s="3" t="n">
        <f aca="false">Cleaned_Data!K105</f>
        <v>0</v>
      </c>
      <c r="L104" s="3" t="n">
        <f aca="false">Cleaned_Data!L105</f>
        <v>4.4</v>
      </c>
      <c r="M104" s="3" t="n">
        <f aca="false">Dummy_Variables!E105</f>
        <v>0</v>
      </c>
      <c r="N104" s="3" t="n">
        <f aca="false">Dummy_Variables!F105</f>
        <v>1</v>
      </c>
      <c r="O104" s="3" t="n">
        <f aca="false">Dummy_Variables!G105</f>
        <v>0</v>
      </c>
      <c r="P104" s="3" t="n">
        <f aca="false">Dummy_Variables!H105</f>
        <v>0</v>
      </c>
      <c r="Q104" s="3" t="n">
        <f aca="false">Dummy_Variables!I105</f>
        <v>0</v>
      </c>
      <c r="R104" s="3" t="n">
        <f aca="false">Dummy_Variables!J105</f>
        <v>0</v>
      </c>
      <c r="S104" s="3" t="n">
        <f aca="false">Cleaned_Data!M105</f>
        <v>635181.35</v>
      </c>
    </row>
    <row r="105" customFormat="false" ht="15" hidden="false" customHeight="true" outlineLevel="0" collapsed="false">
      <c r="A105" s="3" t="str">
        <f aca="false">Cleaned_Data!A106</f>
        <v>STR-1026</v>
      </c>
      <c r="B105" s="4" t="n">
        <f aca="false">Cleaned_Data!B106</f>
        <v>45689</v>
      </c>
      <c r="C105" s="3" t="str">
        <f aca="false">Cleaned_Data!C106</f>
        <v>East</v>
      </c>
      <c r="D105" s="3" t="str">
        <f aca="false">Cleaned_Data!D106</f>
        <v>Mall</v>
      </c>
      <c r="E105" s="3" t="n">
        <f aca="false">Cleaned_Data!E106</f>
        <v>63101.59</v>
      </c>
      <c r="F105" s="3" t="n">
        <f aca="false">Cleaned_Data!F106</f>
        <v>4373</v>
      </c>
      <c r="G105" s="3" t="n">
        <f aca="false">Cleaned_Data!G106</f>
        <v>0.173</v>
      </c>
      <c r="H105" s="3" t="n">
        <f aca="false">Cleaned_Data!H106</f>
        <v>14</v>
      </c>
      <c r="I105" s="3" t="n">
        <f aca="false">Cleaned_Data!I106</f>
        <v>90.4</v>
      </c>
      <c r="J105" s="3" t="n">
        <f aca="false">Cleaned_Data!J106</f>
        <v>7.87</v>
      </c>
      <c r="K105" s="3" t="n">
        <f aca="false">Cleaned_Data!K106</f>
        <v>0</v>
      </c>
      <c r="L105" s="3" t="n">
        <f aca="false">Cleaned_Data!L106</f>
        <v>4.7</v>
      </c>
      <c r="M105" s="3" t="n">
        <f aca="false">Dummy_Variables!E106</f>
        <v>0</v>
      </c>
      <c r="N105" s="3" t="n">
        <f aca="false">Dummy_Variables!F106</f>
        <v>1</v>
      </c>
      <c r="O105" s="3" t="n">
        <f aca="false">Dummy_Variables!G106</f>
        <v>0</v>
      </c>
      <c r="P105" s="3" t="n">
        <f aca="false">Dummy_Variables!H106</f>
        <v>0</v>
      </c>
      <c r="Q105" s="3" t="n">
        <f aca="false">Dummy_Variables!I106</f>
        <v>0</v>
      </c>
      <c r="R105" s="3" t="n">
        <f aca="false">Dummy_Variables!J106</f>
        <v>0</v>
      </c>
      <c r="S105" s="3" t="n">
        <f aca="false">Cleaned_Data!M106</f>
        <v>586626.94</v>
      </c>
    </row>
    <row r="106" customFormat="false" ht="15" hidden="false" customHeight="true" outlineLevel="0" collapsed="false">
      <c r="A106" s="3" t="str">
        <f aca="false">Cleaned_Data!A107</f>
        <v>STR-1026</v>
      </c>
      <c r="B106" s="4" t="n">
        <f aca="false">Cleaned_Data!B107</f>
        <v>45717</v>
      </c>
      <c r="C106" s="3" t="str">
        <f aca="false">Cleaned_Data!C107</f>
        <v>East</v>
      </c>
      <c r="D106" s="3" t="str">
        <f aca="false">Cleaned_Data!D107</f>
        <v>Mall</v>
      </c>
      <c r="E106" s="3" t="n">
        <f aca="false">Cleaned_Data!E107</f>
        <v>90084.4</v>
      </c>
      <c r="F106" s="3" t="n">
        <f aca="false">Cleaned_Data!F107</f>
        <v>6832</v>
      </c>
      <c r="G106" s="3" t="n">
        <f aca="false">Cleaned_Data!G107</f>
        <v>0.185</v>
      </c>
      <c r="H106" s="3" t="n">
        <f aca="false">Cleaned_Data!H107</f>
        <v>14</v>
      </c>
      <c r="I106" s="3" t="n">
        <f aca="false">Cleaned_Data!I107</f>
        <v>80.5</v>
      </c>
      <c r="J106" s="3" t="n">
        <f aca="false">Cleaned_Data!J107</f>
        <v>0.77</v>
      </c>
      <c r="K106" s="3" t="n">
        <f aca="false">Cleaned_Data!K107</f>
        <v>1</v>
      </c>
      <c r="L106" s="3" t="n">
        <f aca="false">Cleaned_Data!L107</f>
        <v>4.4</v>
      </c>
      <c r="M106" s="3" t="n">
        <f aca="false">Dummy_Variables!E107</f>
        <v>0</v>
      </c>
      <c r="N106" s="3" t="n">
        <f aca="false">Dummy_Variables!F107</f>
        <v>1</v>
      </c>
      <c r="O106" s="3" t="n">
        <f aca="false">Dummy_Variables!G107</f>
        <v>0</v>
      </c>
      <c r="P106" s="3" t="n">
        <f aca="false">Dummy_Variables!H107</f>
        <v>0</v>
      </c>
      <c r="Q106" s="3" t="n">
        <f aca="false">Dummy_Variables!I107</f>
        <v>0</v>
      </c>
      <c r="R106" s="3" t="n">
        <f aca="false">Dummy_Variables!J107</f>
        <v>0</v>
      </c>
      <c r="S106" s="3" t="n">
        <f aca="false">Cleaned_Data!M107</f>
        <v>740102.64</v>
      </c>
    </row>
    <row r="107" customFormat="false" ht="15" hidden="false" customHeight="true" outlineLevel="0" collapsed="false">
      <c r="A107" s="3" t="str">
        <f aca="false">Cleaned_Data!A108</f>
        <v>STR-1026</v>
      </c>
      <c r="B107" s="4" t="n">
        <f aca="false">Cleaned_Data!B108</f>
        <v>45748</v>
      </c>
      <c r="C107" s="3" t="str">
        <f aca="false">Cleaned_Data!C108</f>
        <v>East</v>
      </c>
      <c r="D107" s="3" t="str">
        <f aca="false">Cleaned_Data!D108</f>
        <v>Mall</v>
      </c>
      <c r="E107" s="3" t="n">
        <f aca="false">Cleaned_Data!E108</f>
        <v>32266.64</v>
      </c>
      <c r="F107" s="3" t="n">
        <f aca="false">Cleaned_Data!F108</f>
        <v>2414</v>
      </c>
      <c r="G107" s="3" t="n">
        <f aca="false">Cleaned_Data!G108</f>
        <v>0.08</v>
      </c>
      <c r="H107" s="3" t="n">
        <f aca="false">Cleaned_Data!H108</f>
        <v>7</v>
      </c>
      <c r="I107" s="3" t="n">
        <f aca="false">Cleaned_Data!I108</f>
        <v>92.1</v>
      </c>
      <c r="J107" s="3" t="n">
        <f aca="false">Cleaned_Data!J108</f>
        <v>1.48</v>
      </c>
      <c r="K107" s="3" t="n">
        <f aca="false">Cleaned_Data!K108</f>
        <v>0</v>
      </c>
      <c r="L107" s="3" t="n">
        <f aca="false">Cleaned_Data!L108</f>
        <v>5</v>
      </c>
      <c r="M107" s="3" t="n">
        <f aca="false">Dummy_Variables!E108</f>
        <v>0</v>
      </c>
      <c r="N107" s="3" t="n">
        <f aca="false">Dummy_Variables!F108</f>
        <v>1</v>
      </c>
      <c r="O107" s="3" t="n">
        <f aca="false">Dummy_Variables!G108</f>
        <v>0</v>
      </c>
      <c r="P107" s="3" t="n">
        <f aca="false">Dummy_Variables!H108</f>
        <v>0</v>
      </c>
      <c r="Q107" s="3" t="n">
        <f aca="false">Dummy_Variables!I108</f>
        <v>0</v>
      </c>
      <c r="R107" s="3" t="n">
        <f aca="false">Dummy_Variables!J108</f>
        <v>0</v>
      </c>
      <c r="S107" s="3" t="n">
        <f aca="false">Cleaned_Data!M108</f>
        <v>625514.04</v>
      </c>
    </row>
    <row r="108" customFormat="false" ht="15" hidden="false" customHeight="true" outlineLevel="0" collapsed="false">
      <c r="A108" s="3" t="str">
        <f aca="false">Cleaned_Data!A109</f>
        <v>STR-1027</v>
      </c>
      <c r="B108" s="4" t="n">
        <f aca="false">Cleaned_Data!B109</f>
        <v>45658</v>
      </c>
      <c r="C108" s="3" t="str">
        <f aca="false">Cleaned_Data!C109</f>
        <v>West</v>
      </c>
      <c r="D108" s="3" t="str">
        <f aca="false">Cleaned_Data!D109</f>
        <v>High Street</v>
      </c>
      <c r="E108" s="3" t="n">
        <f aca="false">Cleaned_Data!E109</f>
        <v>57919.07</v>
      </c>
      <c r="F108" s="3" t="n">
        <f aca="false">Cleaned_Data!F109</f>
        <v>7374</v>
      </c>
      <c r="G108" s="3" t="n">
        <f aca="false">Cleaned_Data!G109</f>
        <v>0.103</v>
      </c>
      <c r="H108" s="3" t="n">
        <f aca="false">Cleaned_Data!H109</f>
        <v>21</v>
      </c>
      <c r="I108" s="3" t="n">
        <f aca="false">Cleaned_Data!I109</f>
        <v>82.3</v>
      </c>
      <c r="J108" s="3" t="n">
        <f aca="false">Cleaned_Data!J109</f>
        <v>2.87</v>
      </c>
      <c r="K108" s="3" t="n">
        <f aca="false">Cleaned_Data!K109</f>
        <v>0</v>
      </c>
      <c r="L108" s="3" t="n">
        <f aca="false">Cleaned_Data!L109</f>
        <v>2.9</v>
      </c>
      <c r="M108" s="3" t="n">
        <f aca="false">Dummy_Variables!E109</f>
        <v>0</v>
      </c>
      <c r="N108" s="3" t="n">
        <f aca="false">Dummy_Variables!F109</f>
        <v>0</v>
      </c>
      <c r="O108" s="3" t="n">
        <f aca="false">Dummy_Variables!G109</f>
        <v>0</v>
      </c>
      <c r="P108" s="3" t="n">
        <f aca="false">Dummy_Variables!H109</f>
        <v>0</v>
      </c>
      <c r="Q108" s="3" t="n">
        <f aca="false">Dummy_Variables!I109</f>
        <v>0</v>
      </c>
      <c r="R108" s="3" t="n">
        <f aca="false">Dummy_Variables!J109</f>
        <v>1</v>
      </c>
      <c r="S108" s="3" t="n">
        <f aca="false">Cleaned_Data!M109</f>
        <v>727227.2</v>
      </c>
    </row>
    <row r="109" customFormat="false" ht="15" hidden="false" customHeight="true" outlineLevel="0" collapsed="false">
      <c r="A109" s="3" t="str">
        <f aca="false">Cleaned_Data!A110</f>
        <v>STR-1027</v>
      </c>
      <c r="B109" s="4" t="n">
        <f aca="false">Cleaned_Data!B110</f>
        <v>45689</v>
      </c>
      <c r="C109" s="3" t="str">
        <f aca="false">Cleaned_Data!C110</f>
        <v>West</v>
      </c>
      <c r="D109" s="3" t="str">
        <f aca="false">Cleaned_Data!D110</f>
        <v>High Street</v>
      </c>
      <c r="E109" s="3" t="n">
        <f aca="false">Cleaned_Data!E110</f>
        <v>74679.35</v>
      </c>
      <c r="F109" s="3" t="n">
        <f aca="false">Cleaned_Data!F110</f>
        <v>8739</v>
      </c>
      <c r="G109" s="3" t="n">
        <f aca="false">Cleaned_Data!G110</f>
        <v>0.056</v>
      </c>
      <c r="H109" s="3" t="n">
        <f aca="false">Cleaned_Data!H110</f>
        <v>21</v>
      </c>
      <c r="I109" s="3" t="n">
        <f aca="false">Cleaned_Data!I110</f>
        <v>91.8</v>
      </c>
      <c r="J109" s="3" t="n">
        <f aca="false">Cleaned_Data!J110</f>
        <v>2.83</v>
      </c>
      <c r="K109" s="3" t="n">
        <f aca="false">Cleaned_Data!K110</f>
        <v>0</v>
      </c>
      <c r="L109" s="3" t="n">
        <f aca="false">Cleaned_Data!L110</f>
        <v>3</v>
      </c>
      <c r="M109" s="3" t="n">
        <f aca="false">Dummy_Variables!E110</f>
        <v>0</v>
      </c>
      <c r="N109" s="3" t="n">
        <f aca="false">Dummy_Variables!F110</f>
        <v>0</v>
      </c>
      <c r="O109" s="3" t="n">
        <f aca="false">Dummy_Variables!G110</f>
        <v>0</v>
      </c>
      <c r="P109" s="3" t="n">
        <f aca="false">Dummy_Variables!H110</f>
        <v>0</v>
      </c>
      <c r="Q109" s="3" t="n">
        <f aca="false">Dummy_Variables!I110</f>
        <v>0</v>
      </c>
      <c r="R109" s="3" t="n">
        <f aca="false">Dummy_Variables!J110</f>
        <v>1</v>
      </c>
      <c r="S109" s="3" t="n">
        <f aca="false">Cleaned_Data!M110</f>
        <v>783797.89</v>
      </c>
    </row>
    <row r="110" customFormat="false" ht="15" hidden="false" customHeight="true" outlineLevel="0" collapsed="false">
      <c r="A110" s="3" t="str">
        <f aca="false">Cleaned_Data!A111</f>
        <v>STR-1027</v>
      </c>
      <c r="B110" s="4" t="n">
        <f aca="false">Cleaned_Data!B111</f>
        <v>45717</v>
      </c>
      <c r="C110" s="3" t="str">
        <f aca="false">Cleaned_Data!C111</f>
        <v>West</v>
      </c>
      <c r="D110" s="3" t="str">
        <f aca="false">Cleaned_Data!D111</f>
        <v>High Street</v>
      </c>
      <c r="E110" s="3" t="n">
        <f aca="false">Cleaned_Data!E111</f>
        <v>64294.23</v>
      </c>
      <c r="F110" s="3" t="n">
        <f aca="false">Cleaned_Data!F111</f>
        <v>6992</v>
      </c>
      <c r="G110" s="3" t="n">
        <f aca="false">Cleaned_Data!G111</f>
        <v>0.133</v>
      </c>
      <c r="H110" s="3" t="n">
        <f aca="false">Cleaned_Data!H111</f>
        <v>14</v>
      </c>
      <c r="I110" s="3" t="n">
        <f aca="false">Cleaned_Data!I111</f>
        <v>94.1</v>
      </c>
      <c r="J110" s="3" t="n">
        <f aca="false">Cleaned_Data!J111</f>
        <v>0.25</v>
      </c>
      <c r="K110" s="3" t="n">
        <f aca="false">Cleaned_Data!K111</f>
        <v>0</v>
      </c>
      <c r="L110" s="3" t="n">
        <f aca="false">Cleaned_Data!L111</f>
        <v>3</v>
      </c>
      <c r="M110" s="3" t="n">
        <f aca="false">Dummy_Variables!E111</f>
        <v>0</v>
      </c>
      <c r="N110" s="3" t="n">
        <f aca="false">Dummy_Variables!F111</f>
        <v>0</v>
      </c>
      <c r="O110" s="3" t="n">
        <f aca="false">Dummy_Variables!G111</f>
        <v>0</v>
      </c>
      <c r="P110" s="3" t="n">
        <f aca="false">Dummy_Variables!H111</f>
        <v>0</v>
      </c>
      <c r="Q110" s="3" t="n">
        <f aca="false">Dummy_Variables!I111</f>
        <v>0</v>
      </c>
      <c r="R110" s="3" t="n">
        <f aca="false">Dummy_Variables!J111</f>
        <v>1</v>
      </c>
      <c r="S110" s="3" t="n">
        <f aca="false">Cleaned_Data!M111</f>
        <v>795153.84</v>
      </c>
    </row>
    <row r="111" customFormat="false" ht="15" hidden="false" customHeight="true" outlineLevel="0" collapsed="false">
      <c r="A111" s="3" t="str">
        <f aca="false">Cleaned_Data!A112</f>
        <v>STR-1027</v>
      </c>
      <c r="B111" s="4" t="n">
        <f aca="false">Cleaned_Data!B112</f>
        <v>45748</v>
      </c>
      <c r="C111" s="3" t="str">
        <f aca="false">Cleaned_Data!C112</f>
        <v>West</v>
      </c>
      <c r="D111" s="3" t="str">
        <f aca="false">Cleaned_Data!D112</f>
        <v>High Street</v>
      </c>
      <c r="E111" s="3" t="n">
        <f aca="false">Cleaned_Data!E112</f>
        <v>31042.03</v>
      </c>
      <c r="F111" s="3" t="n">
        <f aca="false">Cleaned_Data!F112</f>
        <v>7107</v>
      </c>
      <c r="G111" s="3" t="n">
        <f aca="false">Cleaned_Data!G112</f>
        <v>0.051</v>
      </c>
      <c r="H111" s="3" t="n">
        <f aca="false">Cleaned_Data!H112</f>
        <v>15</v>
      </c>
      <c r="I111" s="3" t="n">
        <f aca="false">Cleaned_Data!I112</f>
        <v>87</v>
      </c>
      <c r="J111" s="3" t="n">
        <f aca="false">Cleaned_Data!J112</f>
        <v>13.33</v>
      </c>
      <c r="K111" s="3" t="n">
        <f aca="false">Cleaned_Data!K112</f>
        <v>0</v>
      </c>
      <c r="L111" s="3" t="n">
        <f aca="false">Cleaned_Data!L112</f>
        <v>3.2</v>
      </c>
      <c r="M111" s="3" t="n">
        <f aca="false">Dummy_Variables!E112</f>
        <v>0</v>
      </c>
      <c r="N111" s="3" t="n">
        <f aca="false">Dummy_Variables!F112</f>
        <v>0</v>
      </c>
      <c r="O111" s="3" t="n">
        <f aca="false">Dummy_Variables!G112</f>
        <v>0</v>
      </c>
      <c r="P111" s="3" t="n">
        <f aca="false">Dummy_Variables!H112</f>
        <v>0</v>
      </c>
      <c r="Q111" s="3" t="n">
        <f aca="false">Dummy_Variables!I112</f>
        <v>0</v>
      </c>
      <c r="R111" s="3" t="n">
        <f aca="false">Dummy_Variables!J112</f>
        <v>1</v>
      </c>
      <c r="S111" s="3" t="n">
        <f aca="false">Cleaned_Data!M112</f>
        <v>665594.94</v>
      </c>
    </row>
    <row r="112" customFormat="false" ht="15" hidden="false" customHeight="true" outlineLevel="0" collapsed="false">
      <c r="A112" s="3" t="str">
        <f aca="false">Cleaned_Data!A113</f>
        <v>STR-1028</v>
      </c>
      <c r="B112" s="4" t="n">
        <f aca="false">Cleaned_Data!B113</f>
        <v>45658</v>
      </c>
      <c r="C112" s="3" t="str">
        <f aca="false">Cleaned_Data!C113</f>
        <v>East</v>
      </c>
      <c r="D112" s="3" t="str">
        <f aca="false">Cleaned_Data!D113</f>
        <v>Mall</v>
      </c>
      <c r="E112" s="3" t="n">
        <f aca="false">Cleaned_Data!E113</f>
        <v>75265.02</v>
      </c>
      <c r="F112" s="3" t="n">
        <f aca="false">Cleaned_Data!F113</f>
        <v>6975</v>
      </c>
      <c r="G112" s="3" t="n">
        <f aca="false">Cleaned_Data!G113</f>
        <v>0.157</v>
      </c>
      <c r="H112" s="3" t="n">
        <f aca="false">Cleaned_Data!H113</f>
        <v>20</v>
      </c>
      <c r="I112" s="3" t="n">
        <f aca="false">Cleaned_Data!I113</f>
        <v>73.8</v>
      </c>
      <c r="J112" s="3" t="n">
        <f aca="false">Cleaned_Data!J113</f>
        <v>6.35</v>
      </c>
      <c r="K112" s="3" t="n">
        <f aca="false">Cleaned_Data!K113</f>
        <v>1</v>
      </c>
      <c r="L112" s="3" t="n">
        <f aca="false">Cleaned_Data!L113</f>
        <v>3.8</v>
      </c>
      <c r="M112" s="3" t="n">
        <f aca="false">Dummy_Variables!E113</f>
        <v>0</v>
      </c>
      <c r="N112" s="3" t="n">
        <f aca="false">Dummy_Variables!F113</f>
        <v>1</v>
      </c>
      <c r="O112" s="3" t="n">
        <f aca="false">Dummy_Variables!G113</f>
        <v>0</v>
      </c>
      <c r="P112" s="3" t="n">
        <f aca="false">Dummy_Variables!H113</f>
        <v>0</v>
      </c>
      <c r="Q112" s="3" t="n">
        <f aca="false">Dummy_Variables!I113</f>
        <v>0</v>
      </c>
      <c r="R112" s="3" t="n">
        <f aca="false">Dummy_Variables!J113</f>
        <v>0</v>
      </c>
      <c r="S112" s="3" t="n">
        <f aca="false">Cleaned_Data!M113</f>
        <v>709478.39</v>
      </c>
    </row>
    <row r="113" customFormat="false" ht="15" hidden="false" customHeight="true" outlineLevel="0" collapsed="false">
      <c r="A113" s="3" t="str">
        <f aca="false">Cleaned_Data!A114</f>
        <v>STR-1028</v>
      </c>
      <c r="B113" s="4" t="n">
        <f aca="false">Cleaned_Data!B114</f>
        <v>45689</v>
      </c>
      <c r="C113" s="3" t="str">
        <f aca="false">Cleaned_Data!C114</f>
        <v>East</v>
      </c>
      <c r="D113" s="3" t="str">
        <f aca="false">Cleaned_Data!D114</f>
        <v>Mall</v>
      </c>
      <c r="E113" s="3" t="n">
        <f aca="false">Cleaned_Data!E114</f>
        <v>69411.7</v>
      </c>
      <c r="F113" s="3" t="n">
        <f aca="false">Cleaned_Data!F114</f>
        <v>5493</v>
      </c>
      <c r="G113" s="3" t="n">
        <f aca="false">Cleaned_Data!G114</f>
        <v>0.292</v>
      </c>
      <c r="H113" s="3" t="n">
        <f aca="false">Cleaned_Data!H114</f>
        <v>13</v>
      </c>
      <c r="I113" s="3" t="n">
        <f aca="false">Cleaned_Data!I114</f>
        <v>86.5</v>
      </c>
      <c r="J113" s="3" t="n">
        <f aca="false">Cleaned_Data!J114</f>
        <v>6.69</v>
      </c>
      <c r="K113" s="3" t="n">
        <f aca="false">Cleaned_Data!K114</f>
        <v>0</v>
      </c>
      <c r="L113" s="3" t="n">
        <f aca="false">Cleaned_Data!L114</f>
        <v>3.8</v>
      </c>
      <c r="M113" s="3" t="n">
        <f aca="false">Dummy_Variables!E114</f>
        <v>0</v>
      </c>
      <c r="N113" s="3" t="n">
        <f aca="false">Dummy_Variables!F114</f>
        <v>1</v>
      </c>
      <c r="O113" s="3" t="n">
        <f aca="false">Dummy_Variables!G114</f>
        <v>0</v>
      </c>
      <c r="P113" s="3" t="n">
        <f aca="false">Dummy_Variables!H114</f>
        <v>0</v>
      </c>
      <c r="Q113" s="3" t="n">
        <f aca="false">Dummy_Variables!I114</f>
        <v>0</v>
      </c>
      <c r="R113" s="3" t="n">
        <f aca="false">Dummy_Variables!J114</f>
        <v>0</v>
      </c>
      <c r="S113" s="3" t="n">
        <f aca="false">Cleaned_Data!M114</f>
        <v>664162.49</v>
      </c>
    </row>
    <row r="114" customFormat="false" ht="15" hidden="false" customHeight="true" outlineLevel="0" collapsed="false">
      <c r="A114" s="3" t="str">
        <f aca="false">Cleaned_Data!A115</f>
        <v>STR-1028</v>
      </c>
      <c r="B114" s="4" t="n">
        <f aca="false">Cleaned_Data!B115</f>
        <v>45717</v>
      </c>
      <c r="C114" s="3" t="str">
        <f aca="false">Cleaned_Data!C115</f>
        <v>East</v>
      </c>
      <c r="D114" s="3" t="str">
        <f aca="false">Cleaned_Data!D115</f>
        <v>Mall</v>
      </c>
      <c r="E114" s="3" t="n">
        <f aca="false">Cleaned_Data!E115</f>
        <v>51056.15</v>
      </c>
      <c r="F114" s="3" t="n">
        <f aca="false">Cleaned_Data!F115</f>
        <v>5686</v>
      </c>
      <c r="G114" s="3" t="n">
        <f aca="false">Cleaned_Data!G115</f>
        <v>0.089</v>
      </c>
      <c r="H114" s="3" t="n">
        <f aca="false">Cleaned_Data!H115</f>
        <v>13</v>
      </c>
      <c r="I114" s="3" t="n">
        <f aca="false">Cleaned_Data!I115</f>
        <v>89.9</v>
      </c>
      <c r="J114" s="3" t="n">
        <f aca="false">Cleaned_Data!J115</f>
        <v>1.28</v>
      </c>
      <c r="K114" s="3" t="n">
        <f aca="false">Cleaned_Data!K115</f>
        <v>0</v>
      </c>
      <c r="L114" s="3" t="n">
        <f aca="false">Cleaned_Data!L115</f>
        <v>4.2</v>
      </c>
      <c r="M114" s="3" t="n">
        <f aca="false">Dummy_Variables!E115</f>
        <v>0</v>
      </c>
      <c r="N114" s="3" t="n">
        <f aca="false">Dummy_Variables!F115</f>
        <v>1</v>
      </c>
      <c r="O114" s="3" t="n">
        <f aca="false">Dummy_Variables!G115</f>
        <v>0</v>
      </c>
      <c r="P114" s="3" t="n">
        <f aca="false">Dummy_Variables!H115</f>
        <v>0</v>
      </c>
      <c r="Q114" s="3" t="n">
        <f aca="false">Dummy_Variables!I115</f>
        <v>0</v>
      </c>
      <c r="R114" s="3" t="n">
        <f aca="false">Dummy_Variables!J115</f>
        <v>0</v>
      </c>
      <c r="S114" s="3" t="n">
        <f aca="false">Cleaned_Data!M115</f>
        <v>633494.21</v>
      </c>
    </row>
    <row r="115" customFormat="false" ht="15" hidden="false" customHeight="true" outlineLevel="0" collapsed="false">
      <c r="A115" s="3" t="str">
        <f aca="false">Cleaned_Data!A116</f>
        <v>STR-1028</v>
      </c>
      <c r="B115" s="4" t="n">
        <f aca="false">Cleaned_Data!B116</f>
        <v>45748</v>
      </c>
      <c r="C115" s="3" t="str">
        <f aca="false">Cleaned_Data!C116</f>
        <v>East</v>
      </c>
      <c r="D115" s="3" t="str">
        <f aca="false">Cleaned_Data!D116</f>
        <v>Mall</v>
      </c>
      <c r="E115" s="3" t="n">
        <f aca="false">Cleaned_Data!E116</f>
        <v>52758.01</v>
      </c>
      <c r="F115" s="3" t="n">
        <f aca="false">Cleaned_Data!F116</f>
        <v>4063</v>
      </c>
      <c r="G115" s="3" t="n">
        <f aca="false">Cleaned_Data!G116</f>
        <v>0.057</v>
      </c>
      <c r="H115" s="3" t="n">
        <f aca="false">Cleaned_Data!H116</f>
        <v>12</v>
      </c>
      <c r="I115" s="3" t="n">
        <f aca="false">Cleaned_Data!I116</f>
        <v>91.7</v>
      </c>
      <c r="J115" s="3" t="n">
        <f aca="false">Cleaned_Data!J116</f>
        <v>0.92</v>
      </c>
      <c r="K115" s="3" t="n">
        <f aca="false">Cleaned_Data!K116</f>
        <v>0</v>
      </c>
      <c r="L115" s="3" t="n">
        <f aca="false">Cleaned_Data!L116</f>
        <v>3.5</v>
      </c>
      <c r="M115" s="3" t="n">
        <f aca="false">Dummy_Variables!E116</f>
        <v>0</v>
      </c>
      <c r="N115" s="3" t="n">
        <f aca="false">Dummy_Variables!F116</f>
        <v>1</v>
      </c>
      <c r="O115" s="3" t="n">
        <f aca="false">Dummy_Variables!G116</f>
        <v>0</v>
      </c>
      <c r="P115" s="3" t="n">
        <f aca="false">Dummy_Variables!H116</f>
        <v>0</v>
      </c>
      <c r="Q115" s="3" t="n">
        <f aca="false">Dummy_Variables!I116</f>
        <v>0</v>
      </c>
      <c r="R115" s="3" t="n">
        <f aca="false">Dummy_Variables!J116</f>
        <v>0</v>
      </c>
      <c r="S115" s="3" t="n">
        <f aca="false">Cleaned_Data!M116</f>
        <v>713611.16</v>
      </c>
    </row>
    <row r="116" customFormat="false" ht="15" hidden="false" customHeight="true" outlineLevel="0" collapsed="false">
      <c r="A116" s="3" t="str">
        <f aca="false">Cleaned_Data!A117</f>
        <v>STR-1029</v>
      </c>
      <c r="B116" s="4" t="n">
        <f aca="false">Cleaned_Data!B117</f>
        <v>45658</v>
      </c>
      <c r="C116" s="3" t="str">
        <f aca="false">Cleaned_Data!C117</f>
        <v>West</v>
      </c>
      <c r="D116" s="3" t="str">
        <f aca="false">Cleaned_Data!D117</f>
        <v>Mall</v>
      </c>
      <c r="E116" s="3" t="n">
        <f aca="false">Cleaned_Data!E117</f>
        <v>61426.04</v>
      </c>
      <c r="F116" s="3" t="n">
        <f aca="false">Cleaned_Data!F117</f>
        <v>8966</v>
      </c>
      <c r="G116" s="3" t="n">
        <f aca="false">Cleaned_Data!G117</f>
        <v>0.173</v>
      </c>
      <c r="H116" s="3" t="n">
        <f aca="false">Cleaned_Data!H117</f>
        <v>22</v>
      </c>
      <c r="I116" s="3" t="n">
        <f aca="false">Cleaned_Data!I117</f>
        <v>76.4</v>
      </c>
      <c r="J116" s="3" t="n">
        <f aca="false">Cleaned_Data!J117</f>
        <v>1.05</v>
      </c>
      <c r="K116" s="3" t="n">
        <f aca="false">Cleaned_Data!K117</f>
        <v>0</v>
      </c>
      <c r="L116" s="3" t="n">
        <f aca="false">Cleaned_Data!L117</f>
        <v>3.1</v>
      </c>
      <c r="M116" s="3" t="n">
        <f aca="false">Dummy_Variables!E117</f>
        <v>0</v>
      </c>
      <c r="N116" s="3" t="n">
        <f aca="false">Dummy_Variables!F117</f>
        <v>1</v>
      </c>
      <c r="O116" s="3" t="n">
        <f aca="false">Dummy_Variables!G117</f>
        <v>0</v>
      </c>
      <c r="P116" s="3" t="n">
        <f aca="false">Dummy_Variables!H117</f>
        <v>0</v>
      </c>
      <c r="Q116" s="3" t="n">
        <f aca="false">Dummy_Variables!I117</f>
        <v>0</v>
      </c>
      <c r="R116" s="3" t="n">
        <f aca="false">Dummy_Variables!J117</f>
        <v>1</v>
      </c>
      <c r="S116" s="3" t="n">
        <f aca="false">Cleaned_Data!M117</f>
        <v>778397.97</v>
      </c>
    </row>
    <row r="117" customFormat="false" ht="15" hidden="false" customHeight="true" outlineLevel="0" collapsed="false">
      <c r="A117" s="3" t="str">
        <f aca="false">Cleaned_Data!A118</f>
        <v>STR-1029</v>
      </c>
      <c r="B117" s="4" t="n">
        <f aca="false">Cleaned_Data!B118</f>
        <v>45689</v>
      </c>
      <c r="C117" s="3" t="str">
        <f aca="false">Cleaned_Data!C118</f>
        <v>West</v>
      </c>
      <c r="D117" s="3" t="str">
        <f aca="false">Cleaned_Data!D118</f>
        <v>Mall</v>
      </c>
      <c r="E117" s="3" t="n">
        <f aca="false">Cleaned_Data!E118</f>
        <v>80176.34</v>
      </c>
      <c r="F117" s="3" t="n">
        <f aca="false">Cleaned_Data!F118</f>
        <v>9489</v>
      </c>
      <c r="G117" s="3" t="n">
        <f aca="false">Cleaned_Data!G118</f>
        <v>0.142</v>
      </c>
      <c r="H117" s="3" t="n">
        <f aca="false">Cleaned_Data!H118</f>
        <v>22</v>
      </c>
      <c r="I117" s="3" t="n">
        <f aca="false">Cleaned_Data!I118</f>
        <v>94.3</v>
      </c>
      <c r="J117" s="3" t="n">
        <f aca="false">Cleaned_Data!J118</f>
        <v>2.67</v>
      </c>
      <c r="K117" s="3" t="n">
        <f aca="false">Cleaned_Data!K118</f>
        <v>0</v>
      </c>
      <c r="L117" s="3" t="n">
        <f aca="false">Cleaned_Data!L118</f>
        <v>3.5</v>
      </c>
      <c r="M117" s="3" t="n">
        <f aca="false">Dummy_Variables!E118</f>
        <v>0</v>
      </c>
      <c r="N117" s="3" t="n">
        <f aca="false">Dummy_Variables!F118</f>
        <v>1</v>
      </c>
      <c r="O117" s="3" t="n">
        <f aca="false">Dummy_Variables!G118</f>
        <v>0</v>
      </c>
      <c r="P117" s="3" t="n">
        <f aca="false">Dummy_Variables!H118</f>
        <v>0</v>
      </c>
      <c r="Q117" s="3" t="n">
        <f aca="false">Dummy_Variables!I118</f>
        <v>0</v>
      </c>
      <c r="R117" s="3" t="n">
        <f aca="false">Dummy_Variables!J118</f>
        <v>1</v>
      </c>
      <c r="S117" s="3" t="n">
        <f aca="false">Cleaned_Data!M118</f>
        <v>873380.02</v>
      </c>
    </row>
    <row r="118" customFormat="false" ht="15" hidden="false" customHeight="true" outlineLevel="0" collapsed="false">
      <c r="A118" s="3" t="str">
        <f aca="false">Cleaned_Data!A119</f>
        <v>STR-1029</v>
      </c>
      <c r="B118" s="4" t="n">
        <f aca="false">Cleaned_Data!B119</f>
        <v>45717</v>
      </c>
      <c r="C118" s="3" t="str">
        <f aca="false">Cleaned_Data!C119</f>
        <v>West</v>
      </c>
      <c r="D118" s="3" t="str">
        <f aca="false">Cleaned_Data!D119</f>
        <v>Mall</v>
      </c>
      <c r="E118" s="3" t="n">
        <f aca="false">Cleaned_Data!E119</f>
        <v>33605.18</v>
      </c>
      <c r="F118" s="3" t="n">
        <f aca="false">Cleaned_Data!F119</f>
        <v>9225</v>
      </c>
      <c r="G118" s="3" t="n">
        <f aca="false">Cleaned_Data!G119</f>
        <v>0.159</v>
      </c>
      <c r="H118" s="3" t="n">
        <f aca="false">Cleaned_Data!H119</f>
        <v>23</v>
      </c>
      <c r="I118" s="3" t="n">
        <f aca="false">Cleaned_Data!I119</f>
        <v>88.4</v>
      </c>
      <c r="J118" s="3" t="n">
        <f aca="false">Cleaned_Data!J119</f>
        <v>5.91</v>
      </c>
      <c r="K118" s="3" t="n">
        <f aca="false">Cleaned_Data!K119</f>
        <v>0</v>
      </c>
      <c r="L118" s="3" t="n">
        <f aca="false">Cleaned_Data!L119</f>
        <v>2.8</v>
      </c>
      <c r="M118" s="3" t="n">
        <f aca="false">Dummy_Variables!E119</f>
        <v>0</v>
      </c>
      <c r="N118" s="3" t="n">
        <f aca="false">Dummy_Variables!F119</f>
        <v>1</v>
      </c>
      <c r="O118" s="3" t="n">
        <f aca="false">Dummy_Variables!G119</f>
        <v>0</v>
      </c>
      <c r="P118" s="3" t="n">
        <f aca="false">Dummy_Variables!H119</f>
        <v>0</v>
      </c>
      <c r="Q118" s="3" t="n">
        <f aca="false">Dummy_Variables!I119</f>
        <v>0</v>
      </c>
      <c r="R118" s="3" t="n">
        <f aca="false">Dummy_Variables!J119</f>
        <v>1</v>
      </c>
      <c r="S118" s="3" t="n">
        <f aca="false">Cleaned_Data!M119</f>
        <v>697287.9</v>
      </c>
    </row>
    <row r="119" customFormat="false" ht="15" hidden="false" customHeight="true" outlineLevel="0" collapsed="false">
      <c r="A119" s="3" t="str">
        <f aca="false">Cleaned_Data!A120</f>
        <v>STR-1029</v>
      </c>
      <c r="B119" s="4" t="n">
        <f aca="false">Cleaned_Data!B120</f>
        <v>45748</v>
      </c>
      <c r="C119" s="3" t="str">
        <f aca="false">Cleaned_Data!C120</f>
        <v>West</v>
      </c>
      <c r="D119" s="3" t="str">
        <f aca="false">Cleaned_Data!D120</f>
        <v>Mall</v>
      </c>
      <c r="E119" s="3" t="n">
        <f aca="false">Cleaned_Data!E120</f>
        <v>25990.54</v>
      </c>
      <c r="F119" s="3" t="n">
        <f aca="false">Cleaned_Data!F120</f>
        <v>9249</v>
      </c>
      <c r="G119" s="3" t="n">
        <f aca="false">Cleaned_Data!G120</f>
        <v>0.139</v>
      </c>
      <c r="H119" s="3" t="n">
        <f aca="false">Cleaned_Data!H120</f>
        <v>23</v>
      </c>
      <c r="I119" s="3" t="n">
        <f aca="false">Cleaned_Data!I120</f>
        <v>92.5</v>
      </c>
      <c r="J119" s="3" t="n">
        <f aca="false">Cleaned_Data!J120</f>
        <v>6.37</v>
      </c>
      <c r="K119" s="3" t="n">
        <f aca="false">Cleaned_Data!K120</f>
        <v>0</v>
      </c>
      <c r="L119" s="3" t="n">
        <f aca="false">Cleaned_Data!L120</f>
        <v>3.3</v>
      </c>
      <c r="M119" s="3" t="n">
        <f aca="false">Dummy_Variables!E120</f>
        <v>0</v>
      </c>
      <c r="N119" s="3" t="n">
        <f aca="false">Dummy_Variables!F120</f>
        <v>1</v>
      </c>
      <c r="O119" s="3" t="n">
        <f aca="false">Dummy_Variables!G120</f>
        <v>0</v>
      </c>
      <c r="P119" s="3" t="n">
        <f aca="false">Dummy_Variables!H120</f>
        <v>0</v>
      </c>
      <c r="Q119" s="3" t="n">
        <f aca="false">Dummy_Variables!I120</f>
        <v>0</v>
      </c>
      <c r="R119" s="3" t="n">
        <f aca="false">Dummy_Variables!J120</f>
        <v>1</v>
      </c>
      <c r="S119" s="3" t="n">
        <f aca="false">Cleaned_Data!M120</f>
        <v>718074.79</v>
      </c>
    </row>
    <row r="120" customFormat="false" ht="15" hidden="false" customHeight="true" outlineLevel="0" collapsed="false">
      <c r="A120" s="3" t="str">
        <f aca="false">Cleaned_Data!A121</f>
        <v>STR-1030</v>
      </c>
      <c r="B120" s="4" t="n">
        <f aca="false">Cleaned_Data!B121</f>
        <v>45658</v>
      </c>
      <c r="C120" s="3" t="str">
        <f aca="false">Cleaned_Data!C121</f>
        <v>West</v>
      </c>
      <c r="D120" s="3" t="str">
        <f aca="false">Cleaned_Data!D121</f>
        <v>Residential</v>
      </c>
      <c r="E120" s="3" t="n">
        <f aca="false">Cleaned_Data!E121</f>
        <v>43685.14</v>
      </c>
      <c r="F120" s="3" t="n">
        <f aca="false">Cleaned_Data!F121</f>
        <v>7821</v>
      </c>
      <c r="G120" s="3" t="n">
        <f aca="false">Cleaned_Data!G121</f>
        <v>0.19</v>
      </c>
      <c r="H120" s="3" t="n">
        <f aca="false">Cleaned_Data!H121</f>
        <v>17</v>
      </c>
      <c r="I120" s="3" t="n">
        <f aca="false">Cleaned_Data!I121</f>
        <v>91</v>
      </c>
      <c r="J120" s="3" t="n">
        <f aca="false">Cleaned_Data!J121</f>
        <v>2.49</v>
      </c>
      <c r="K120" s="3" t="n">
        <f aca="false">Cleaned_Data!K121</f>
        <v>1</v>
      </c>
      <c r="L120" s="3" t="n">
        <f aca="false">Cleaned_Data!L121</f>
        <v>4.7</v>
      </c>
      <c r="M120" s="3" t="n">
        <f aca="false">Dummy_Variables!E121</f>
        <v>0</v>
      </c>
      <c r="N120" s="3" t="n">
        <f aca="false">Dummy_Variables!F121</f>
        <v>0</v>
      </c>
      <c r="O120" s="3" t="n">
        <f aca="false">Dummy_Variables!G121</f>
        <v>1</v>
      </c>
      <c r="P120" s="3" t="n">
        <f aca="false">Dummy_Variables!H121</f>
        <v>0</v>
      </c>
      <c r="Q120" s="3" t="n">
        <f aca="false">Dummy_Variables!I121</f>
        <v>0</v>
      </c>
      <c r="R120" s="3" t="n">
        <f aca="false">Dummy_Variables!J121</f>
        <v>1</v>
      </c>
      <c r="S120" s="3" t="n">
        <f aca="false">Cleaned_Data!M121</f>
        <v>714942.43</v>
      </c>
    </row>
    <row r="121" customFormat="false" ht="15" hidden="false" customHeight="true" outlineLevel="0" collapsed="false">
      <c r="A121" s="3" t="str">
        <f aca="false">Cleaned_Data!A122</f>
        <v>STR-1030</v>
      </c>
      <c r="B121" s="4" t="n">
        <f aca="false">Cleaned_Data!B122</f>
        <v>45689</v>
      </c>
      <c r="C121" s="3" t="str">
        <f aca="false">Cleaned_Data!C122</f>
        <v>West</v>
      </c>
      <c r="D121" s="3" t="str">
        <f aca="false">Cleaned_Data!D122</f>
        <v>Residential</v>
      </c>
      <c r="E121" s="3" t="n">
        <f aca="false">Cleaned_Data!E122</f>
        <v>57360.01</v>
      </c>
      <c r="F121" s="3" t="n">
        <f aca="false">Cleaned_Data!F122</f>
        <v>8434</v>
      </c>
      <c r="G121" s="3" t="n">
        <f aca="false">Cleaned_Data!G122</f>
        <v>0.151</v>
      </c>
      <c r="H121" s="3" t="n">
        <f aca="false">Cleaned_Data!H122</f>
        <v>19</v>
      </c>
      <c r="I121" s="3" t="n">
        <f aca="false">Cleaned_Data!I122</f>
        <v>84.1</v>
      </c>
      <c r="J121" s="3" t="n">
        <f aca="false">Cleaned_Data!J122</f>
        <v>1.56</v>
      </c>
      <c r="K121" s="3" t="n">
        <f aca="false">Cleaned_Data!K122</f>
        <v>0</v>
      </c>
      <c r="L121" s="3" t="n">
        <f aca="false">Cleaned_Data!L122</f>
        <v>4.7</v>
      </c>
      <c r="M121" s="3" t="n">
        <f aca="false">Dummy_Variables!E122</f>
        <v>0</v>
      </c>
      <c r="N121" s="3" t="n">
        <f aca="false">Dummy_Variables!F122</f>
        <v>0</v>
      </c>
      <c r="O121" s="3" t="n">
        <f aca="false">Dummy_Variables!G122</f>
        <v>1</v>
      </c>
      <c r="P121" s="3" t="n">
        <f aca="false">Dummy_Variables!H122</f>
        <v>0</v>
      </c>
      <c r="Q121" s="3" t="n">
        <f aca="false">Dummy_Variables!I122</f>
        <v>0</v>
      </c>
      <c r="R121" s="3" t="n">
        <f aca="false">Dummy_Variables!J122</f>
        <v>1</v>
      </c>
      <c r="S121" s="3" t="n">
        <f aca="false">Cleaned_Data!M122</f>
        <v>820519.04</v>
      </c>
    </row>
    <row r="122" customFormat="false" ht="15" hidden="false" customHeight="true" outlineLevel="0" collapsed="false">
      <c r="A122" s="3" t="str">
        <f aca="false">Cleaned_Data!A123</f>
        <v>STR-1030</v>
      </c>
      <c r="B122" s="4" t="n">
        <f aca="false">Cleaned_Data!B123</f>
        <v>45717</v>
      </c>
      <c r="C122" s="3" t="str">
        <f aca="false">Cleaned_Data!C123</f>
        <v>West</v>
      </c>
      <c r="D122" s="3" t="str">
        <f aca="false">Cleaned_Data!D123</f>
        <v>Residential</v>
      </c>
      <c r="E122" s="3" t="n">
        <f aca="false">Cleaned_Data!E123</f>
        <v>42415.47</v>
      </c>
      <c r="F122" s="3" t="n">
        <f aca="false">Cleaned_Data!F123</f>
        <v>8512</v>
      </c>
      <c r="G122" s="3" t="n">
        <f aca="false">Cleaned_Data!G123</f>
        <v>0.133</v>
      </c>
      <c r="H122" s="3" t="n">
        <f aca="false">Cleaned_Data!H123</f>
        <v>18</v>
      </c>
      <c r="I122" s="3" t="n">
        <f aca="false">Cleaned_Data!I123</f>
        <v>96.8</v>
      </c>
      <c r="J122" s="3" t="n">
        <f aca="false">Cleaned_Data!J123</f>
        <v>14.95</v>
      </c>
      <c r="K122" s="3" t="n">
        <f aca="false">Cleaned_Data!K123</f>
        <v>0</v>
      </c>
      <c r="L122" s="3" t="n">
        <f aca="false">Cleaned_Data!L123</f>
        <v>4.6</v>
      </c>
      <c r="M122" s="3" t="n">
        <f aca="false">Dummy_Variables!E123</f>
        <v>0</v>
      </c>
      <c r="N122" s="3" t="n">
        <f aca="false">Dummy_Variables!F123</f>
        <v>0</v>
      </c>
      <c r="O122" s="3" t="n">
        <f aca="false">Dummy_Variables!G123</f>
        <v>1</v>
      </c>
      <c r="P122" s="3" t="n">
        <f aca="false">Dummy_Variables!H123</f>
        <v>0</v>
      </c>
      <c r="Q122" s="3" t="n">
        <f aca="false">Dummy_Variables!I123</f>
        <v>0</v>
      </c>
      <c r="R122" s="3" t="n">
        <f aca="false">Dummy_Variables!J123</f>
        <v>1</v>
      </c>
      <c r="S122" s="3" t="n">
        <f aca="false">Cleaned_Data!M123</f>
        <v>684217.32</v>
      </c>
    </row>
    <row r="123" customFormat="false" ht="15" hidden="false" customHeight="true" outlineLevel="0" collapsed="false">
      <c r="A123" s="3" t="str">
        <f aca="false">Cleaned_Data!A124</f>
        <v>STR-1030</v>
      </c>
      <c r="B123" s="4" t="n">
        <f aca="false">Cleaned_Data!B124</f>
        <v>45748</v>
      </c>
      <c r="C123" s="3" t="str">
        <f aca="false">Cleaned_Data!C124</f>
        <v>West</v>
      </c>
      <c r="D123" s="3" t="str">
        <f aca="false">Cleaned_Data!D124</f>
        <v>Residential</v>
      </c>
      <c r="E123" s="3" t="n">
        <f aca="false">Cleaned_Data!E124</f>
        <v>54968.98</v>
      </c>
      <c r="F123" s="3" t="n">
        <f aca="false">Cleaned_Data!F124</f>
        <v>7816</v>
      </c>
      <c r="G123" s="3" t="n">
        <f aca="false">Cleaned_Data!G124</f>
        <v>0.232</v>
      </c>
      <c r="H123" s="3" t="n">
        <f aca="false">Cleaned_Data!H124</f>
        <v>19</v>
      </c>
      <c r="I123" s="3" t="n">
        <f aca="false">Cleaned_Data!I124</f>
        <v>95.7</v>
      </c>
      <c r="J123" s="3" t="n">
        <f aca="false">Cleaned_Data!J124</f>
        <v>7.85</v>
      </c>
      <c r="K123" s="3" t="n">
        <f aca="false">Cleaned_Data!K124</f>
        <v>0</v>
      </c>
      <c r="L123" s="3" t="n">
        <f aca="false">Cleaned_Data!L124</f>
        <v>4.7</v>
      </c>
      <c r="M123" s="3" t="n">
        <f aca="false">Dummy_Variables!E124</f>
        <v>0</v>
      </c>
      <c r="N123" s="3" t="n">
        <f aca="false">Dummy_Variables!F124</f>
        <v>0</v>
      </c>
      <c r="O123" s="3" t="n">
        <f aca="false">Dummy_Variables!G124</f>
        <v>1</v>
      </c>
      <c r="P123" s="3" t="n">
        <f aca="false">Dummy_Variables!H124</f>
        <v>0</v>
      </c>
      <c r="Q123" s="3" t="n">
        <f aca="false">Dummy_Variables!I124</f>
        <v>0</v>
      </c>
      <c r="R123" s="3" t="n">
        <f aca="false">Dummy_Variables!J124</f>
        <v>1</v>
      </c>
      <c r="S123" s="3" t="n">
        <f aca="false">Cleaned_Data!M124</f>
        <v>735480.19</v>
      </c>
    </row>
    <row r="124" customFormat="false" ht="15" hidden="false" customHeight="true" outlineLevel="0" collapsed="false">
      <c r="A124" s="3" t="str">
        <f aca="false">Cleaned_Data!A125</f>
        <v>STR-1031</v>
      </c>
      <c r="B124" s="4" t="n">
        <f aca="false">Cleaned_Data!B125</f>
        <v>45658</v>
      </c>
      <c r="C124" s="3" t="str">
        <f aca="false">Cleaned_Data!C125</f>
        <v>North</v>
      </c>
      <c r="D124" s="3" t="str">
        <f aca="false">Cleaned_Data!D125</f>
        <v>High Street</v>
      </c>
      <c r="E124" s="3" t="n">
        <f aca="false">Cleaned_Data!E125</f>
        <v>43896.13</v>
      </c>
      <c r="F124" s="3" t="n">
        <f aca="false">Cleaned_Data!F125</f>
        <v>3853</v>
      </c>
      <c r="G124" s="3" t="n">
        <f aca="false">Cleaned_Data!G125</f>
        <v>0.088</v>
      </c>
      <c r="H124" s="3" t="n">
        <f aca="false">Cleaned_Data!H125</f>
        <v>13</v>
      </c>
      <c r="I124" s="3" t="n">
        <f aca="false">Cleaned_Data!I125</f>
        <v>83</v>
      </c>
      <c r="J124" s="3" t="n">
        <f aca="false">Cleaned_Data!J125</f>
        <v>6.8</v>
      </c>
      <c r="K124" s="3" t="n">
        <f aca="false">Cleaned_Data!K125</f>
        <v>0</v>
      </c>
      <c r="L124" s="3" t="n">
        <f aca="false">Cleaned_Data!L125</f>
        <v>4.4</v>
      </c>
      <c r="M124" s="3" t="n">
        <f aca="false">Dummy_Variables!E125</f>
        <v>0</v>
      </c>
      <c r="N124" s="3" t="n">
        <f aca="false">Dummy_Variables!F125</f>
        <v>0</v>
      </c>
      <c r="O124" s="3" t="n">
        <f aca="false">Dummy_Variables!G125</f>
        <v>0</v>
      </c>
      <c r="P124" s="3" t="n">
        <f aca="false">Dummy_Variables!H125</f>
        <v>1</v>
      </c>
      <c r="Q124" s="3" t="n">
        <f aca="false">Dummy_Variables!I125</f>
        <v>0</v>
      </c>
      <c r="R124" s="3" t="n">
        <f aca="false">Dummy_Variables!J125</f>
        <v>0</v>
      </c>
      <c r="S124" s="3" t="n">
        <f aca="false">Cleaned_Data!M125</f>
        <v>509484.81</v>
      </c>
    </row>
    <row r="125" customFormat="false" ht="15" hidden="false" customHeight="true" outlineLevel="0" collapsed="false">
      <c r="A125" s="3" t="str">
        <f aca="false">Cleaned_Data!A126</f>
        <v>STR-1031</v>
      </c>
      <c r="B125" s="4" t="n">
        <f aca="false">Cleaned_Data!B126</f>
        <v>45689</v>
      </c>
      <c r="C125" s="3" t="str">
        <f aca="false">Cleaned_Data!C126</f>
        <v>North</v>
      </c>
      <c r="D125" s="3" t="str">
        <f aca="false">Cleaned_Data!D126</f>
        <v>High Street</v>
      </c>
      <c r="E125" s="3" t="n">
        <f aca="false">Cleaned_Data!E126</f>
        <v>83044.17</v>
      </c>
      <c r="F125" s="3" t="n">
        <f aca="false">Cleaned_Data!F126</f>
        <v>3694</v>
      </c>
      <c r="G125" s="3" t="n">
        <f aca="false">Cleaned_Data!G126</f>
        <v>0</v>
      </c>
      <c r="H125" s="3" t="n">
        <f aca="false">Cleaned_Data!H126</f>
        <v>14</v>
      </c>
      <c r="I125" s="3" t="n">
        <f aca="false">Cleaned_Data!I126</f>
        <v>89.4</v>
      </c>
      <c r="J125" s="3" t="n">
        <f aca="false">Cleaned_Data!J126</f>
        <v>2.2</v>
      </c>
      <c r="K125" s="3" t="n">
        <f aca="false">Cleaned_Data!K126</f>
        <v>0</v>
      </c>
      <c r="L125" s="3" t="n">
        <f aca="false">Cleaned_Data!L126</f>
        <v>3.7</v>
      </c>
      <c r="M125" s="3" t="n">
        <f aca="false">Dummy_Variables!E126</f>
        <v>0</v>
      </c>
      <c r="N125" s="3" t="n">
        <f aca="false">Dummy_Variables!F126</f>
        <v>0</v>
      </c>
      <c r="O125" s="3" t="n">
        <f aca="false">Dummy_Variables!G126</f>
        <v>0</v>
      </c>
      <c r="P125" s="3" t="n">
        <f aca="false">Dummy_Variables!H126</f>
        <v>1</v>
      </c>
      <c r="Q125" s="3" t="n">
        <f aca="false">Dummy_Variables!I126</f>
        <v>0</v>
      </c>
      <c r="R125" s="3" t="n">
        <f aca="false">Dummy_Variables!J126</f>
        <v>0</v>
      </c>
      <c r="S125" s="3" t="n">
        <f aca="false">Cleaned_Data!M126</f>
        <v>654317.09</v>
      </c>
    </row>
    <row r="126" customFormat="false" ht="15" hidden="false" customHeight="true" outlineLevel="0" collapsed="false">
      <c r="A126" s="3" t="str">
        <f aca="false">Cleaned_Data!A127</f>
        <v>STR-1031</v>
      </c>
      <c r="B126" s="4" t="n">
        <f aca="false">Cleaned_Data!B127</f>
        <v>45717</v>
      </c>
      <c r="C126" s="3" t="str">
        <f aca="false">Cleaned_Data!C127</f>
        <v>North</v>
      </c>
      <c r="D126" s="3" t="str">
        <f aca="false">Cleaned_Data!D127</f>
        <v>High Street</v>
      </c>
      <c r="E126" s="3" t="n">
        <f aca="false">Cleaned_Data!E127</f>
        <v>48396.13</v>
      </c>
      <c r="F126" s="3" t="n">
        <f aca="false">Cleaned_Data!F127</f>
        <v>4423</v>
      </c>
      <c r="G126" s="3" t="n">
        <f aca="false">Cleaned_Data!G127</f>
        <v>0.069</v>
      </c>
      <c r="H126" s="3" t="n">
        <f aca="false">Cleaned_Data!H127</f>
        <v>15</v>
      </c>
      <c r="I126" s="3" t="n">
        <f aca="false">Cleaned_Data!I127</f>
        <v>85.7</v>
      </c>
      <c r="J126" s="3" t="n">
        <f aca="false">Cleaned_Data!J127</f>
        <v>1.88</v>
      </c>
      <c r="K126" s="3" t="n">
        <f aca="false">Cleaned_Data!K127</f>
        <v>0</v>
      </c>
      <c r="L126" s="3" t="n">
        <f aca="false">Cleaned_Data!L127</f>
        <v>3.9</v>
      </c>
      <c r="M126" s="3" t="n">
        <f aca="false">Dummy_Variables!E127</f>
        <v>0</v>
      </c>
      <c r="N126" s="3" t="n">
        <f aca="false">Dummy_Variables!F127</f>
        <v>0</v>
      </c>
      <c r="O126" s="3" t="n">
        <f aca="false">Dummy_Variables!G127</f>
        <v>0</v>
      </c>
      <c r="P126" s="3" t="n">
        <f aca="false">Dummy_Variables!H127</f>
        <v>1</v>
      </c>
      <c r="Q126" s="3" t="n">
        <f aca="false">Dummy_Variables!I127</f>
        <v>0</v>
      </c>
      <c r="R126" s="3" t="n">
        <f aca="false">Dummy_Variables!J127</f>
        <v>0</v>
      </c>
      <c r="S126" s="3" t="n">
        <f aca="false">Cleaned_Data!M127</f>
        <v>557487.26</v>
      </c>
    </row>
    <row r="127" customFormat="false" ht="15" hidden="false" customHeight="true" outlineLevel="0" collapsed="false">
      <c r="A127" s="3" t="str">
        <f aca="false">Cleaned_Data!A128</f>
        <v>STR-1031</v>
      </c>
      <c r="B127" s="4" t="n">
        <f aca="false">Cleaned_Data!B128</f>
        <v>45748</v>
      </c>
      <c r="C127" s="3" t="str">
        <f aca="false">Cleaned_Data!C128</f>
        <v>North</v>
      </c>
      <c r="D127" s="3" t="str">
        <f aca="false">Cleaned_Data!D128</f>
        <v>High Street</v>
      </c>
      <c r="E127" s="3" t="n">
        <f aca="false">Cleaned_Data!E128</f>
        <v>19063.48</v>
      </c>
      <c r="F127" s="3" t="n">
        <f aca="false">Cleaned_Data!F128</f>
        <v>1906</v>
      </c>
      <c r="G127" s="3" t="n">
        <f aca="false">Cleaned_Data!G128</f>
        <v>0.216</v>
      </c>
      <c r="H127" s="3" t="n">
        <f aca="false">Cleaned_Data!H128</f>
        <v>10</v>
      </c>
      <c r="I127" s="3" t="n">
        <f aca="false">Cleaned_Data!I128</f>
        <v>97.8</v>
      </c>
      <c r="J127" s="3" t="n">
        <f aca="false">Cleaned_Data!J128</f>
        <v>15.79</v>
      </c>
      <c r="K127" s="3" t="n">
        <f aca="false">Cleaned_Data!K128</f>
        <v>0</v>
      </c>
      <c r="L127" s="3" t="n">
        <f aca="false">Cleaned_Data!L128</f>
        <v>4.4</v>
      </c>
      <c r="M127" s="3" t="n">
        <f aca="false">Dummy_Variables!E128</f>
        <v>0</v>
      </c>
      <c r="N127" s="3" t="n">
        <f aca="false">Dummy_Variables!F128</f>
        <v>0</v>
      </c>
      <c r="O127" s="3" t="n">
        <f aca="false">Dummy_Variables!G128</f>
        <v>0</v>
      </c>
      <c r="P127" s="3" t="n">
        <f aca="false">Dummy_Variables!H128</f>
        <v>1</v>
      </c>
      <c r="Q127" s="3" t="n">
        <f aca="false">Dummy_Variables!I128</f>
        <v>0</v>
      </c>
      <c r="R127" s="3" t="n">
        <f aca="false">Dummy_Variables!J128</f>
        <v>0</v>
      </c>
      <c r="S127" s="3" t="n">
        <f aca="false">Cleaned_Data!M128</f>
        <v>441275.42</v>
      </c>
    </row>
    <row r="128" customFormat="false" ht="15" hidden="false" customHeight="true" outlineLevel="0" collapsed="false">
      <c r="A128" s="3" t="str">
        <f aca="false">Cleaned_Data!A129</f>
        <v>STR-1032</v>
      </c>
      <c r="B128" s="4" t="n">
        <f aca="false">Cleaned_Data!B129</f>
        <v>45658</v>
      </c>
      <c r="C128" s="3" t="str">
        <f aca="false">Cleaned_Data!C129</f>
        <v>South</v>
      </c>
      <c r="D128" s="3" t="str">
        <f aca="false">Cleaned_Data!D129</f>
        <v>High Street</v>
      </c>
      <c r="E128" s="3" t="n">
        <f aca="false">Cleaned_Data!E129</f>
        <v>61541.21</v>
      </c>
      <c r="F128" s="3" t="n">
        <f aca="false">Cleaned_Data!F129</f>
        <v>10396</v>
      </c>
      <c r="G128" s="3" t="n">
        <f aca="false">Cleaned_Data!G129</f>
        <v>0.123</v>
      </c>
      <c r="H128" s="3" t="n">
        <f aca="false">Cleaned_Data!H129</f>
        <v>25</v>
      </c>
      <c r="I128" s="3" t="n">
        <f aca="false">Cleaned_Data!I129</f>
        <v>88.1</v>
      </c>
      <c r="J128" s="3" t="n">
        <f aca="false">Cleaned_Data!J129</f>
        <v>2.34</v>
      </c>
      <c r="K128" s="3" t="n">
        <f aca="false">Cleaned_Data!K129</f>
        <v>1</v>
      </c>
      <c r="L128" s="3" t="n">
        <f aca="false">Cleaned_Data!L129</f>
        <v>4.8</v>
      </c>
      <c r="M128" s="3" t="n">
        <f aca="false">Dummy_Variables!E129</f>
        <v>0</v>
      </c>
      <c r="N128" s="3" t="n">
        <f aca="false">Dummy_Variables!F129</f>
        <v>0</v>
      </c>
      <c r="O128" s="3" t="n">
        <f aca="false">Dummy_Variables!G129</f>
        <v>0</v>
      </c>
      <c r="P128" s="3" t="n">
        <f aca="false">Dummy_Variables!H129</f>
        <v>0</v>
      </c>
      <c r="Q128" s="3" t="n">
        <f aca="false">Dummy_Variables!I129</f>
        <v>1</v>
      </c>
      <c r="R128" s="3" t="n">
        <f aca="false">Dummy_Variables!J129</f>
        <v>0</v>
      </c>
      <c r="S128" s="3" t="n">
        <f aca="false">Cleaned_Data!M129</f>
        <v>914544.17</v>
      </c>
    </row>
    <row r="129" customFormat="false" ht="15" hidden="false" customHeight="true" outlineLevel="0" collapsed="false">
      <c r="A129" s="3" t="str">
        <f aca="false">Cleaned_Data!A130</f>
        <v>STR-1032</v>
      </c>
      <c r="B129" s="4" t="n">
        <f aca="false">Cleaned_Data!B130</f>
        <v>45689</v>
      </c>
      <c r="C129" s="3" t="str">
        <f aca="false">Cleaned_Data!C130</f>
        <v>South</v>
      </c>
      <c r="D129" s="3" t="str">
        <f aca="false">Cleaned_Data!D130</f>
        <v>High Street</v>
      </c>
      <c r="E129" s="3" t="n">
        <f aca="false">Cleaned_Data!E130</f>
        <v>44747</v>
      </c>
      <c r="F129" s="3" t="n">
        <f aca="false">Cleaned_Data!F130</f>
        <v>11076</v>
      </c>
      <c r="G129" s="3" t="n">
        <f aca="false">Cleaned_Data!G130</f>
        <v>0.176</v>
      </c>
      <c r="H129" s="3" t="n">
        <f aca="false">Cleaned_Data!H130</f>
        <v>27</v>
      </c>
      <c r="I129" s="3" t="n">
        <f aca="false">Cleaned_Data!I130</f>
        <v>98.3</v>
      </c>
      <c r="J129" s="3" t="n">
        <f aca="false">Cleaned_Data!J130</f>
        <v>0.54</v>
      </c>
      <c r="K129" s="3" t="n">
        <f aca="false">Cleaned_Data!K130</f>
        <v>0</v>
      </c>
      <c r="L129" s="3" t="n">
        <f aca="false">Cleaned_Data!L130</f>
        <v>4.4</v>
      </c>
      <c r="M129" s="3" t="n">
        <f aca="false">Dummy_Variables!E130</f>
        <v>0</v>
      </c>
      <c r="N129" s="3" t="n">
        <f aca="false">Dummy_Variables!F130</f>
        <v>0</v>
      </c>
      <c r="O129" s="3" t="n">
        <f aca="false">Dummy_Variables!G130</f>
        <v>0</v>
      </c>
      <c r="P129" s="3" t="n">
        <f aca="false">Dummy_Variables!H130</f>
        <v>0</v>
      </c>
      <c r="Q129" s="3" t="n">
        <f aca="false">Dummy_Variables!I130</f>
        <v>1</v>
      </c>
      <c r="R129" s="3" t="n">
        <f aca="false">Dummy_Variables!J130</f>
        <v>0</v>
      </c>
      <c r="S129" s="3" t="n">
        <f aca="false">Cleaned_Data!M130</f>
        <v>842439.67</v>
      </c>
    </row>
    <row r="130" customFormat="false" ht="15" hidden="false" customHeight="true" outlineLevel="0" collapsed="false">
      <c r="A130" s="3" t="str">
        <f aca="false">Cleaned_Data!A131</f>
        <v>STR-1032</v>
      </c>
      <c r="B130" s="4" t="n">
        <f aca="false">Cleaned_Data!B131</f>
        <v>45717</v>
      </c>
      <c r="C130" s="3" t="str">
        <f aca="false">Cleaned_Data!C131</f>
        <v>South</v>
      </c>
      <c r="D130" s="3" t="str">
        <f aca="false">Cleaned_Data!D131</f>
        <v>High Street</v>
      </c>
      <c r="E130" s="3" t="n">
        <f aca="false">Cleaned_Data!E131</f>
        <v>56517.9</v>
      </c>
      <c r="F130" s="3" t="n">
        <f aca="false">Cleaned_Data!F131</f>
        <v>9574</v>
      </c>
      <c r="G130" s="3" t="n">
        <f aca="false">Cleaned_Data!G131</f>
        <v>0.204</v>
      </c>
      <c r="H130" s="3" t="n">
        <f aca="false">Cleaned_Data!H131</f>
        <v>20</v>
      </c>
      <c r="I130" s="3" t="n">
        <f aca="false">Cleaned_Data!I131</f>
        <v>88.2</v>
      </c>
      <c r="J130" s="3" t="n">
        <f aca="false">Cleaned_Data!J131</f>
        <v>5.37</v>
      </c>
      <c r="K130" s="3" t="n">
        <f aca="false">Cleaned_Data!K131</f>
        <v>1</v>
      </c>
      <c r="L130" s="3" t="n">
        <f aca="false">Cleaned_Data!L131</f>
        <v>4.9</v>
      </c>
      <c r="M130" s="3" t="n">
        <f aca="false">Dummy_Variables!E131</f>
        <v>0</v>
      </c>
      <c r="N130" s="3" t="n">
        <f aca="false">Dummy_Variables!F131</f>
        <v>0</v>
      </c>
      <c r="O130" s="3" t="n">
        <f aca="false">Dummy_Variables!G131</f>
        <v>0</v>
      </c>
      <c r="P130" s="3" t="n">
        <f aca="false">Dummy_Variables!H131</f>
        <v>0</v>
      </c>
      <c r="Q130" s="3" t="n">
        <f aca="false">Dummy_Variables!I131</f>
        <v>1</v>
      </c>
      <c r="R130" s="3" t="n">
        <f aca="false">Dummy_Variables!J131</f>
        <v>0</v>
      </c>
      <c r="S130" s="3" t="n">
        <f aca="false">Cleaned_Data!M131</f>
        <v>842157.92</v>
      </c>
    </row>
    <row r="131" customFormat="false" ht="15" hidden="false" customHeight="true" outlineLevel="0" collapsed="false">
      <c r="A131" s="3" t="str">
        <f aca="false">Cleaned_Data!A132</f>
        <v>STR-1032</v>
      </c>
      <c r="B131" s="4" t="n">
        <f aca="false">Cleaned_Data!B132</f>
        <v>45748</v>
      </c>
      <c r="C131" s="3" t="str">
        <f aca="false">Cleaned_Data!C132</f>
        <v>South</v>
      </c>
      <c r="D131" s="3" t="str">
        <f aca="false">Cleaned_Data!D132</f>
        <v>High Street</v>
      </c>
      <c r="E131" s="3" t="n">
        <f aca="false">Cleaned_Data!E132</f>
        <v>37828.5</v>
      </c>
      <c r="F131" s="3" t="n">
        <f aca="false">Cleaned_Data!F132</f>
        <v>8221</v>
      </c>
      <c r="G131" s="3" t="n">
        <f aca="false">Cleaned_Data!G132</f>
        <v>0.096</v>
      </c>
      <c r="H131" s="3" t="n">
        <f aca="false">Cleaned_Data!H132</f>
        <v>19</v>
      </c>
      <c r="I131" s="3" t="n">
        <f aca="false">Cleaned_Data!I132</f>
        <v>81.5</v>
      </c>
      <c r="J131" s="3" t="n">
        <f aca="false">Cleaned_Data!J132</f>
        <v>3.19</v>
      </c>
      <c r="K131" s="3" t="n">
        <f aca="false">Cleaned_Data!K132</f>
        <v>0</v>
      </c>
      <c r="L131" s="3" t="n">
        <f aca="false">Cleaned_Data!L132</f>
        <v>4.8</v>
      </c>
      <c r="M131" s="3" t="n">
        <f aca="false">Dummy_Variables!E132</f>
        <v>0</v>
      </c>
      <c r="N131" s="3" t="n">
        <f aca="false">Dummy_Variables!F132</f>
        <v>0</v>
      </c>
      <c r="O131" s="3" t="n">
        <f aca="false">Dummy_Variables!G132</f>
        <v>0</v>
      </c>
      <c r="P131" s="3" t="n">
        <f aca="false">Dummy_Variables!H132</f>
        <v>0</v>
      </c>
      <c r="Q131" s="3" t="n">
        <f aca="false">Dummy_Variables!I132</f>
        <v>1</v>
      </c>
      <c r="R131" s="3" t="n">
        <f aca="false">Dummy_Variables!J132</f>
        <v>0</v>
      </c>
      <c r="S131" s="3" t="n">
        <f aca="false">Cleaned_Data!M132</f>
        <v>697155.3</v>
      </c>
    </row>
    <row r="132" customFormat="false" ht="15" hidden="false" customHeight="true" outlineLevel="0" collapsed="false">
      <c r="A132" s="3" t="str">
        <f aca="false">Cleaned_Data!A133</f>
        <v>STR-1033</v>
      </c>
      <c r="B132" s="4" t="n">
        <f aca="false">Cleaned_Data!B133</f>
        <v>45658</v>
      </c>
      <c r="C132" s="3" t="str">
        <f aca="false">Cleaned_Data!C133</f>
        <v>East</v>
      </c>
      <c r="D132" s="3" t="str">
        <f aca="false">Cleaned_Data!D133</f>
        <v>High Street</v>
      </c>
      <c r="E132" s="3" t="n">
        <f aca="false">Cleaned_Data!E133</f>
        <v>66250.53</v>
      </c>
      <c r="F132" s="3" t="n">
        <f aca="false">Cleaned_Data!F133</f>
        <v>10618</v>
      </c>
      <c r="G132" s="3" t="n">
        <f aca="false">Cleaned_Data!G133</f>
        <v>0.142</v>
      </c>
      <c r="H132" s="3" t="n">
        <f aca="false">Cleaned_Data!H133</f>
        <v>27</v>
      </c>
      <c r="I132" s="3" t="n">
        <f aca="false">Cleaned_Data!I133</f>
        <v>88.3</v>
      </c>
      <c r="J132" s="3" t="n">
        <f aca="false">Cleaned_Data!J133</f>
        <v>1.1</v>
      </c>
      <c r="K132" s="3" t="n">
        <f aca="false">Cleaned_Data!K133</f>
        <v>1</v>
      </c>
      <c r="L132" s="3" t="n">
        <f aca="false">Cleaned_Data!L133</f>
        <v>4.4</v>
      </c>
      <c r="M132" s="3" t="n">
        <f aca="false">Dummy_Variables!E133</f>
        <v>0</v>
      </c>
      <c r="N132" s="3" t="n">
        <f aca="false">Dummy_Variables!F133</f>
        <v>0</v>
      </c>
      <c r="O132" s="3" t="n">
        <f aca="false">Dummy_Variables!G133</f>
        <v>0</v>
      </c>
      <c r="P132" s="3" t="n">
        <f aca="false">Dummy_Variables!H133</f>
        <v>0</v>
      </c>
      <c r="Q132" s="3" t="n">
        <f aca="false">Dummy_Variables!I133</f>
        <v>0</v>
      </c>
      <c r="R132" s="3" t="n">
        <f aca="false">Dummy_Variables!J133</f>
        <v>0</v>
      </c>
      <c r="S132" s="3" t="n">
        <f aca="false">Cleaned_Data!M133</f>
        <v>849018.3</v>
      </c>
    </row>
    <row r="133" customFormat="false" ht="15" hidden="false" customHeight="true" outlineLevel="0" collapsed="false">
      <c r="A133" s="3" t="str">
        <f aca="false">Cleaned_Data!A134</f>
        <v>STR-1033</v>
      </c>
      <c r="B133" s="4" t="n">
        <f aca="false">Cleaned_Data!B134</f>
        <v>45689</v>
      </c>
      <c r="C133" s="3" t="str">
        <f aca="false">Cleaned_Data!C134</f>
        <v>East</v>
      </c>
      <c r="D133" s="3" t="str">
        <f aca="false">Cleaned_Data!D134</f>
        <v>High Street</v>
      </c>
      <c r="E133" s="3" t="n">
        <f aca="false">Cleaned_Data!E134</f>
        <v>68410.93</v>
      </c>
      <c r="F133" s="3" t="n">
        <f aca="false">Cleaned_Data!F134</f>
        <v>10596</v>
      </c>
      <c r="G133" s="3" t="n">
        <f aca="false">Cleaned_Data!G134</f>
        <v>0.207</v>
      </c>
      <c r="H133" s="3" t="n">
        <f aca="false">Cleaned_Data!H134</f>
        <v>25</v>
      </c>
      <c r="I133" s="3" t="n">
        <f aca="false">Cleaned_Data!I134</f>
        <v>81.2</v>
      </c>
      <c r="J133" s="3" t="n">
        <f aca="false">Cleaned_Data!J134</f>
        <v>0.21</v>
      </c>
      <c r="K133" s="3" t="n">
        <f aca="false">Cleaned_Data!K134</f>
        <v>0</v>
      </c>
      <c r="L133" s="3" t="n">
        <f aca="false">Cleaned_Data!L134</f>
        <v>4</v>
      </c>
      <c r="M133" s="3" t="n">
        <f aca="false">Dummy_Variables!E134</f>
        <v>0</v>
      </c>
      <c r="N133" s="3" t="n">
        <f aca="false">Dummy_Variables!F134</f>
        <v>0</v>
      </c>
      <c r="O133" s="3" t="n">
        <f aca="false">Dummy_Variables!G134</f>
        <v>0</v>
      </c>
      <c r="P133" s="3" t="n">
        <f aca="false">Dummy_Variables!H134</f>
        <v>0</v>
      </c>
      <c r="Q133" s="3" t="n">
        <f aca="false">Dummy_Variables!I134</f>
        <v>0</v>
      </c>
      <c r="R133" s="3" t="n">
        <f aca="false">Dummy_Variables!J134</f>
        <v>0</v>
      </c>
      <c r="S133" s="3" t="n">
        <f aca="false">Cleaned_Data!M134</f>
        <v>801830.35</v>
      </c>
    </row>
    <row r="134" customFormat="false" ht="15" hidden="false" customHeight="true" outlineLevel="0" collapsed="false">
      <c r="A134" s="3" t="str">
        <f aca="false">Cleaned_Data!A135</f>
        <v>STR-1033</v>
      </c>
      <c r="B134" s="4" t="n">
        <f aca="false">Cleaned_Data!B135</f>
        <v>45717</v>
      </c>
      <c r="C134" s="3" t="str">
        <f aca="false">Cleaned_Data!C135</f>
        <v>East</v>
      </c>
      <c r="D134" s="3" t="str">
        <f aca="false">Cleaned_Data!D135</f>
        <v>High Street</v>
      </c>
      <c r="E134" s="3" t="n">
        <f aca="false">Cleaned_Data!E135</f>
        <v>50735.63</v>
      </c>
      <c r="F134" s="3" t="n">
        <f aca="false">Cleaned_Data!F135</f>
        <v>9619</v>
      </c>
      <c r="G134" s="3" t="n">
        <f aca="false">Cleaned_Data!G135</f>
        <v>0.144</v>
      </c>
      <c r="H134" s="3" t="n">
        <f aca="false">Cleaned_Data!H135</f>
        <v>19</v>
      </c>
      <c r="I134" s="3" t="n">
        <f aca="false">Cleaned_Data!I135</f>
        <v>93.8</v>
      </c>
      <c r="J134" s="3" t="n">
        <f aca="false">Cleaned_Data!J135</f>
        <v>5.12</v>
      </c>
      <c r="K134" s="3" t="n">
        <f aca="false">Cleaned_Data!K135</f>
        <v>1</v>
      </c>
      <c r="L134" s="3" t="n">
        <f aca="false">Cleaned_Data!L135</f>
        <v>4.5</v>
      </c>
      <c r="M134" s="3" t="n">
        <f aca="false">Dummy_Variables!E135</f>
        <v>0</v>
      </c>
      <c r="N134" s="3" t="n">
        <f aca="false">Dummy_Variables!F135</f>
        <v>0</v>
      </c>
      <c r="O134" s="3" t="n">
        <f aca="false">Dummy_Variables!G135</f>
        <v>0</v>
      </c>
      <c r="P134" s="3" t="n">
        <f aca="false">Dummy_Variables!H135</f>
        <v>0</v>
      </c>
      <c r="Q134" s="3" t="n">
        <f aca="false">Dummy_Variables!I135</f>
        <v>0</v>
      </c>
      <c r="R134" s="3" t="n">
        <f aca="false">Dummy_Variables!J135</f>
        <v>0</v>
      </c>
      <c r="S134" s="3" t="n">
        <f aca="false">Cleaned_Data!M135</f>
        <v>725235.28</v>
      </c>
    </row>
    <row r="135" customFormat="false" ht="15" hidden="false" customHeight="true" outlineLevel="0" collapsed="false">
      <c r="A135" s="3" t="str">
        <f aca="false">Cleaned_Data!A136</f>
        <v>STR-1033</v>
      </c>
      <c r="B135" s="4" t="n">
        <f aca="false">Cleaned_Data!B136</f>
        <v>45748</v>
      </c>
      <c r="C135" s="3" t="str">
        <f aca="false">Cleaned_Data!C136</f>
        <v>East</v>
      </c>
      <c r="D135" s="3" t="str">
        <f aca="false">Cleaned_Data!D136</f>
        <v>High Street</v>
      </c>
      <c r="E135" s="3" t="n">
        <f aca="false">Cleaned_Data!E136</f>
        <v>66455.8</v>
      </c>
      <c r="F135" s="3" t="n">
        <f aca="false">Cleaned_Data!F136</f>
        <v>10836</v>
      </c>
      <c r="G135" s="3" t="n">
        <f aca="false">Cleaned_Data!G136</f>
        <v>0.089</v>
      </c>
      <c r="H135" s="3" t="n">
        <f aca="false">Cleaned_Data!H136</f>
        <v>25</v>
      </c>
      <c r="I135" s="3" t="n">
        <f aca="false">Cleaned_Data!I136</f>
        <v>85</v>
      </c>
      <c r="J135" s="3" t="n">
        <f aca="false">Cleaned_Data!J136</f>
        <v>9.77</v>
      </c>
      <c r="K135" s="3" t="n">
        <f aca="false">Cleaned_Data!K136</f>
        <v>0</v>
      </c>
      <c r="L135" s="3" t="n">
        <f aca="false">Cleaned_Data!L136</f>
        <v>4.5</v>
      </c>
      <c r="M135" s="3" t="n">
        <f aca="false">Dummy_Variables!E136</f>
        <v>0</v>
      </c>
      <c r="N135" s="3" t="n">
        <f aca="false">Dummy_Variables!F136</f>
        <v>0</v>
      </c>
      <c r="O135" s="3" t="n">
        <f aca="false">Dummy_Variables!G136</f>
        <v>0</v>
      </c>
      <c r="P135" s="3" t="n">
        <f aca="false">Dummy_Variables!H136</f>
        <v>0</v>
      </c>
      <c r="Q135" s="3" t="n">
        <f aca="false">Dummy_Variables!I136</f>
        <v>0</v>
      </c>
      <c r="R135" s="3" t="n">
        <f aca="false">Dummy_Variables!J136</f>
        <v>0</v>
      </c>
      <c r="S135" s="3" t="n">
        <f aca="false">Cleaned_Data!M136</f>
        <v>811452.72</v>
      </c>
    </row>
    <row r="136" customFormat="false" ht="15" hidden="false" customHeight="true" outlineLevel="0" collapsed="false">
      <c r="A136" s="3" t="str">
        <f aca="false">Cleaned_Data!A137</f>
        <v>STR-1034</v>
      </c>
      <c r="B136" s="4" t="n">
        <f aca="false">Cleaned_Data!B137</f>
        <v>45658</v>
      </c>
      <c r="C136" s="3" t="str">
        <f aca="false">Cleaned_Data!C137</f>
        <v>North</v>
      </c>
      <c r="D136" s="3" t="str">
        <f aca="false">Cleaned_Data!D137</f>
        <v>High Street</v>
      </c>
      <c r="E136" s="3" t="n">
        <f aca="false">Cleaned_Data!E137</f>
        <v>70276.28</v>
      </c>
      <c r="F136" s="3" t="n">
        <f aca="false">Cleaned_Data!F137</f>
        <v>3043</v>
      </c>
      <c r="G136" s="3" t="n">
        <f aca="false">Cleaned_Data!G137</f>
        <v>0.079</v>
      </c>
      <c r="H136" s="3" t="n">
        <f aca="false">Cleaned_Data!H137</f>
        <v>9</v>
      </c>
      <c r="I136" s="3" t="n">
        <f aca="false">Cleaned_Data!I137</f>
        <v>87.9</v>
      </c>
      <c r="J136" s="3" t="n">
        <f aca="false">Cleaned_Data!J137</f>
        <v>3.77</v>
      </c>
      <c r="K136" s="3" t="n">
        <f aca="false">Cleaned_Data!K137</f>
        <v>0</v>
      </c>
      <c r="L136" s="3" t="n">
        <f aca="false">Cleaned_Data!L137</f>
        <v>4.4</v>
      </c>
      <c r="M136" s="3" t="n">
        <f aca="false">Dummy_Variables!E137</f>
        <v>0</v>
      </c>
      <c r="N136" s="3" t="n">
        <f aca="false">Dummy_Variables!F137</f>
        <v>0</v>
      </c>
      <c r="O136" s="3" t="n">
        <f aca="false">Dummy_Variables!G137</f>
        <v>0</v>
      </c>
      <c r="P136" s="3" t="n">
        <f aca="false">Dummy_Variables!H137</f>
        <v>1</v>
      </c>
      <c r="Q136" s="3" t="n">
        <f aca="false">Dummy_Variables!I137</f>
        <v>0</v>
      </c>
      <c r="R136" s="3" t="n">
        <f aca="false">Dummy_Variables!J137</f>
        <v>0</v>
      </c>
      <c r="S136" s="3" t="n">
        <f aca="false">Cleaned_Data!M137</f>
        <v>527300.13</v>
      </c>
    </row>
    <row r="137" customFormat="false" ht="15" hidden="false" customHeight="true" outlineLevel="0" collapsed="false">
      <c r="A137" s="3" t="str">
        <f aca="false">Cleaned_Data!A138</f>
        <v>STR-1034</v>
      </c>
      <c r="B137" s="4" t="n">
        <f aca="false">Cleaned_Data!B138</f>
        <v>45689</v>
      </c>
      <c r="C137" s="3" t="str">
        <f aca="false">Cleaned_Data!C138</f>
        <v>North</v>
      </c>
      <c r="D137" s="3" t="str">
        <f aca="false">Cleaned_Data!D138</f>
        <v>High Street</v>
      </c>
      <c r="E137" s="3" t="n">
        <f aca="false">Cleaned_Data!E138</f>
        <v>22071.64</v>
      </c>
      <c r="F137" s="3" t="n">
        <f aca="false">Cleaned_Data!F138</f>
        <v>1814</v>
      </c>
      <c r="G137" s="3" t="n">
        <f aca="false">Cleaned_Data!G138</f>
        <v>0.196</v>
      </c>
      <c r="H137" s="3" t="n">
        <f aca="false">Cleaned_Data!H138</f>
        <v>8</v>
      </c>
      <c r="I137" s="3" t="n">
        <f aca="false">Cleaned_Data!I138</f>
        <v>81.1</v>
      </c>
      <c r="J137" s="3" t="n">
        <f aca="false">Cleaned_Data!J138</f>
        <v>0.78</v>
      </c>
      <c r="K137" s="3" t="n">
        <f aca="false">Cleaned_Data!K138</f>
        <v>0</v>
      </c>
      <c r="L137" s="3" t="n">
        <f aca="false">Cleaned_Data!L138</f>
        <v>3.9</v>
      </c>
      <c r="M137" s="3" t="n">
        <f aca="false">Dummy_Variables!E138</f>
        <v>0</v>
      </c>
      <c r="N137" s="3" t="n">
        <f aca="false">Dummy_Variables!F138</f>
        <v>0</v>
      </c>
      <c r="O137" s="3" t="n">
        <f aca="false">Dummy_Variables!G138</f>
        <v>0</v>
      </c>
      <c r="P137" s="3" t="n">
        <f aca="false">Dummy_Variables!H138</f>
        <v>1</v>
      </c>
      <c r="Q137" s="3" t="n">
        <f aca="false">Dummy_Variables!I138</f>
        <v>0</v>
      </c>
      <c r="R137" s="3" t="n">
        <f aca="false">Dummy_Variables!J138</f>
        <v>0</v>
      </c>
      <c r="S137" s="3" t="n">
        <f aca="false">Cleaned_Data!M138</f>
        <v>400831.65</v>
      </c>
    </row>
    <row r="138" customFormat="false" ht="15" hidden="false" customHeight="true" outlineLevel="0" collapsed="false">
      <c r="A138" s="3" t="str">
        <f aca="false">Cleaned_Data!A139</f>
        <v>STR-1034</v>
      </c>
      <c r="B138" s="4" t="n">
        <f aca="false">Cleaned_Data!B139</f>
        <v>45717</v>
      </c>
      <c r="C138" s="3" t="str">
        <f aca="false">Cleaned_Data!C139</f>
        <v>North</v>
      </c>
      <c r="D138" s="3" t="str">
        <f aca="false">Cleaned_Data!D139</f>
        <v>High Street</v>
      </c>
      <c r="E138" s="3" t="n">
        <f aca="false">Cleaned_Data!E139</f>
        <v>52285.45</v>
      </c>
      <c r="F138" s="3" t="n">
        <f aca="false">Cleaned_Data!F139</f>
        <v>3618</v>
      </c>
      <c r="G138" s="3" t="n">
        <f aca="false">Cleaned_Data!G139</f>
        <v>0.086</v>
      </c>
      <c r="H138" s="3" t="n">
        <f aca="false">Cleaned_Data!H139</f>
        <v>11</v>
      </c>
      <c r="I138" s="3" t="n">
        <f aca="false">Cleaned_Data!I139</f>
        <v>95.6</v>
      </c>
      <c r="J138" s="3" t="n">
        <f aca="false">Cleaned_Data!J139</f>
        <v>5.17</v>
      </c>
      <c r="K138" s="3" t="n">
        <f aca="false">Cleaned_Data!K139</f>
        <v>1</v>
      </c>
      <c r="L138" s="3" t="n">
        <f aca="false">Cleaned_Data!L139</f>
        <v>4.4</v>
      </c>
      <c r="M138" s="3" t="n">
        <f aca="false">Dummy_Variables!E139</f>
        <v>0</v>
      </c>
      <c r="N138" s="3" t="n">
        <f aca="false">Dummy_Variables!F139</f>
        <v>0</v>
      </c>
      <c r="O138" s="3" t="n">
        <f aca="false">Dummy_Variables!G139</f>
        <v>0</v>
      </c>
      <c r="P138" s="3" t="n">
        <f aca="false">Dummy_Variables!H139</f>
        <v>1</v>
      </c>
      <c r="Q138" s="3" t="n">
        <f aca="false">Dummy_Variables!I139</f>
        <v>0</v>
      </c>
      <c r="R138" s="3" t="n">
        <f aca="false">Dummy_Variables!J139</f>
        <v>0</v>
      </c>
      <c r="S138" s="3" t="n">
        <f aca="false">Cleaned_Data!M139</f>
        <v>593247.25</v>
      </c>
    </row>
    <row r="139" customFormat="false" ht="15" hidden="false" customHeight="true" outlineLevel="0" collapsed="false">
      <c r="A139" s="3" t="str">
        <f aca="false">Cleaned_Data!A140</f>
        <v>STR-1034</v>
      </c>
      <c r="B139" s="4" t="n">
        <f aca="false">Cleaned_Data!B140</f>
        <v>45748</v>
      </c>
      <c r="C139" s="3" t="str">
        <f aca="false">Cleaned_Data!C140</f>
        <v>North</v>
      </c>
      <c r="D139" s="3" t="str">
        <f aca="false">Cleaned_Data!D140</f>
        <v>High Street</v>
      </c>
      <c r="E139" s="3" t="n">
        <f aca="false">Cleaned_Data!E140</f>
        <v>70366.76</v>
      </c>
      <c r="F139" s="3" t="n">
        <f aca="false">Cleaned_Data!F140</f>
        <v>1963</v>
      </c>
      <c r="G139" s="3" t="n">
        <f aca="false">Cleaned_Data!G140</f>
        <v>0.182</v>
      </c>
      <c r="H139" s="3" t="n">
        <f aca="false">Cleaned_Data!H140</f>
        <v>8</v>
      </c>
      <c r="I139" s="3" t="n">
        <f aca="false">Cleaned_Data!I140</f>
        <v>89.8</v>
      </c>
      <c r="J139" s="3" t="n">
        <f aca="false">Cleaned_Data!J140</f>
        <v>3.2</v>
      </c>
      <c r="K139" s="3" t="n">
        <f aca="false">Cleaned_Data!K140</f>
        <v>0</v>
      </c>
      <c r="L139" s="3" t="n">
        <f aca="false">Cleaned_Data!L140</f>
        <v>4.6</v>
      </c>
      <c r="M139" s="3" t="n">
        <f aca="false">Dummy_Variables!E140</f>
        <v>0</v>
      </c>
      <c r="N139" s="3" t="n">
        <f aca="false">Dummy_Variables!F140</f>
        <v>0</v>
      </c>
      <c r="O139" s="3" t="n">
        <f aca="false">Dummy_Variables!G140</f>
        <v>0</v>
      </c>
      <c r="P139" s="3" t="n">
        <f aca="false">Dummy_Variables!H140</f>
        <v>1</v>
      </c>
      <c r="Q139" s="3" t="n">
        <f aca="false">Dummy_Variables!I140</f>
        <v>0</v>
      </c>
      <c r="R139" s="3" t="n">
        <f aca="false">Dummy_Variables!J140</f>
        <v>0</v>
      </c>
      <c r="S139" s="3" t="n">
        <f aca="false">Cleaned_Data!M140</f>
        <v>529075.95</v>
      </c>
    </row>
    <row r="140" customFormat="false" ht="15" hidden="false" customHeight="true" outlineLevel="0" collapsed="false">
      <c r="A140" s="3" t="str">
        <f aca="false">Cleaned_Data!A141</f>
        <v>STR-1035</v>
      </c>
      <c r="B140" s="4" t="n">
        <f aca="false">Cleaned_Data!B141</f>
        <v>45658</v>
      </c>
      <c r="C140" s="3" t="str">
        <f aca="false">Cleaned_Data!C141</f>
        <v>South</v>
      </c>
      <c r="D140" s="3" t="str">
        <f aca="false">Cleaned_Data!D141</f>
        <v>Residential</v>
      </c>
      <c r="E140" s="3" t="n">
        <f aca="false">Cleaned_Data!E141</f>
        <v>71320.66</v>
      </c>
      <c r="F140" s="3" t="n">
        <f aca="false">Cleaned_Data!F141</f>
        <v>7888</v>
      </c>
      <c r="G140" s="3" t="n">
        <f aca="false">Cleaned_Data!G141</f>
        <v>0.048</v>
      </c>
      <c r="H140" s="3" t="n">
        <f aca="false">Cleaned_Data!H141</f>
        <v>20</v>
      </c>
      <c r="I140" s="3" t="n">
        <f aca="false">Cleaned_Data!I141</f>
        <v>78.1</v>
      </c>
      <c r="J140" s="3" t="n">
        <f aca="false">Cleaned_Data!J141</f>
        <v>3.4</v>
      </c>
      <c r="K140" s="3" t="n">
        <f aca="false">Cleaned_Data!K141</f>
        <v>0</v>
      </c>
      <c r="L140" s="3" t="n">
        <f aca="false">Cleaned_Data!L141</f>
        <v>3.9</v>
      </c>
      <c r="M140" s="3" t="n">
        <f aca="false">Dummy_Variables!E141</f>
        <v>0</v>
      </c>
      <c r="N140" s="3" t="n">
        <f aca="false">Dummy_Variables!F141</f>
        <v>0</v>
      </c>
      <c r="O140" s="3" t="n">
        <f aca="false">Dummy_Variables!G141</f>
        <v>1</v>
      </c>
      <c r="P140" s="3" t="n">
        <f aca="false">Dummy_Variables!H141</f>
        <v>0</v>
      </c>
      <c r="Q140" s="3" t="n">
        <f aca="false">Dummy_Variables!I141</f>
        <v>1</v>
      </c>
      <c r="R140" s="3" t="n">
        <f aca="false">Dummy_Variables!J141</f>
        <v>0</v>
      </c>
      <c r="S140" s="3" t="n">
        <f aca="false">Cleaned_Data!M141</f>
        <v>633638.03</v>
      </c>
    </row>
    <row r="141" customFormat="false" ht="15" hidden="false" customHeight="true" outlineLevel="0" collapsed="false">
      <c r="A141" s="3" t="str">
        <f aca="false">Cleaned_Data!A142</f>
        <v>STR-1035</v>
      </c>
      <c r="B141" s="4" t="n">
        <f aca="false">Cleaned_Data!B142</f>
        <v>45689</v>
      </c>
      <c r="C141" s="3" t="str">
        <f aca="false">Cleaned_Data!C142</f>
        <v>South</v>
      </c>
      <c r="D141" s="3" t="str">
        <f aca="false">Cleaned_Data!D142</f>
        <v>Residential</v>
      </c>
      <c r="E141" s="3" t="n">
        <f aca="false">Cleaned_Data!E142</f>
        <v>75109.67</v>
      </c>
      <c r="F141" s="3" t="n">
        <f aca="false">Cleaned_Data!F142</f>
        <v>6244</v>
      </c>
      <c r="G141" s="3" t="n">
        <f aca="false">Cleaned_Data!G142</f>
        <v>0.079</v>
      </c>
      <c r="H141" s="3" t="n">
        <f aca="false">Cleaned_Data!H142</f>
        <v>15</v>
      </c>
      <c r="I141" s="3" t="n">
        <f aca="false">Cleaned_Data!I142</f>
        <v>96.3</v>
      </c>
      <c r="J141" s="3" t="n">
        <f aca="false">Cleaned_Data!J142</f>
        <v>7.38</v>
      </c>
      <c r="K141" s="3" t="n">
        <f aca="false">Cleaned_Data!K142</f>
        <v>0</v>
      </c>
      <c r="L141" s="3" t="n">
        <f aca="false">Cleaned_Data!L142</f>
        <v>3.7</v>
      </c>
      <c r="M141" s="3" t="n">
        <f aca="false">Dummy_Variables!E142</f>
        <v>0</v>
      </c>
      <c r="N141" s="3" t="n">
        <f aca="false">Dummy_Variables!F142</f>
        <v>0</v>
      </c>
      <c r="O141" s="3" t="n">
        <f aca="false">Dummy_Variables!G142</f>
        <v>1</v>
      </c>
      <c r="P141" s="3" t="n">
        <f aca="false">Dummy_Variables!H142</f>
        <v>0</v>
      </c>
      <c r="Q141" s="3" t="n">
        <f aca="false">Dummy_Variables!I142</f>
        <v>1</v>
      </c>
      <c r="R141" s="3" t="n">
        <f aca="false">Dummy_Variables!J142</f>
        <v>0</v>
      </c>
      <c r="S141" s="3" t="n">
        <f aca="false">Cleaned_Data!M142</f>
        <v>743348.84</v>
      </c>
    </row>
    <row r="142" customFormat="false" ht="15" hidden="false" customHeight="true" outlineLevel="0" collapsed="false">
      <c r="A142" s="3" t="str">
        <f aca="false">Cleaned_Data!A143</f>
        <v>STR-1035</v>
      </c>
      <c r="B142" s="4" t="n">
        <f aca="false">Cleaned_Data!B143</f>
        <v>45717</v>
      </c>
      <c r="C142" s="3" t="str">
        <f aca="false">Cleaned_Data!C143</f>
        <v>South</v>
      </c>
      <c r="D142" s="3" t="str">
        <f aca="false">Cleaned_Data!D143</f>
        <v>Residential</v>
      </c>
      <c r="E142" s="3" t="n">
        <f aca="false">Cleaned_Data!E143</f>
        <v>69779</v>
      </c>
      <c r="F142" s="3" t="n">
        <f aca="false">Cleaned_Data!F143</f>
        <v>6544</v>
      </c>
      <c r="G142" s="3" t="n">
        <f aca="false">Cleaned_Data!G143</f>
        <v>0.152</v>
      </c>
      <c r="H142" s="3" t="n">
        <f aca="false">Cleaned_Data!H143</f>
        <v>18</v>
      </c>
      <c r="I142" s="3" t="n">
        <f aca="false">Cleaned_Data!I143</f>
        <v>90.2</v>
      </c>
      <c r="J142" s="3" t="n">
        <f aca="false">Cleaned_Data!J143</f>
        <v>0.85</v>
      </c>
      <c r="K142" s="3" t="n">
        <f aca="false">Cleaned_Data!K143</f>
        <v>1</v>
      </c>
      <c r="L142" s="3" t="n">
        <f aca="false">Cleaned_Data!L143</f>
        <v>3.3</v>
      </c>
      <c r="M142" s="3" t="n">
        <f aca="false">Dummy_Variables!E143</f>
        <v>0</v>
      </c>
      <c r="N142" s="3" t="n">
        <f aca="false">Dummy_Variables!F143</f>
        <v>0</v>
      </c>
      <c r="O142" s="3" t="n">
        <f aca="false">Dummy_Variables!G143</f>
        <v>1</v>
      </c>
      <c r="P142" s="3" t="n">
        <f aca="false">Dummy_Variables!H143</f>
        <v>0</v>
      </c>
      <c r="Q142" s="3" t="n">
        <f aca="false">Dummy_Variables!I143</f>
        <v>1</v>
      </c>
      <c r="R142" s="3" t="n">
        <f aca="false">Dummy_Variables!J143</f>
        <v>0</v>
      </c>
      <c r="S142" s="3" t="n">
        <f aca="false">Cleaned_Data!M143</f>
        <v>758827.64</v>
      </c>
    </row>
    <row r="143" customFormat="false" ht="15" hidden="false" customHeight="true" outlineLevel="0" collapsed="false">
      <c r="A143" s="3" t="str">
        <f aca="false">Cleaned_Data!A144</f>
        <v>STR-1035</v>
      </c>
      <c r="B143" s="4" t="n">
        <f aca="false">Cleaned_Data!B144</f>
        <v>45748</v>
      </c>
      <c r="C143" s="3" t="str">
        <f aca="false">Cleaned_Data!C144</f>
        <v>South</v>
      </c>
      <c r="D143" s="3" t="str">
        <f aca="false">Cleaned_Data!D144</f>
        <v>Residential</v>
      </c>
      <c r="E143" s="3" t="n">
        <f aca="false">Cleaned_Data!E144</f>
        <v>44211.95</v>
      </c>
      <c r="F143" s="3" t="n">
        <f aca="false">Cleaned_Data!F144</f>
        <v>5465</v>
      </c>
      <c r="G143" s="3" t="n">
        <f aca="false">Cleaned_Data!G144</f>
        <v>0.187</v>
      </c>
      <c r="H143" s="3" t="n">
        <f aca="false">Cleaned_Data!H144</f>
        <v>12</v>
      </c>
      <c r="I143" s="3" t="n">
        <f aca="false">Cleaned_Data!I144</f>
        <v>90</v>
      </c>
      <c r="J143" s="3" t="n">
        <f aca="false">Cleaned_Data!J144</f>
        <v>2.89</v>
      </c>
      <c r="K143" s="3" t="n">
        <f aca="false">Cleaned_Data!K144</f>
        <v>0</v>
      </c>
      <c r="L143" s="3" t="n">
        <f aca="false">Cleaned_Data!L144</f>
        <v>3.6</v>
      </c>
      <c r="M143" s="3" t="n">
        <f aca="false">Dummy_Variables!E144</f>
        <v>0</v>
      </c>
      <c r="N143" s="3" t="n">
        <f aca="false">Dummy_Variables!F144</f>
        <v>0</v>
      </c>
      <c r="O143" s="3" t="n">
        <f aca="false">Dummy_Variables!G144</f>
        <v>1</v>
      </c>
      <c r="P143" s="3" t="n">
        <f aca="false">Dummy_Variables!H144</f>
        <v>0</v>
      </c>
      <c r="Q143" s="3" t="n">
        <f aca="false">Dummy_Variables!I144</f>
        <v>1</v>
      </c>
      <c r="R143" s="3" t="n">
        <f aca="false">Dummy_Variables!J144</f>
        <v>0</v>
      </c>
      <c r="S143" s="3" t="n">
        <f aca="false">Cleaned_Data!M144</f>
        <v>646559.71</v>
      </c>
    </row>
    <row r="144" customFormat="false" ht="15" hidden="false" customHeight="true" outlineLevel="0" collapsed="false">
      <c r="A144" s="3" t="str">
        <f aca="false">Cleaned_Data!A145</f>
        <v>STR-1036</v>
      </c>
      <c r="B144" s="4" t="n">
        <f aca="false">Cleaned_Data!B145</f>
        <v>45658</v>
      </c>
      <c r="C144" s="3" t="str">
        <f aca="false">Cleaned_Data!C145</f>
        <v>West</v>
      </c>
      <c r="D144" s="3" t="str">
        <f aca="false">Cleaned_Data!D145</f>
        <v>High Street</v>
      </c>
      <c r="E144" s="3" t="n">
        <f aca="false">Cleaned_Data!E145</f>
        <v>51430.31</v>
      </c>
      <c r="F144" s="3" t="n">
        <f aca="false">Cleaned_Data!F145</f>
        <v>6427</v>
      </c>
      <c r="G144" s="3" t="n">
        <f aca="false">Cleaned_Data!G145</f>
        <v>0.234</v>
      </c>
      <c r="H144" s="3" t="n">
        <f aca="false">Cleaned_Data!H145</f>
        <v>14</v>
      </c>
      <c r="I144" s="3" t="n">
        <f aca="false">Cleaned_Data!I145</f>
        <v>88.8</v>
      </c>
      <c r="J144" s="3" t="n">
        <f aca="false">Cleaned_Data!J145</f>
        <v>0.77</v>
      </c>
      <c r="K144" s="3" t="n">
        <f aca="false">Cleaned_Data!K145</f>
        <v>0</v>
      </c>
      <c r="L144" s="3" t="n">
        <f aca="false">Cleaned_Data!L145</f>
        <v>4.1</v>
      </c>
      <c r="M144" s="3" t="n">
        <f aca="false">Dummy_Variables!E145</f>
        <v>0</v>
      </c>
      <c r="N144" s="3" t="n">
        <f aca="false">Dummy_Variables!F145</f>
        <v>0</v>
      </c>
      <c r="O144" s="3" t="n">
        <f aca="false">Dummy_Variables!G145</f>
        <v>0</v>
      </c>
      <c r="P144" s="3" t="n">
        <f aca="false">Dummy_Variables!H145</f>
        <v>0</v>
      </c>
      <c r="Q144" s="3" t="n">
        <f aca="false">Dummy_Variables!I145</f>
        <v>0</v>
      </c>
      <c r="R144" s="3" t="n">
        <f aca="false">Dummy_Variables!J145</f>
        <v>1</v>
      </c>
      <c r="S144" s="3" t="n">
        <f aca="false">Cleaned_Data!M145</f>
        <v>715890.53</v>
      </c>
    </row>
    <row r="145" customFormat="false" ht="15" hidden="false" customHeight="true" outlineLevel="0" collapsed="false">
      <c r="A145" s="3" t="str">
        <f aca="false">Cleaned_Data!A146</f>
        <v>STR-1036</v>
      </c>
      <c r="B145" s="4" t="n">
        <f aca="false">Cleaned_Data!B146</f>
        <v>45689</v>
      </c>
      <c r="C145" s="3" t="str">
        <f aca="false">Cleaned_Data!C146</f>
        <v>West</v>
      </c>
      <c r="D145" s="3" t="str">
        <f aca="false">Cleaned_Data!D146</f>
        <v>High Street</v>
      </c>
      <c r="E145" s="3" t="n">
        <f aca="false">Cleaned_Data!E146</f>
        <v>45706.49</v>
      </c>
      <c r="F145" s="3" t="n">
        <f aca="false">Cleaned_Data!F146</f>
        <v>6704</v>
      </c>
      <c r="G145" s="3" t="n">
        <f aca="false">Cleaned_Data!G146</f>
        <v>0.038</v>
      </c>
      <c r="H145" s="3" t="n">
        <f aca="false">Cleaned_Data!H146</f>
        <v>15</v>
      </c>
      <c r="I145" s="3" t="n">
        <f aca="false">Cleaned_Data!I146</f>
        <v>94.2</v>
      </c>
      <c r="J145" s="3" t="n">
        <f aca="false">Cleaned_Data!J146</f>
        <v>2.92</v>
      </c>
      <c r="K145" s="3" t="n">
        <f aca="false">Cleaned_Data!K146</f>
        <v>0</v>
      </c>
      <c r="L145" s="3" t="n">
        <f aca="false">Cleaned_Data!L146</f>
        <v>4.2</v>
      </c>
      <c r="M145" s="3" t="n">
        <f aca="false">Dummy_Variables!E146</f>
        <v>0</v>
      </c>
      <c r="N145" s="3" t="n">
        <f aca="false">Dummy_Variables!F146</f>
        <v>0</v>
      </c>
      <c r="O145" s="3" t="n">
        <f aca="false">Dummy_Variables!G146</f>
        <v>0</v>
      </c>
      <c r="P145" s="3" t="n">
        <f aca="false">Dummy_Variables!H146</f>
        <v>0</v>
      </c>
      <c r="Q145" s="3" t="n">
        <f aca="false">Dummy_Variables!I146</f>
        <v>0</v>
      </c>
      <c r="R145" s="3" t="n">
        <f aca="false">Dummy_Variables!J146</f>
        <v>1</v>
      </c>
      <c r="S145" s="3" t="n">
        <f aca="false">Cleaned_Data!M146</f>
        <v>715097.57</v>
      </c>
    </row>
    <row r="146" customFormat="false" ht="15" hidden="false" customHeight="true" outlineLevel="0" collapsed="false">
      <c r="A146" s="3" t="str">
        <f aca="false">Cleaned_Data!A147</f>
        <v>STR-1036</v>
      </c>
      <c r="B146" s="4" t="n">
        <f aca="false">Cleaned_Data!B147</f>
        <v>45717</v>
      </c>
      <c r="C146" s="3" t="str">
        <f aca="false">Cleaned_Data!C147</f>
        <v>West</v>
      </c>
      <c r="D146" s="3" t="str">
        <f aca="false">Cleaned_Data!D147</f>
        <v>High Street</v>
      </c>
      <c r="E146" s="3" t="n">
        <f aca="false">Cleaned_Data!E147</f>
        <v>44034.6</v>
      </c>
      <c r="F146" s="3" t="n">
        <f aca="false">Cleaned_Data!F147</f>
        <v>5645</v>
      </c>
      <c r="G146" s="3" t="n">
        <f aca="false">Cleaned_Data!G147</f>
        <v>0.069</v>
      </c>
      <c r="H146" s="3" t="n">
        <f aca="false">Cleaned_Data!H147</f>
        <v>18</v>
      </c>
      <c r="I146" s="3" t="n">
        <f aca="false">Cleaned_Data!I147</f>
        <v>88.5</v>
      </c>
      <c r="J146" s="3" t="n">
        <f aca="false">Cleaned_Data!J147</f>
        <v>3.07</v>
      </c>
      <c r="K146" s="3" t="n">
        <f aca="false">Cleaned_Data!K147</f>
        <v>0</v>
      </c>
      <c r="L146" s="3" t="n">
        <f aca="false">Cleaned_Data!L147</f>
        <v>3.8</v>
      </c>
      <c r="M146" s="3" t="n">
        <f aca="false">Dummy_Variables!E147</f>
        <v>0</v>
      </c>
      <c r="N146" s="3" t="n">
        <f aca="false">Dummy_Variables!F147</f>
        <v>0</v>
      </c>
      <c r="O146" s="3" t="n">
        <f aca="false">Dummy_Variables!G147</f>
        <v>0</v>
      </c>
      <c r="P146" s="3" t="n">
        <f aca="false">Dummy_Variables!H147</f>
        <v>0</v>
      </c>
      <c r="Q146" s="3" t="n">
        <f aca="false">Dummy_Variables!I147</f>
        <v>0</v>
      </c>
      <c r="R146" s="3" t="n">
        <f aca="false">Dummy_Variables!J147</f>
        <v>1</v>
      </c>
      <c r="S146" s="3" t="n">
        <f aca="false">Cleaned_Data!M147</f>
        <v>682639.28</v>
      </c>
    </row>
    <row r="147" customFormat="false" ht="15" hidden="false" customHeight="true" outlineLevel="0" collapsed="false">
      <c r="A147" s="3" t="str">
        <f aca="false">Cleaned_Data!A148</f>
        <v>STR-1036</v>
      </c>
      <c r="B147" s="4" t="n">
        <f aca="false">Cleaned_Data!B148</f>
        <v>45748</v>
      </c>
      <c r="C147" s="3" t="str">
        <f aca="false">Cleaned_Data!C148</f>
        <v>West</v>
      </c>
      <c r="D147" s="3" t="str">
        <f aca="false">Cleaned_Data!D148</f>
        <v>High Street</v>
      </c>
      <c r="E147" s="3" t="n">
        <f aca="false">Cleaned_Data!E148</f>
        <v>50198.12</v>
      </c>
      <c r="F147" s="3" t="n">
        <f aca="false">Cleaned_Data!F148</f>
        <v>6089</v>
      </c>
      <c r="G147" s="3" t="n">
        <f aca="false">Cleaned_Data!G148</f>
        <v>0.182</v>
      </c>
      <c r="H147" s="3" t="n">
        <f aca="false">Cleaned_Data!H148</f>
        <v>19</v>
      </c>
      <c r="I147" s="3" t="n">
        <f aca="false">Cleaned_Data!I148</f>
        <v>94</v>
      </c>
      <c r="J147" s="3" t="n">
        <f aca="false">Cleaned_Data!J148</f>
        <v>9.7</v>
      </c>
      <c r="K147" s="3" t="n">
        <f aca="false">Cleaned_Data!K148</f>
        <v>0</v>
      </c>
      <c r="L147" s="3" t="n">
        <f aca="false">Cleaned_Data!L148</f>
        <v>3.9</v>
      </c>
      <c r="M147" s="3" t="n">
        <f aca="false">Dummy_Variables!E148</f>
        <v>0</v>
      </c>
      <c r="N147" s="3" t="n">
        <f aca="false">Dummy_Variables!F148</f>
        <v>0</v>
      </c>
      <c r="O147" s="3" t="n">
        <f aca="false">Dummy_Variables!G148</f>
        <v>0</v>
      </c>
      <c r="P147" s="3" t="n">
        <f aca="false">Dummy_Variables!H148</f>
        <v>0</v>
      </c>
      <c r="Q147" s="3" t="n">
        <f aca="false">Dummy_Variables!I148</f>
        <v>0</v>
      </c>
      <c r="R147" s="3" t="n">
        <f aca="false">Dummy_Variables!J148</f>
        <v>1</v>
      </c>
      <c r="S147" s="3" t="n">
        <f aca="false">Cleaned_Data!M148</f>
        <v>695098.51</v>
      </c>
    </row>
    <row r="148" customFormat="false" ht="15" hidden="false" customHeight="true" outlineLevel="0" collapsed="false">
      <c r="A148" s="3" t="str">
        <f aca="false">Cleaned_Data!A149</f>
        <v>STR-1037</v>
      </c>
      <c r="B148" s="4" t="n">
        <f aca="false">Cleaned_Data!B149</f>
        <v>45658</v>
      </c>
      <c r="C148" s="3" t="str">
        <f aca="false">Cleaned_Data!C149</f>
        <v>North</v>
      </c>
      <c r="D148" s="3" t="str">
        <f aca="false">Cleaned_Data!D149</f>
        <v>Residential</v>
      </c>
      <c r="E148" s="3" t="n">
        <f aca="false">Cleaned_Data!E149</f>
        <v>70488.2</v>
      </c>
      <c r="F148" s="3" t="n">
        <f aca="false">Cleaned_Data!F149</f>
        <v>4312</v>
      </c>
      <c r="G148" s="3" t="n">
        <f aca="false">Cleaned_Data!G149</f>
        <v>0.169</v>
      </c>
      <c r="H148" s="3" t="n">
        <f aca="false">Cleaned_Data!H149</f>
        <v>12</v>
      </c>
      <c r="I148" s="3" t="n">
        <f aca="false">Cleaned_Data!I149</f>
        <v>90.2</v>
      </c>
      <c r="J148" s="3" t="n">
        <f aca="false">Cleaned_Data!J149</f>
        <v>3.71</v>
      </c>
      <c r="K148" s="3" t="n">
        <f aca="false">Cleaned_Data!K149</f>
        <v>0</v>
      </c>
      <c r="L148" s="3" t="n">
        <f aca="false">Cleaned_Data!L149</f>
        <v>3.2</v>
      </c>
      <c r="M148" s="3" t="n">
        <f aca="false">Dummy_Variables!E149</f>
        <v>0</v>
      </c>
      <c r="N148" s="3" t="n">
        <f aca="false">Dummy_Variables!F149</f>
        <v>0</v>
      </c>
      <c r="O148" s="3" t="n">
        <f aca="false">Dummy_Variables!G149</f>
        <v>1</v>
      </c>
      <c r="P148" s="3" t="n">
        <f aca="false">Dummy_Variables!H149</f>
        <v>1</v>
      </c>
      <c r="Q148" s="3" t="n">
        <f aca="false">Dummy_Variables!I149</f>
        <v>0</v>
      </c>
      <c r="R148" s="3" t="n">
        <f aca="false">Dummy_Variables!J149</f>
        <v>0</v>
      </c>
      <c r="S148" s="3" t="n">
        <f aca="false">Cleaned_Data!M149</f>
        <v>577732.57</v>
      </c>
    </row>
    <row r="149" customFormat="false" ht="15" hidden="false" customHeight="true" outlineLevel="0" collapsed="false">
      <c r="A149" s="3" t="str">
        <f aca="false">Cleaned_Data!A150</f>
        <v>STR-1037</v>
      </c>
      <c r="B149" s="4" t="n">
        <f aca="false">Cleaned_Data!B150</f>
        <v>45689</v>
      </c>
      <c r="C149" s="3" t="str">
        <f aca="false">Cleaned_Data!C150</f>
        <v>North</v>
      </c>
      <c r="D149" s="3" t="str">
        <f aca="false">Cleaned_Data!D150</f>
        <v>Residential</v>
      </c>
      <c r="E149" s="3" t="n">
        <f aca="false">Cleaned_Data!E150</f>
        <v>50909.27</v>
      </c>
      <c r="F149" s="3" t="n">
        <f aca="false">Cleaned_Data!F150</f>
        <v>3152</v>
      </c>
      <c r="G149" s="3" t="n">
        <f aca="false">Cleaned_Data!G150</f>
        <v>0.06</v>
      </c>
      <c r="H149" s="3" t="n">
        <f aca="false">Cleaned_Data!H150</f>
        <v>13</v>
      </c>
      <c r="I149" s="3" t="n">
        <f aca="false">Cleaned_Data!I150</f>
        <v>93.7</v>
      </c>
      <c r="J149" s="3" t="n">
        <f aca="false">Cleaned_Data!J150</f>
        <v>10.79</v>
      </c>
      <c r="K149" s="3" t="n">
        <f aca="false">Cleaned_Data!K150</f>
        <v>0</v>
      </c>
      <c r="L149" s="3" t="n">
        <f aca="false">Cleaned_Data!L150</f>
        <v>3.5</v>
      </c>
      <c r="M149" s="3" t="n">
        <f aca="false">Dummy_Variables!E150</f>
        <v>0</v>
      </c>
      <c r="N149" s="3" t="n">
        <f aca="false">Dummy_Variables!F150</f>
        <v>0</v>
      </c>
      <c r="O149" s="3" t="n">
        <f aca="false">Dummy_Variables!G150</f>
        <v>1</v>
      </c>
      <c r="P149" s="3" t="n">
        <f aca="false">Dummy_Variables!H150</f>
        <v>1</v>
      </c>
      <c r="Q149" s="3" t="n">
        <f aca="false">Dummy_Variables!I150</f>
        <v>0</v>
      </c>
      <c r="R149" s="3" t="n">
        <f aca="false">Dummy_Variables!J150</f>
        <v>0</v>
      </c>
      <c r="S149" s="3" t="n">
        <f aca="false">Cleaned_Data!M150</f>
        <v>537058.33</v>
      </c>
    </row>
    <row r="150" customFormat="false" ht="15" hidden="false" customHeight="true" outlineLevel="0" collapsed="false">
      <c r="A150" s="3" t="str">
        <f aca="false">Cleaned_Data!A151</f>
        <v>STR-1037</v>
      </c>
      <c r="B150" s="4" t="n">
        <f aca="false">Cleaned_Data!B151</f>
        <v>45717</v>
      </c>
      <c r="C150" s="3" t="str">
        <f aca="false">Cleaned_Data!C151</f>
        <v>North</v>
      </c>
      <c r="D150" s="3" t="str">
        <f aca="false">Cleaned_Data!D151</f>
        <v>Residential</v>
      </c>
      <c r="E150" s="3" t="n">
        <f aca="false">Cleaned_Data!E151</f>
        <v>53351.7</v>
      </c>
      <c r="F150" s="3" t="n">
        <f aca="false">Cleaned_Data!F151</f>
        <v>4259</v>
      </c>
      <c r="G150" s="3" t="n">
        <f aca="false">Cleaned_Data!G151</f>
        <v>0.156</v>
      </c>
      <c r="H150" s="3" t="n">
        <f aca="false">Cleaned_Data!H151</f>
        <v>15</v>
      </c>
      <c r="I150" s="3" t="n">
        <f aca="false">Cleaned_Data!I151</f>
        <v>93.7</v>
      </c>
      <c r="J150" s="3" t="n">
        <f aca="false">Cleaned_Data!J151</f>
        <v>6.03</v>
      </c>
      <c r="K150" s="3" t="n">
        <f aca="false">Cleaned_Data!K151</f>
        <v>0</v>
      </c>
      <c r="L150" s="3" t="n">
        <f aca="false">Cleaned_Data!L151</f>
        <v>3.4</v>
      </c>
      <c r="M150" s="3" t="n">
        <f aca="false">Dummy_Variables!E151</f>
        <v>0</v>
      </c>
      <c r="N150" s="3" t="n">
        <f aca="false">Dummy_Variables!F151</f>
        <v>0</v>
      </c>
      <c r="O150" s="3" t="n">
        <f aca="false">Dummy_Variables!G151</f>
        <v>1</v>
      </c>
      <c r="P150" s="3" t="n">
        <f aca="false">Dummy_Variables!H151</f>
        <v>1</v>
      </c>
      <c r="Q150" s="3" t="n">
        <f aca="false">Dummy_Variables!I151</f>
        <v>0</v>
      </c>
      <c r="R150" s="3" t="n">
        <f aca="false">Dummy_Variables!J151</f>
        <v>0</v>
      </c>
      <c r="S150" s="3" t="n">
        <f aca="false">Cleaned_Data!M151</f>
        <v>601568.87</v>
      </c>
    </row>
    <row r="151" customFormat="false" ht="15" hidden="false" customHeight="true" outlineLevel="0" collapsed="false">
      <c r="A151" s="3" t="str">
        <f aca="false">Cleaned_Data!A152</f>
        <v>STR-1037</v>
      </c>
      <c r="B151" s="4" t="n">
        <f aca="false">Cleaned_Data!B152</f>
        <v>45748</v>
      </c>
      <c r="C151" s="3" t="str">
        <f aca="false">Cleaned_Data!C152</f>
        <v>North</v>
      </c>
      <c r="D151" s="3" t="str">
        <f aca="false">Cleaned_Data!D152</f>
        <v>Residential</v>
      </c>
      <c r="E151" s="3" t="n">
        <f aca="false">Cleaned_Data!E152</f>
        <v>60322.4</v>
      </c>
      <c r="F151" s="3" t="n">
        <f aca="false">Cleaned_Data!F152</f>
        <v>3350</v>
      </c>
      <c r="G151" s="3" t="n">
        <f aca="false">Cleaned_Data!G152</f>
        <v>0.108</v>
      </c>
      <c r="H151" s="3" t="n">
        <f aca="false">Cleaned_Data!H152</f>
        <v>12</v>
      </c>
      <c r="I151" s="3" t="n">
        <f aca="false">Cleaned_Data!I152</f>
        <v>89.4</v>
      </c>
      <c r="J151" s="3" t="n">
        <f aca="false">Cleaned_Data!J152</f>
        <v>4.92</v>
      </c>
      <c r="K151" s="3" t="n">
        <f aca="false">Cleaned_Data!K152</f>
        <v>0</v>
      </c>
      <c r="L151" s="3" t="n">
        <f aca="false">Cleaned_Data!L152</f>
        <v>3.4</v>
      </c>
      <c r="M151" s="3" t="n">
        <f aca="false">Dummy_Variables!E152</f>
        <v>0</v>
      </c>
      <c r="N151" s="3" t="n">
        <f aca="false">Dummy_Variables!F152</f>
        <v>0</v>
      </c>
      <c r="O151" s="3" t="n">
        <f aca="false">Dummy_Variables!G152</f>
        <v>1</v>
      </c>
      <c r="P151" s="3" t="n">
        <f aca="false">Dummy_Variables!H152</f>
        <v>1</v>
      </c>
      <c r="Q151" s="3" t="n">
        <f aca="false">Dummy_Variables!I152</f>
        <v>0</v>
      </c>
      <c r="R151" s="3" t="n">
        <f aca="false">Dummy_Variables!J152</f>
        <v>0</v>
      </c>
      <c r="S151" s="3" t="n">
        <f aca="false">Cleaned_Data!M152</f>
        <v>570964.84</v>
      </c>
    </row>
    <row r="152" customFormat="false" ht="15" hidden="false" customHeight="true" outlineLevel="0" collapsed="false">
      <c r="A152" s="3" t="str">
        <f aca="false">Cleaned_Data!A153</f>
        <v>STR-1038</v>
      </c>
      <c r="B152" s="4" t="n">
        <f aca="false">Cleaned_Data!B153</f>
        <v>45658</v>
      </c>
      <c r="C152" s="3" t="str">
        <f aca="false">Cleaned_Data!C153</f>
        <v>South</v>
      </c>
      <c r="D152" s="3" t="str">
        <f aca="false">Cleaned_Data!D153</f>
        <v>Mall</v>
      </c>
      <c r="E152" s="3" t="n">
        <f aca="false">Cleaned_Data!E153</f>
        <v>51575.68</v>
      </c>
      <c r="F152" s="3" t="n">
        <f aca="false">Cleaned_Data!F153</f>
        <v>5329</v>
      </c>
      <c r="G152" s="3" t="n">
        <f aca="false">Cleaned_Data!G153</f>
        <v>0.047</v>
      </c>
      <c r="H152" s="3" t="n">
        <f aca="false">Cleaned_Data!H153</f>
        <v>17</v>
      </c>
      <c r="I152" s="3" t="n">
        <f aca="false">Cleaned_Data!I153</f>
        <v>88.1</v>
      </c>
      <c r="J152" s="3" t="n">
        <f aca="false">Cleaned_Data!J153</f>
        <v>19.78</v>
      </c>
      <c r="K152" s="3" t="n">
        <f aca="false">Cleaned_Data!K153</f>
        <v>0</v>
      </c>
      <c r="L152" s="3" t="n">
        <f aca="false">Cleaned_Data!L153</f>
        <v>3.8</v>
      </c>
      <c r="M152" s="3" t="n">
        <f aca="false">Dummy_Variables!E153</f>
        <v>0</v>
      </c>
      <c r="N152" s="3" t="n">
        <f aca="false">Dummy_Variables!F153</f>
        <v>1</v>
      </c>
      <c r="O152" s="3" t="n">
        <f aca="false">Dummy_Variables!G153</f>
        <v>0</v>
      </c>
      <c r="P152" s="3" t="n">
        <f aca="false">Dummy_Variables!H153</f>
        <v>0</v>
      </c>
      <c r="Q152" s="3" t="n">
        <f aca="false">Dummy_Variables!I153</f>
        <v>1</v>
      </c>
      <c r="R152" s="3" t="n">
        <f aca="false">Dummy_Variables!J153</f>
        <v>0</v>
      </c>
      <c r="S152" s="3" t="n">
        <f aca="false">Cleaned_Data!M153</f>
        <v>614024.91</v>
      </c>
    </row>
    <row r="153" customFormat="false" ht="15" hidden="false" customHeight="true" outlineLevel="0" collapsed="false">
      <c r="A153" s="3" t="str">
        <f aca="false">Cleaned_Data!A154</f>
        <v>STR-1038</v>
      </c>
      <c r="B153" s="4" t="n">
        <f aca="false">Cleaned_Data!B154</f>
        <v>45689</v>
      </c>
      <c r="C153" s="3" t="str">
        <f aca="false">Cleaned_Data!C154</f>
        <v>South</v>
      </c>
      <c r="D153" s="3" t="str">
        <f aca="false">Cleaned_Data!D154</f>
        <v>Mall</v>
      </c>
      <c r="E153" s="3" t="n">
        <f aca="false">Cleaned_Data!E154</f>
        <v>43319.94</v>
      </c>
      <c r="F153" s="3" t="n">
        <f aca="false">Cleaned_Data!F154</f>
        <v>6551</v>
      </c>
      <c r="G153" s="3" t="n">
        <f aca="false">Cleaned_Data!G154</f>
        <v>0.044</v>
      </c>
      <c r="H153" s="3" t="n">
        <f aca="false">Cleaned_Data!H154</f>
        <v>13</v>
      </c>
      <c r="I153" s="3" t="n">
        <f aca="false">Cleaned_Data!I154</f>
        <v>99</v>
      </c>
      <c r="J153" s="3" t="n">
        <f aca="false">Cleaned_Data!J154</f>
        <v>5.45</v>
      </c>
      <c r="K153" s="3" t="n">
        <f aca="false">Cleaned_Data!K154</f>
        <v>0</v>
      </c>
      <c r="L153" s="3" t="n">
        <f aca="false">Cleaned_Data!L154</f>
        <v>4.1</v>
      </c>
      <c r="M153" s="3" t="n">
        <f aca="false">Dummy_Variables!E154</f>
        <v>0</v>
      </c>
      <c r="N153" s="3" t="n">
        <f aca="false">Dummy_Variables!F154</f>
        <v>1</v>
      </c>
      <c r="O153" s="3" t="n">
        <f aca="false">Dummy_Variables!G154</f>
        <v>0</v>
      </c>
      <c r="P153" s="3" t="n">
        <f aca="false">Dummy_Variables!H154</f>
        <v>0</v>
      </c>
      <c r="Q153" s="3" t="n">
        <f aca="false">Dummy_Variables!I154</f>
        <v>1</v>
      </c>
      <c r="R153" s="3" t="n">
        <f aca="false">Dummy_Variables!J154</f>
        <v>0</v>
      </c>
      <c r="S153" s="3" t="n">
        <f aca="false">Cleaned_Data!M154</f>
        <v>712868.35</v>
      </c>
    </row>
    <row r="154" customFormat="false" ht="15" hidden="false" customHeight="true" outlineLevel="0" collapsed="false">
      <c r="A154" s="3" t="str">
        <f aca="false">Cleaned_Data!A155</f>
        <v>STR-1038</v>
      </c>
      <c r="B154" s="4" t="n">
        <f aca="false">Cleaned_Data!B155</f>
        <v>45717</v>
      </c>
      <c r="C154" s="3" t="str">
        <f aca="false">Cleaned_Data!C155</f>
        <v>South</v>
      </c>
      <c r="D154" s="3" t="str">
        <f aca="false">Cleaned_Data!D155</f>
        <v>Mall</v>
      </c>
      <c r="E154" s="3" t="n">
        <f aca="false">Cleaned_Data!E155</f>
        <v>47093.55</v>
      </c>
      <c r="F154" s="3" t="n">
        <f aca="false">Cleaned_Data!F155</f>
        <v>5550</v>
      </c>
      <c r="G154" s="3" t="n">
        <f aca="false">Cleaned_Data!G155</f>
        <v>0.1</v>
      </c>
      <c r="H154" s="3" t="n">
        <f aca="false">Cleaned_Data!H155</f>
        <v>12</v>
      </c>
      <c r="I154" s="3" t="n">
        <f aca="false">Cleaned_Data!I155</f>
        <v>95</v>
      </c>
      <c r="J154" s="3" t="n">
        <f aca="false">Cleaned_Data!J155</f>
        <v>2.33</v>
      </c>
      <c r="K154" s="3" t="n">
        <f aca="false">Cleaned_Data!K155</f>
        <v>1</v>
      </c>
      <c r="L154" s="3" t="n">
        <f aca="false">Cleaned_Data!L155</f>
        <v>3.7</v>
      </c>
      <c r="M154" s="3" t="n">
        <f aca="false">Dummy_Variables!E155</f>
        <v>0</v>
      </c>
      <c r="N154" s="3" t="n">
        <f aca="false">Dummy_Variables!F155</f>
        <v>1</v>
      </c>
      <c r="O154" s="3" t="n">
        <f aca="false">Dummy_Variables!G155</f>
        <v>0</v>
      </c>
      <c r="P154" s="3" t="n">
        <f aca="false">Dummy_Variables!H155</f>
        <v>0</v>
      </c>
      <c r="Q154" s="3" t="n">
        <f aca="false">Dummy_Variables!I155</f>
        <v>1</v>
      </c>
      <c r="R154" s="3" t="n">
        <f aca="false">Dummy_Variables!J155</f>
        <v>0</v>
      </c>
      <c r="S154" s="3" t="n">
        <f aca="false">Cleaned_Data!M155</f>
        <v>696744.15</v>
      </c>
    </row>
    <row r="155" customFormat="false" ht="15" hidden="false" customHeight="true" outlineLevel="0" collapsed="false">
      <c r="A155" s="3" t="str">
        <f aca="false">Cleaned_Data!A156</f>
        <v>STR-1038</v>
      </c>
      <c r="B155" s="4" t="n">
        <f aca="false">Cleaned_Data!B156</f>
        <v>45748</v>
      </c>
      <c r="C155" s="3" t="str">
        <f aca="false">Cleaned_Data!C156</f>
        <v>South</v>
      </c>
      <c r="D155" s="3" t="str">
        <f aca="false">Cleaned_Data!D156</f>
        <v>Mall</v>
      </c>
      <c r="E155" s="3" t="n">
        <f aca="false">Cleaned_Data!E156</f>
        <v>71855.09</v>
      </c>
      <c r="F155" s="3" t="n">
        <f aca="false">Cleaned_Data!F156</f>
        <v>5911</v>
      </c>
      <c r="G155" s="3" t="n">
        <f aca="false">Cleaned_Data!G156</f>
        <v>0.197</v>
      </c>
      <c r="H155" s="3" t="n">
        <f aca="false">Cleaned_Data!H156</f>
        <v>15</v>
      </c>
      <c r="I155" s="3" t="n">
        <f aca="false">Cleaned_Data!I156</f>
        <v>94.3</v>
      </c>
      <c r="J155" s="3" t="n">
        <f aca="false">Cleaned_Data!J156</f>
        <v>3.55</v>
      </c>
      <c r="K155" s="3" t="n">
        <f aca="false">Cleaned_Data!K156</f>
        <v>0</v>
      </c>
      <c r="L155" s="3" t="n">
        <f aca="false">Cleaned_Data!L156</f>
        <v>4.1</v>
      </c>
      <c r="M155" s="3" t="n">
        <f aca="false">Dummy_Variables!E156</f>
        <v>0</v>
      </c>
      <c r="N155" s="3" t="n">
        <f aca="false">Dummy_Variables!F156</f>
        <v>1</v>
      </c>
      <c r="O155" s="3" t="n">
        <f aca="false">Dummy_Variables!G156</f>
        <v>0</v>
      </c>
      <c r="P155" s="3" t="n">
        <f aca="false">Dummy_Variables!H156</f>
        <v>0</v>
      </c>
      <c r="Q155" s="3" t="n">
        <f aca="false">Dummy_Variables!I156</f>
        <v>1</v>
      </c>
      <c r="R155" s="3" t="n">
        <f aca="false">Dummy_Variables!J156</f>
        <v>0</v>
      </c>
      <c r="S155" s="3" t="n">
        <f aca="false">Cleaned_Data!M156</f>
        <v>725847.99</v>
      </c>
    </row>
    <row r="156" customFormat="false" ht="15" hidden="false" customHeight="true" outlineLevel="0" collapsed="false">
      <c r="A156" s="3" t="str">
        <f aca="false">Cleaned_Data!A157</f>
        <v>STR-1039</v>
      </c>
      <c r="B156" s="4" t="n">
        <f aca="false">Cleaned_Data!B157</f>
        <v>45658</v>
      </c>
      <c r="C156" s="3" t="str">
        <f aca="false">Cleaned_Data!C157</f>
        <v>East</v>
      </c>
      <c r="D156" s="3" t="str">
        <f aca="false">Cleaned_Data!D157</f>
        <v>High Street</v>
      </c>
      <c r="E156" s="3" t="n">
        <f aca="false">Cleaned_Data!E157</f>
        <v>75645.23</v>
      </c>
      <c r="F156" s="3" t="n">
        <f aca="false">Cleaned_Data!F157</f>
        <v>9674</v>
      </c>
      <c r="G156" s="3" t="n">
        <f aca="false">Cleaned_Data!G157</f>
        <v>0.234</v>
      </c>
      <c r="H156" s="3" t="n">
        <f aca="false">Cleaned_Data!H157</f>
        <v>21</v>
      </c>
      <c r="I156" s="3" t="n">
        <f aca="false">Cleaned_Data!I157</f>
        <v>87.4</v>
      </c>
      <c r="J156" s="3" t="n">
        <f aca="false">Cleaned_Data!J157</f>
        <v>0.2</v>
      </c>
      <c r="K156" s="3" t="n">
        <f aca="false">Cleaned_Data!K157</f>
        <v>0</v>
      </c>
      <c r="L156" s="3" t="n">
        <f aca="false">Cleaned_Data!L157</f>
        <v>4.5</v>
      </c>
      <c r="M156" s="3" t="n">
        <f aca="false">Dummy_Variables!E157</f>
        <v>0</v>
      </c>
      <c r="N156" s="3" t="n">
        <f aca="false">Dummy_Variables!F157</f>
        <v>0</v>
      </c>
      <c r="O156" s="3" t="n">
        <f aca="false">Dummy_Variables!G157</f>
        <v>0</v>
      </c>
      <c r="P156" s="3" t="n">
        <f aca="false">Dummy_Variables!H157</f>
        <v>0</v>
      </c>
      <c r="Q156" s="3" t="n">
        <f aca="false">Dummy_Variables!I157</f>
        <v>0</v>
      </c>
      <c r="R156" s="3" t="n">
        <f aca="false">Dummy_Variables!J157</f>
        <v>0</v>
      </c>
      <c r="S156" s="3" t="n">
        <f aca="false">Cleaned_Data!M157</f>
        <v>785028.25</v>
      </c>
    </row>
    <row r="157" customFormat="false" ht="15" hidden="false" customHeight="true" outlineLevel="0" collapsed="false">
      <c r="A157" s="3" t="str">
        <f aca="false">Cleaned_Data!A158</f>
        <v>STR-1039</v>
      </c>
      <c r="B157" s="4" t="n">
        <f aca="false">Cleaned_Data!B158</f>
        <v>45689</v>
      </c>
      <c r="C157" s="3" t="str">
        <f aca="false">Cleaned_Data!C158</f>
        <v>East</v>
      </c>
      <c r="D157" s="3" t="str">
        <f aca="false">Cleaned_Data!D158</f>
        <v>High Street</v>
      </c>
      <c r="E157" s="3" t="n">
        <f aca="false">Cleaned_Data!E158</f>
        <v>64374.75</v>
      </c>
      <c r="F157" s="3" t="n">
        <f aca="false">Cleaned_Data!F158</f>
        <v>6740</v>
      </c>
      <c r="G157" s="3" t="n">
        <f aca="false">Cleaned_Data!G158</f>
        <v>0.169</v>
      </c>
      <c r="H157" s="3" t="n">
        <f aca="false">Cleaned_Data!H158</f>
        <v>18</v>
      </c>
      <c r="I157" s="3" t="n">
        <f aca="false">Cleaned_Data!I158</f>
        <v>87</v>
      </c>
      <c r="J157" s="3" t="n">
        <f aca="false">Cleaned_Data!J158</f>
        <v>2.09</v>
      </c>
      <c r="K157" s="3" t="n">
        <f aca="false">Cleaned_Data!K158</f>
        <v>0</v>
      </c>
      <c r="L157" s="3" t="n">
        <f aca="false">Cleaned_Data!L158</f>
        <v>4.2</v>
      </c>
      <c r="M157" s="3" t="n">
        <f aca="false">Dummy_Variables!E158</f>
        <v>0</v>
      </c>
      <c r="N157" s="3" t="n">
        <f aca="false">Dummy_Variables!F158</f>
        <v>0</v>
      </c>
      <c r="O157" s="3" t="n">
        <f aca="false">Dummy_Variables!G158</f>
        <v>0</v>
      </c>
      <c r="P157" s="3" t="n">
        <f aca="false">Dummy_Variables!H158</f>
        <v>0</v>
      </c>
      <c r="Q157" s="3" t="n">
        <f aca="false">Dummy_Variables!I158</f>
        <v>0</v>
      </c>
      <c r="R157" s="3" t="n">
        <f aca="false">Dummy_Variables!J158</f>
        <v>0</v>
      </c>
      <c r="S157" s="3" t="n">
        <f aca="false">Cleaned_Data!M158</f>
        <v>698492.67</v>
      </c>
    </row>
    <row r="158" customFormat="false" ht="15" hidden="false" customHeight="true" outlineLevel="0" collapsed="false">
      <c r="A158" s="3" t="str">
        <f aca="false">Cleaned_Data!A159</f>
        <v>STR-1039</v>
      </c>
      <c r="B158" s="4" t="n">
        <f aca="false">Cleaned_Data!B159</f>
        <v>45717</v>
      </c>
      <c r="C158" s="3" t="str">
        <f aca="false">Cleaned_Data!C159</f>
        <v>East</v>
      </c>
      <c r="D158" s="3" t="str">
        <f aca="false">Cleaned_Data!D159</f>
        <v>High Street</v>
      </c>
      <c r="E158" s="3" t="n">
        <f aca="false">Cleaned_Data!E159</f>
        <v>61433.84</v>
      </c>
      <c r="F158" s="3" t="n">
        <f aca="false">Cleaned_Data!F159</f>
        <v>7745</v>
      </c>
      <c r="G158" s="3" t="n">
        <f aca="false">Cleaned_Data!G159</f>
        <v>0.18</v>
      </c>
      <c r="H158" s="3" t="n">
        <f aca="false">Cleaned_Data!H159</f>
        <v>16</v>
      </c>
      <c r="I158" s="3" t="n">
        <f aca="false">Cleaned_Data!I159</f>
        <v>90.5</v>
      </c>
      <c r="J158" s="3" t="n">
        <f aca="false">Cleaned_Data!J159</f>
        <v>2.26</v>
      </c>
      <c r="K158" s="3" t="n">
        <f aca="false">Cleaned_Data!K159</f>
        <v>0</v>
      </c>
      <c r="L158" s="3" t="n">
        <f aca="false">Cleaned_Data!L159</f>
        <v>4.2</v>
      </c>
      <c r="M158" s="3" t="n">
        <f aca="false">Dummy_Variables!E159</f>
        <v>0</v>
      </c>
      <c r="N158" s="3" t="n">
        <f aca="false">Dummy_Variables!F159</f>
        <v>0</v>
      </c>
      <c r="O158" s="3" t="n">
        <f aca="false">Dummy_Variables!G159</f>
        <v>0</v>
      </c>
      <c r="P158" s="3" t="n">
        <f aca="false">Dummy_Variables!H159</f>
        <v>0</v>
      </c>
      <c r="Q158" s="3" t="n">
        <f aca="false">Dummy_Variables!I159</f>
        <v>0</v>
      </c>
      <c r="R158" s="3" t="n">
        <f aca="false">Dummy_Variables!J159</f>
        <v>0</v>
      </c>
      <c r="S158" s="3" t="n">
        <f aca="false">Cleaned_Data!M159</f>
        <v>685830.24</v>
      </c>
    </row>
    <row r="159" customFormat="false" ht="15" hidden="false" customHeight="true" outlineLevel="0" collapsed="false">
      <c r="A159" s="3" t="str">
        <f aca="false">Cleaned_Data!A160</f>
        <v>STR-1039</v>
      </c>
      <c r="B159" s="4" t="n">
        <f aca="false">Cleaned_Data!B160</f>
        <v>45748</v>
      </c>
      <c r="C159" s="3" t="str">
        <f aca="false">Cleaned_Data!C160</f>
        <v>East</v>
      </c>
      <c r="D159" s="3" t="str">
        <f aca="false">Cleaned_Data!D160</f>
        <v>High Street</v>
      </c>
      <c r="E159" s="3" t="n">
        <f aca="false">Cleaned_Data!E160</f>
        <v>42698.14</v>
      </c>
      <c r="F159" s="3" t="n">
        <f aca="false">Cleaned_Data!F160</f>
        <v>7693</v>
      </c>
      <c r="G159" s="3" t="n">
        <f aca="false">Cleaned_Data!G160</f>
        <v>0.187</v>
      </c>
      <c r="H159" s="3" t="n">
        <f aca="false">Cleaned_Data!H160</f>
        <v>19</v>
      </c>
      <c r="I159" s="3" t="n">
        <f aca="false">Cleaned_Data!I160</f>
        <v>90.1</v>
      </c>
      <c r="J159" s="3" t="n">
        <f aca="false">Cleaned_Data!J160</f>
        <v>0.44</v>
      </c>
      <c r="K159" s="3" t="n">
        <f aca="false">Cleaned_Data!K160</f>
        <v>0</v>
      </c>
      <c r="L159" s="3" t="n">
        <f aca="false">Cleaned_Data!L160</f>
        <v>4.4</v>
      </c>
      <c r="M159" s="3" t="n">
        <f aca="false">Dummy_Variables!E160</f>
        <v>0</v>
      </c>
      <c r="N159" s="3" t="n">
        <f aca="false">Dummy_Variables!F160</f>
        <v>0</v>
      </c>
      <c r="O159" s="3" t="n">
        <f aca="false">Dummy_Variables!G160</f>
        <v>0</v>
      </c>
      <c r="P159" s="3" t="n">
        <f aca="false">Dummy_Variables!H160</f>
        <v>0</v>
      </c>
      <c r="Q159" s="3" t="n">
        <f aca="false">Dummy_Variables!I160</f>
        <v>0</v>
      </c>
      <c r="R159" s="3" t="n">
        <f aca="false">Dummy_Variables!J160</f>
        <v>0</v>
      </c>
      <c r="S159" s="3" t="n">
        <f aca="false">Cleaned_Data!M160</f>
        <v>702318.94</v>
      </c>
    </row>
    <row r="160" customFormat="false" ht="15" hidden="false" customHeight="true" outlineLevel="0" collapsed="false">
      <c r="A160" s="3" t="str">
        <f aca="false">Cleaned_Data!A161</f>
        <v>STR-1040</v>
      </c>
      <c r="B160" s="4" t="n">
        <f aca="false">Cleaned_Data!B161</f>
        <v>45658</v>
      </c>
      <c r="C160" s="3" t="str">
        <f aca="false">Cleaned_Data!C161</f>
        <v>North</v>
      </c>
      <c r="D160" s="3" t="str">
        <f aca="false">Cleaned_Data!D161</f>
        <v>Mall</v>
      </c>
      <c r="E160" s="3" t="n">
        <f aca="false">Cleaned_Data!E161</f>
        <v>86883.31</v>
      </c>
      <c r="F160" s="3" t="n">
        <f aca="false">Cleaned_Data!F161</f>
        <v>6424</v>
      </c>
      <c r="G160" s="3" t="n">
        <f aca="false">Cleaned_Data!G161</f>
        <v>0.057</v>
      </c>
      <c r="H160" s="3" t="n">
        <f aca="false">Cleaned_Data!H161</f>
        <v>19</v>
      </c>
      <c r="I160" s="3" t="n">
        <f aca="false">Cleaned_Data!I161</f>
        <v>85.2</v>
      </c>
      <c r="J160" s="3" t="n">
        <f aca="false">Cleaned_Data!J161</f>
        <v>3.08</v>
      </c>
      <c r="K160" s="3" t="n">
        <f aca="false">Cleaned_Data!K161</f>
        <v>0</v>
      </c>
      <c r="L160" s="3" t="n">
        <f aca="false">Cleaned_Data!L161</f>
        <v>3.9</v>
      </c>
      <c r="M160" s="3" t="n">
        <f aca="false">Dummy_Variables!E161</f>
        <v>0</v>
      </c>
      <c r="N160" s="3" t="n">
        <f aca="false">Dummy_Variables!F161</f>
        <v>1</v>
      </c>
      <c r="O160" s="3" t="n">
        <f aca="false">Dummy_Variables!G161</f>
        <v>0</v>
      </c>
      <c r="P160" s="3" t="n">
        <f aca="false">Dummy_Variables!H161</f>
        <v>1</v>
      </c>
      <c r="Q160" s="3" t="n">
        <f aca="false">Dummy_Variables!I161</f>
        <v>0</v>
      </c>
      <c r="R160" s="3" t="n">
        <f aca="false">Dummy_Variables!J161</f>
        <v>0</v>
      </c>
      <c r="S160" s="3" t="n">
        <f aca="false">Cleaned_Data!M161</f>
        <v>700078.32</v>
      </c>
    </row>
    <row r="161" customFormat="false" ht="15" hidden="false" customHeight="true" outlineLevel="0" collapsed="false">
      <c r="A161" s="3" t="str">
        <f aca="false">Cleaned_Data!A162</f>
        <v>STR-1040</v>
      </c>
      <c r="B161" s="4" t="n">
        <f aca="false">Cleaned_Data!B162</f>
        <v>45689</v>
      </c>
      <c r="C161" s="3" t="str">
        <f aca="false">Cleaned_Data!C162</f>
        <v>North</v>
      </c>
      <c r="D161" s="3" t="str">
        <f aca="false">Cleaned_Data!D162</f>
        <v>Mall</v>
      </c>
      <c r="E161" s="3" t="n">
        <f aca="false">Cleaned_Data!E162</f>
        <v>41863.08</v>
      </c>
      <c r="F161" s="3" t="n">
        <f aca="false">Cleaned_Data!F162</f>
        <v>5400</v>
      </c>
      <c r="G161" s="3" t="n">
        <f aca="false">Cleaned_Data!G162</f>
        <v>0.114</v>
      </c>
      <c r="H161" s="3" t="n">
        <f aca="false">Cleaned_Data!H162</f>
        <v>11</v>
      </c>
      <c r="I161" s="3" t="n">
        <f aca="false">Cleaned_Data!I162</f>
        <v>91.6</v>
      </c>
      <c r="J161" s="3" t="n">
        <f aca="false">Cleaned_Data!J162</f>
        <v>7.99</v>
      </c>
      <c r="K161" s="3" t="n">
        <f aca="false">Cleaned_Data!K162</f>
        <v>0</v>
      </c>
      <c r="L161" s="3" t="n">
        <f aca="false">Cleaned_Data!L162</f>
        <v>3</v>
      </c>
      <c r="M161" s="3" t="n">
        <f aca="false">Dummy_Variables!E162</f>
        <v>0</v>
      </c>
      <c r="N161" s="3" t="n">
        <f aca="false">Dummy_Variables!F162</f>
        <v>1</v>
      </c>
      <c r="O161" s="3" t="n">
        <f aca="false">Dummy_Variables!G162</f>
        <v>0</v>
      </c>
      <c r="P161" s="3" t="n">
        <f aca="false">Dummy_Variables!H162</f>
        <v>1</v>
      </c>
      <c r="Q161" s="3" t="n">
        <f aca="false">Dummy_Variables!I162</f>
        <v>0</v>
      </c>
      <c r="R161" s="3" t="n">
        <f aca="false">Dummy_Variables!J162</f>
        <v>0</v>
      </c>
      <c r="S161" s="3" t="n">
        <f aca="false">Cleaned_Data!M162</f>
        <v>602002.32</v>
      </c>
    </row>
    <row r="162" customFormat="false" ht="15" hidden="false" customHeight="true" outlineLevel="0" collapsed="false">
      <c r="A162" s="3" t="str">
        <f aca="false">Cleaned_Data!A163</f>
        <v>STR-1040</v>
      </c>
      <c r="B162" s="4" t="n">
        <f aca="false">Cleaned_Data!B163</f>
        <v>45717</v>
      </c>
      <c r="C162" s="3" t="str">
        <f aca="false">Cleaned_Data!C163</f>
        <v>North</v>
      </c>
      <c r="D162" s="3" t="str">
        <f aca="false">Cleaned_Data!D163</f>
        <v>Mall</v>
      </c>
      <c r="E162" s="3" t="n">
        <f aca="false">Cleaned_Data!E163</f>
        <v>56918.16</v>
      </c>
      <c r="F162" s="3" t="n">
        <f aca="false">Cleaned_Data!F163</f>
        <v>7015</v>
      </c>
      <c r="G162" s="3" t="n">
        <f aca="false">Cleaned_Data!G163</f>
        <v>0.158</v>
      </c>
      <c r="H162" s="3" t="n">
        <f aca="false">Cleaned_Data!H163</f>
        <v>18</v>
      </c>
      <c r="I162" s="3" t="n">
        <f aca="false">Cleaned_Data!I163</f>
        <v>74.2</v>
      </c>
      <c r="J162" s="3" t="n">
        <f aca="false">Cleaned_Data!J163</f>
        <v>0.2</v>
      </c>
      <c r="K162" s="3" t="n">
        <f aca="false">Cleaned_Data!K163</f>
        <v>0</v>
      </c>
      <c r="L162" s="3" t="n">
        <f aca="false">Cleaned_Data!L163</f>
        <v>3.4</v>
      </c>
      <c r="M162" s="3" t="n">
        <f aca="false">Dummy_Variables!E163</f>
        <v>0</v>
      </c>
      <c r="N162" s="3" t="n">
        <f aca="false">Dummy_Variables!F163</f>
        <v>1</v>
      </c>
      <c r="O162" s="3" t="n">
        <f aca="false">Dummy_Variables!G163</f>
        <v>0</v>
      </c>
      <c r="P162" s="3" t="n">
        <f aca="false">Dummy_Variables!H163</f>
        <v>1</v>
      </c>
      <c r="Q162" s="3" t="n">
        <f aca="false">Dummy_Variables!I163</f>
        <v>0</v>
      </c>
      <c r="R162" s="3" t="n">
        <f aca="false">Dummy_Variables!J163</f>
        <v>0</v>
      </c>
      <c r="S162" s="3" t="n">
        <f aca="false">Cleaned_Data!M163</f>
        <v>724216.07</v>
      </c>
    </row>
    <row r="163" customFormat="false" ht="15" hidden="false" customHeight="true" outlineLevel="0" collapsed="false">
      <c r="A163" s="3" t="str">
        <f aca="false">Cleaned_Data!A164</f>
        <v>STR-1040</v>
      </c>
      <c r="B163" s="4" t="n">
        <f aca="false">Cleaned_Data!B164</f>
        <v>45748</v>
      </c>
      <c r="C163" s="3" t="str">
        <f aca="false">Cleaned_Data!C164</f>
        <v>North</v>
      </c>
      <c r="D163" s="3" t="str">
        <f aca="false">Cleaned_Data!D164</f>
        <v>Mall</v>
      </c>
      <c r="E163" s="3" t="n">
        <f aca="false">Cleaned_Data!E164</f>
        <v>23254.57</v>
      </c>
      <c r="F163" s="3" t="n">
        <f aca="false">Cleaned_Data!F164</f>
        <v>3847</v>
      </c>
      <c r="G163" s="3" t="n">
        <f aca="false">Cleaned_Data!G164</f>
        <v>0.159</v>
      </c>
      <c r="H163" s="3" t="n">
        <f aca="false">Cleaned_Data!H164</f>
        <v>12</v>
      </c>
      <c r="I163" s="3" t="n">
        <f aca="false">Cleaned_Data!I164</f>
        <v>93</v>
      </c>
      <c r="J163" s="3" t="n">
        <f aca="false">Cleaned_Data!J164</f>
        <v>5.46</v>
      </c>
      <c r="K163" s="3" t="n">
        <f aca="false">Cleaned_Data!K164</f>
        <v>0</v>
      </c>
      <c r="L163" s="3" t="n">
        <f aca="false">Cleaned_Data!L164</f>
        <v>3.3</v>
      </c>
      <c r="M163" s="3" t="n">
        <f aca="false">Dummy_Variables!E164</f>
        <v>0</v>
      </c>
      <c r="N163" s="3" t="n">
        <f aca="false">Dummy_Variables!F164</f>
        <v>1</v>
      </c>
      <c r="O163" s="3" t="n">
        <f aca="false">Dummy_Variables!G164</f>
        <v>0</v>
      </c>
      <c r="P163" s="3" t="n">
        <f aca="false">Dummy_Variables!H164</f>
        <v>1</v>
      </c>
      <c r="Q163" s="3" t="n">
        <f aca="false">Dummy_Variables!I164</f>
        <v>0</v>
      </c>
      <c r="R163" s="3" t="n">
        <f aca="false">Dummy_Variables!J164</f>
        <v>0</v>
      </c>
      <c r="S163" s="3" t="n">
        <f aca="false">Cleaned_Data!M164</f>
        <v>620973.03</v>
      </c>
    </row>
    <row r="164" customFormat="false" ht="15" hidden="false" customHeight="true" outlineLevel="0" collapsed="false">
      <c r="A164" s="3" t="str">
        <f aca="false">Cleaned_Data!A165</f>
        <v>STR-1041</v>
      </c>
      <c r="B164" s="4" t="n">
        <f aca="false">Cleaned_Data!B165</f>
        <v>45658</v>
      </c>
      <c r="C164" s="3" t="str">
        <f aca="false">Cleaned_Data!C165</f>
        <v>South</v>
      </c>
      <c r="D164" s="3" t="str">
        <f aca="false">Cleaned_Data!D165</f>
        <v>High Street</v>
      </c>
      <c r="E164" s="3" t="n">
        <f aca="false">Cleaned_Data!E165</f>
        <v>41443.41</v>
      </c>
      <c r="F164" s="3" t="n">
        <f aca="false">Cleaned_Data!F165</f>
        <v>7455</v>
      </c>
      <c r="G164" s="3" t="n">
        <f aca="false">Cleaned_Data!G165</f>
        <v>0.175</v>
      </c>
      <c r="H164" s="3" t="n">
        <f aca="false">Cleaned_Data!H165</f>
        <v>16</v>
      </c>
      <c r="I164" s="3" t="n">
        <f aca="false">Cleaned_Data!I165</f>
        <v>90.1</v>
      </c>
      <c r="J164" s="3" t="n">
        <f aca="false">Cleaned_Data!J165</f>
        <v>4.05</v>
      </c>
      <c r="K164" s="3" t="n">
        <f aca="false">Cleaned_Data!K165</f>
        <v>0</v>
      </c>
      <c r="L164" s="3" t="n">
        <f aca="false">Cleaned_Data!L165</f>
        <v>4</v>
      </c>
      <c r="M164" s="3" t="n">
        <f aca="false">Dummy_Variables!E165</f>
        <v>0</v>
      </c>
      <c r="N164" s="3" t="n">
        <f aca="false">Dummy_Variables!F165</f>
        <v>0</v>
      </c>
      <c r="O164" s="3" t="n">
        <f aca="false">Dummy_Variables!G165</f>
        <v>0</v>
      </c>
      <c r="P164" s="3" t="n">
        <f aca="false">Dummy_Variables!H165</f>
        <v>0</v>
      </c>
      <c r="Q164" s="3" t="n">
        <f aca="false">Dummy_Variables!I165</f>
        <v>1</v>
      </c>
      <c r="R164" s="3" t="n">
        <f aca="false">Dummy_Variables!J165</f>
        <v>0</v>
      </c>
      <c r="S164" s="3" t="n">
        <f aca="false">Cleaned_Data!M165</f>
        <v>650480.06</v>
      </c>
    </row>
    <row r="165" customFormat="false" ht="15" hidden="false" customHeight="true" outlineLevel="0" collapsed="false">
      <c r="A165" s="3" t="str">
        <f aca="false">Cleaned_Data!A166</f>
        <v>STR-1041</v>
      </c>
      <c r="B165" s="4" t="n">
        <f aca="false">Cleaned_Data!B166</f>
        <v>45689</v>
      </c>
      <c r="C165" s="3" t="str">
        <f aca="false">Cleaned_Data!C166</f>
        <v>South</v>
      </c>
      <c r="D165" s="3" t="str">
        <f aca="false">Cleaned_Data!D166</f>
        <v>High Street</v>
      </c>
      <c r="E165" s="3" t="n">
        <f aca="false">Cleaned_Data!E166</f>
        <v>48438.85</v>
      </c>
      <c r="F165" s="3" t="n">
        <f aca="false">Cleaned_Data!F166</f>
        <v>6992</v>
      </c>
      <c r="G165" s="3" t="n">
        <f aca="false">Cleaned_Data!G166</f>
        <v>0.034</v>
      </c>
      <c r="H165" s="3" t="n">
        <f aca="false">Cleaned_Data!H166</f>
        <v>20</v>
      </c>
      <c r="I165" s="3" t="n">
        <f aca="false">Cleaned_Data!I166</f>
        <v>91</v>
      </c>
      <c r="J165" s="3" t="n">
        <f aca="false">Cleaned_Data!J166</f>
        <v>4.36</v>
      </c>
      <c r="K165" s="3" t="n">
        <f aca="false">Cleaned_Data!K166</f>
        <v>0</v>
      </c>
      <c r="L165" s="3" t="n">
        <f aca="false">Cleaned_Data!L166</f>
        <v>4.2</v>
      </c>
      <c r="M165" s="3" t="n">
        <f aca="false">Dummy_Variables!E166</f>
        <v>0</v>
      </c>
      <c r="N165" s="3" t="n">
        <f aca="false">Dummy_Variables!F166</f>
        <v>0</v>
      </c>
      <c r="O165" s="3" t="n">
        <f aca="false">Dummy_Variables!G166</f>
        <v>0</v>
      </c>
      <c r="P165" s="3" t="n">
        <f aca="false">Dummy_Variables!H166</f>
        <v>0</v>
      </c>
      <c r="Q165" s="3" t="n">
        <f aca="false">Dummy_Variables!I166</f>
        <v>1</v>
      </c>
      <c r="R165" s="3" t="n">
        <f aca="false">Dummy_Variables!J166</f>
        <v>0</v>
      </c>
      <c r="S165" s="3" t="n">
        <f aca="false">Cleaned_Data!M166</f>
        <v>778298.88</v>
      </c>
    </row>
    <row r="166" customFormat="false" ht="15" hidden="false" customHeight="true" outlineLevel="0" collapsed="false">
      <c r="A166" s="3" t="str">
        <f aca="false">Cleaned_Data!A167</f>
        <v>STR-1041</v>
      </c>
      <c r="B166" s="4" t="n">
        <f aca="false">Cleaned_Data!B167</f>
        <v>45717</v>
      </c>
      <c r="C166" s="3" t="str">
        <f aca="false">Cleaned_Data!C167</f>
        <v>South</v>
      </c>
      <c r="D166" s="3" t="str">
        <f aca="false">Cleaned_Data!D167</f>
        <v>High Street</v>
      </c>
      <c r="E166" s="3" t="n">
        <f aca="false">Cleaned_Data!E167</f>
        <v>57143.3</v>
      </c>
      <c r="F166" s="3" t="n">
        <f aca="false">Cleaned_Data!F167</f>
        <v>8038</v>
      </c>
      <c r="G166" s="3" t="n">
        <f aca="false">Cleaned_Data!G167</f>
        <v>0.193</v>
      </c>
      <c r="H166" s="3" t="n">
        <f aca="false">Cleaned_Data!H167</f>
        <v>17</v>
      </c>
      <c r="I166" s="3" t="n">
        <f aca="false">Cleaned_Data!I167</f>
        <v>72.6</v>
      </c>
      <c r="J166" s="3" t="n">
        <f aca="false">Cleaned_Data!J167</f>
        <v>3.365</v>
      </c>
      <c r="K166" s="3" t="n">
        <f aca="false">Cleaned_Data!K167</f>
        <v>0</v>
      </c>
      <c r="L166" s="3" t="n">
        <f aca="false">Cleaned_Data!L167</f>
        <v>4.2</v>
      </c>
      <c r="M166" s="3" t="n">
        <f aca="false">Dummy_Variables!E167</f>
        <v>0</v>
      </c>
      <c r="N166" s="3" t="n">
        <f aca="false">Dummy_Variables!F167</f>
        <v>0</v>
      </c>
      <c r="O166" s="3" t="n">
        <f aca="false">Dummy_Variables!G167</f>
        <v>0</v>
      </c>
      <c r="P166" s="3" t="n">
        <f aca="false">Dummy_Variables!H167</f>
        <v>0</v>
      </c>
      <c r="Q166" s="3" t="n">
        <f aca="false">Dummy_Variables!I167</f>
        <v>1</v>
      </c>
      <c r="R166" s="3" t="n">
        <f aca="false">Dummy_Variables!J167</f>
        <v>0</v>
      </c>
      <c r="S166" s="3" t="n">
        <f aca="false">Cleaned_Data!M167</f>
        <v>677096.71</v>
      </c>
    </row>
    <row r="167" customFormat="false" ht="15" hidden="false" customHeight="true" outlineLevel="0" collapsed="false">
      <c r="A167" s="3" t="str">
        <f aca="false">Cleaned_Data!A168</f>
        <v>STR-1041</v>
      </c>
      <c r="B167" s="4" t="n">
        <f aca="false">Cleaned_Data!B168</f>
        <v>45748</v>
      </c>
      <c r="C167" s="3" t="str">
        <f aca="false">Cleaned_Data!C168</f>
        <v>South</v>
      </c>
      <c r="D167" s="3" t="str">
        <f aca="false">Cleaned_Data!D168</f>
        <v>High Street</v>
      </c>
      <c r="E167" s="3" t="n">
        <f aca="false">Cleaned_Data!E168</f>
        <v>66870.62</v>
      </c>
      <c r="F167" s="3" t="n">
        <f aca="false">Cleaned_Data!F168</f>
        <v>6055</v>
      </c>
      <c r="G167" s="3" t="n">
        <f aca="false">Cleaned_Data!G168</f>
        <v>0.075</v>
      </c>
      <c r="H167" s="3" t="n">
        <f aca="false">Cleaned_Data!H168</f>
        <v>19</v>
      </c>
      <c r="I167" s="3" t="n">
        <f aca="false">Cleaned_Data!I168</f>
        <v>93.8</v>
      </c>
      <c r="J167" s="3" t="n">
        <f aca="false">Cleaned_Data!J168</f>
        <v>0.54</v>
      </c>
      <c r="K167" s="3" t="n">
        <f aca="false">Cleaned_Data!K168</f>
        <v>0</v>
      </c>
      <c r="L167" s="3" t="n">
        <f aca="false">Cleaned_Data!L168</f>
        <v>4.3</v>
      </c>
      <c r="M167" s="3" t="n">
        <f aca="false">Dummy_Variables!E168</f>
        <v>0</v>
      </c>
      <c r="N167" s="3" t="n">
        <f aca="false">Dummy_Variables!F168</f>
        <v>0</v>
      </c>
      <c r="O167" s="3" t="n">
        <f aca="false">Dummy_Variables!G168</f>
        <v>0</v>
      </c>
      <c r="P167" s="3" t="n">
        <f aca="false">Dummy_Variables!H168</f>
        <v>0</v>
      </c>
      <c r="Q167" s="3" t="n">
        <f aca="false">Dummy_Variables!I168</f>
        <v>1</v>
      </c>
      <c r="R167" s="3" t="n">
        <f aca="false">Dummy_Variables!J168</f>
        <v>0</v>
      </c>
      <c r="S167" s="3" t="n">
        <f aca="false">Cleaned_Data!M168</f>
        <v>692008.64</v>
      </c>
    </row>
    <row r="168" customFormat="false" ht="15" hidden="false" customHeight="true" outlineLevel="0" collapsed="false">
      <c r="A168" s="3" t="str">
        <f aca="false">Cleaned_Data!A169</f>
        <v>STR-1042</v>
      </c>
      <c r="B168" s="4" t="n">
        <f aca="false">Cleaned_Data!B169</f>
        <v>45658</v>
      </c>
      <c r="C168" s="3" t="str">
        <f aca="false">Cleaned_Data!C169</f>
        <v>North</v>
      </c>
      <c r="D168" s="3" t="str">
        <f aca="false">Cleaned_Data!D169</f>
        <v>Mall</v>
      </c>
      <c r="E168" s="3" t="n">
        <f aca="false">Cleaned_Data!E169</f>
        <v>72150.53</v>
      </c>
      <c r="F168" s="3" t="n">
        <f aca="false">Cleaned_Data!F169</f>
        <v>9323</v>
      </c>
      <c r="G168" s="3" t="n">
        <f aca="false">Cleaned_Data!G169</f>
        <v>0.157</v>
      </c>
      <c r="H168" s="3" t="n">
        <f aca="false">Cleaned_Data!H169</f>
        <v>22</v>
      </c>
      <c r="I168" s="3" t="n">
        <f aca="false">Cleaned_Data!I169</f>
        <v>82.9</v>
      </c>
      <c r="J168" s="3" t="n">
        <f aca="false">Cleaned_Data!J169</f>
        <v>11.37</v>
      </c>
      <c r="K168" s="3" t="n">
        <f aca="false">Cleaned_Data!K169</f>
        <v>1</v>
      </c>
      <c r="L168" s="3" t="n">
        <f aca="false">Cleaned_Data!L169</f>
        <v>4.3</v>
      </c>
      <c r="M168" s="3" t="n">
        <f aca="false">Dummy_Variables!E169</f>
        <v>0</v>
      </c>
      <c r="N168" s="3" t="n">
        <f aca="false">Dummy_Variables!F169</f>
        <v>1</v>
      </c>
      <c r="O168" s="3" t="n">
        <f aca="false">Dummy_Variables!G169</f>
        <v>0</v>
      </c>
      <c r="P168" s="3" t="n">
        <f aca="false">Dummy_Variables!H169</f>
        <v>1</v>
      </c>
      <c r="Q168" s="3" t="n">
        <f aca="false">Dummy_Variables!I169</f>
        <v>0</v>
      </c>
      <c r="R168" s="3" t="n">
        <f aca="false">Dummy_Variables!J169</f>
        <v>0</v>
      </c>
      <c r="S168" s="3" t="n">
        <f aca="false">Cleaned_Data!M169</f>
        <v>825797.91</v>
      </c>
    </row>
    <row r="169" customFormat="false" ht="15" hidden="false" customHeight="true" outlineLevel="0" collapsed="false">
      <c r="A169" s="3" t="str">
        <f aca="false">Cleaned_Data!A170</f>
        <v>STR-1042</v>
      </c>
      <c r="B169" s="4" t="n">
        <f aca="false">Cleaned_Data!B170</f>
        <v>45689</v>
      </c>
      <c r="C169" s="3" t="str">
        <f aca="false">Cleaned_Data!C170</f>
        <v>North</v>
      </c>
      <c r="D169" s="3" t="str">
        <f aca="false">Cleaned_Data!D170</f>
        <v>Mall</v>
      </c>
      <c r="E169" s="3" t="n">
        <f aca="false">Cleaned_Data!E170</f>
        <v>35303.3</v>
      </c>
      <c r="F169" s="3" t="n">
        <f aca="false">Cleaned_Data!F170</f>
        <v>8789</v>
      </c>
      <c r="G169" s="3" t="n">
        <f aca="false">Cleaned_Data!G170</f>
        <v>0.123</v>
      </c>
      <c r="H169" s="3" t="n">
        <f aca="false">Cleaned_Data!H170</f>
        <v>22</v>
      </c>
      <c r="I169" s="3" t="n">
        <f aca="false">Cleaned_Data!I170</f>
        <v>86.1</v>
      </c>
      <c r="J169" s="3" t="n">
        <f aca="false">Cleaned_Data!J170</f>
        <v>9.43</v>
      </c>
      <c r="K169" s="3" t="n">
        <f aca="false">Cleaned_Data!K170</f>
        <v>0</v>
      </c>
      <c r="L169" s="3" t="n">
        <f aca="false">Cleaned_Data!L170</f>
        <v>4.2</v>
      </c>
      <c r="M169" s="3" t="n">
        <f aca="false">Dummy_Variables!E170</f>
        <v>0</v>
      </c>
      <c r="N169" s="3" t="n">
        <f aca="false">Dummy_Variables!F170</f>
        <v>1</v>
      </c>
      <c r="O169" s="3" t="n">
        <f aca="false">Dummy_Variables!G170</f>
        <v>0</v>
      </c>
      <c r="P169" s="3" t="n">
        <f aca="false">Dummy_Variables!H170</f>
        <v>1</v>
      </c>
      <c r="Q169" s="3" t="n">
        <f aca="false">Dummy_Variables!I170</f>
        <v>0</v>
      </c>
      <c r="R169" s="3" t="n">
        <f aca="false">Dummy_Variables!J170</f>
        <v>0</v>
      </c>
      <c r="S169" s="3" t="n">
        <f aca="false">Cleaned_Data!M170</f>
        <v>706285.52</v>
      </c>
    </row>
    <row r="170" customFormat="false" ht="15" hidden="false" customHeight="true" outlineLevel="0" collapsed="false">
      <c r="A170" s="3" t="str">
        <f aca="false">Cleaned_Data!A171</f>
        <v>STR-1042</v>
      </c>
      <c r="B170" s="4" t="n">
        <f aca="false">Cleaned_Data!B171</f>
        <v>45717</v>
      </c>
      <c r="C170" s="3" t="str">
        <f aca="false">Cleaned_Data!C171</f>
        <v>North</v>
      </c>
      <c r="D170" s="3" t="str">
        <f aca="false">Cleaned_Data!D171</f>
        <v>Mall</v>
      </c>
      <c r="E170" s="3" t="n">
        <f aca="false">Cleaned_Data!E171</f>
        <v>30301.86</v>
      </c>
      <c r="F170" s="3" t="n">
        <f aca="false">Cleaned_Data!F171</f>
        <v>6939</v>
      </c>
      <c r="G170" s="3" t="n">
        <f aca="false">Cleaned_Data!G171</f>
        <v>0.09</v>
      </c>
      <c r="H170" s="3" t="n">
        <f aca="false">Cleaned_Data!H171</f>
        <v>16</v>
      </c>
      <c r="I170" s="3" t="n">
        <f aca="false">Cleaned_Data!I171</f>
        <v>90.3</v>
      </c>
      <c r="J170" s="3" t="n">
        <f aca="false">Cleaned_Data!J171</f>
        <v>3.49</v>
      </c>
      <c r="K170" s="3" t="n">
        <f aca="false">Cleaned_Data!K171</f>
        <v>0</v>
      </c>
      <c r="L170" s="3" t="n">
        <f aca="false">Cleaned_Data!L171</f>
        <v>4</v>
      </c>
      <c r="M170" s="3" t="n">
        <f aca="false">Dummy_Variables!E171</f>
        <v>0</v>
      </c>
      <c r="N170" s="3" t="n">
        <f aca="false">Dummy_Variables!F171</f>
        <v>1</v>
      </c>
      <c r="O170" s="3" t="n">
        <f aca="false">Dummy_Variables!G171</f>
        <v>0</v>
      </c>
      <c r="P170" s="3" t="n">
        <f aca="false">Dummy_Variables!H171</f>
        <v>1</v>
      </c>
      <c r="Q170" s="3" t="n">
        <f aca="false">Dummy_Variables!I171</f>
        <v>0</v>
      </c>
      <c r="R170" s="3" t="n">
        <f aca="false">Dummy_Variables!J171</f>
        <v>0</v>
      </c>
      <c r="S170" s="3" t="n">
        <f aca="false">Cleaned_Data!M171</f>
        <v>665534.7</v>
      </c>
    </row>
    <row r="171" customFormat="false" ht="15" hidden="false" customHeight="true" outlineLevel="0" collapsed="false">
      <c r="A171" s="3" t="str">
        <f aca="false">Cleaned_Data!A172</f>
        <v>STR-1042</v>
      </c>
      <c r="B171" s="4" t="n">
        <f aca="false">Cleaned_Data!B172</f>
        <v>45748</v>
      </c>
      <c r="C171" s="3" t="str">
        <f aca="false">Cleaned_Data!C172</f>
        <v>North</v>
      </c>
      <c r="D171" s="3" t="str">
        <f aca="false">Cleaned_Data!D172</f>
        <v>Mall</v>
      </c>
      <c r="E171" s="3" t="n">
        <f aca="false">Cleaned_Data!E172</f>
        <v>78432.14</v>
      </c>
      <c r="F171" s="3" t="n">
        <f aca="false">Cleaned_Data!F172</f>
        <v>9440</v>
      </c>
      <c r="G171" s="3" t="n">
        <f aca="false">Cleaned_Data!G172</f>
        <v>0.126</v>
      </c>
      <c r="H171" s="3" t="n">
        <f aca="false">Cleaned_Data!H172</f>
        <v>23</v>
      </c>
      <c r="I171" s="3" t="n">
        <f aca="false">Cleaned_Data!I172</f>
        <v>89.2</v>
      </c>
      <c r="J171" s="3" t="n">
        <f aca="false">Cleaned_Data!J172</f>
        <v>7.86</v>
      </c>
      <c r="K171" s="3" t="n">
        <f aca="false">Cleaned_Data!K172</f>
        <v>0</v>
      </c>
      <c r="L171" s="3" t="n">
        <f aca="false">Cleaned_Data!L172</f>
        <v>4.1</v>
      </c>
      <c r="M171" s="3" t="n">
        <f aca="false">Dummy_Variables!E172</f>
        <v>0</v>
      </c>
      <c r="N171" s="3" t="n">
        <f aca="false">Dummy_Variables!F172</f>
        <v>1</v>
      </c>
      <c r="O171" s="3" t="n">
        <f aca="false">Dummy_Variables!G172</f>
        <v>0</v>
      </c>
      <c r="P171" s="3" t="n">
        <f aca="false">Dummy_Variables!H172</f>
        <v>1</v>
      </c>
      <c r="Q171" s="3" t="n">
        <f aca="false">Dummy_Variables!I172</f>
        <v>0</v>
      </c>
      <c r="R171" s="3" t="n">
        <f aca="false">Dummy_Variables!J172</f>
        <v>0</v>
      </c>
      <c r="S171" s="3" t="n">
        <f aca="false">Cleaned_Data!M172</f>
        <v>820729.29</v>
      </c>
    </row>
    <row r="172" customFormat="false" ht="15" hidden="false" customHeight="true" outlineLevel="0" collapsed="false">
      <c r="A172" s="3" t="str">
        <f aca="false">Cleaned_Data!A173</f>
        <v>STR-1043</v>
      </c>
      <c r="B172" s="4" t="n">
        <f aca="false">Cleaned_Data!B173</f>
        <v>45658</v>
      </c>
      <c r="C172" s="3" t="str">
        <f aca="false">Cleaned_Data!C173</f>
        <v>East</v>
      </c>
      <c r="D172" s="3" t="str">
        <f aca="false">Cleaned_Data!D173</f>
        <v>Residential</v>
      </c>
      <c r="E172" s="3" t="n">
        <f aca="false">Cleaned_Data!E173</f>
        <v>62059.18</v>
      </c>
      <c r="F172" s="3" t="n">
        <f aca="false">Cleaned_Data!F173</f>
        <v>9374</v>
      </c>
      <c r="G172" s="3" t="n">
        <f aca="false">Cleaned_Data!G173</f>
        <v>0.136</v>
      </c>
      <c r="H172" s="3" t="n">
        <f aca="false">Cleaned_Data!H173</f>
        <v>25</v>
      </c>
      <c r="I172" s="3" t="n">
        <f aca="false">Cleaned_Data!I173</f>
        <v>87.1</v>
      </c>
      <c r="J172" s="3" t="n">
        <f aca="false">Cleaned_Data!J173</f>
        <v>12.55</v>
      </c>
      <c r="K172" s="3" t="n">
        <f aca="false">Cleaned_Data!K173</f>
        <v>0</v>
      </c>
      <c r="L172" s="3" t="n">
        <f aca="false">Cleaned_Data!L173</f>
        <v>4.9</v>
      </c>
      <c r="M172" s="3" t="n">
        <f aca="false">Dummy_Variables!E173</f>
        <v>0</v>
      </c>
      <c r="N172" s="3" t="n">
        <f aca="false">Dummy_Variables!F173</f>
        <v>0</v>
      </c>
      <c r="O172" s="3" t="n">
        <f aca="false">Dummy_Variables!G173</f>
        <v>1</v>
      </c>
      <c r="P172" s="3" t="n">
        <f aca="false">Dummy_Variables!H173</f>
        <v>0</v>
      </c>
      <c r="Q172" s="3" t="n">
        <f aca="false">Dummy_Variables!I173</f>
        <v>0</v>
      </c>
      <c r="R172" s="3" t="n">
        <f aca="false">Dummy_Variables!J173</f>
        <v>0</v>
      </c>
      <c r="S172" s="3" t="n">
        <f aca="false">Cleaned_Data!M173</f>
        <v>739831.73</v>
      </c>
    </row>
    <row r="173" customFormat="false" ht="15" hidden="false" customHeight="true" outlineLevel="0" collapsed="false">
      <c r="A173" s="3" t="str">
        <f aca="false">Cleaned_Data!A174</f>
        <v>STR-1043</v>
      </c>
      <c r="B173" s="4" t="n">
        <f aca="false">Cleaned_Data!B174</f>
        <v>45689</v>
      </c>
      <c r="C173" s="3" t="str">
        <f aca="false">Cleaned_Data!C174</f>
        <v>East</v>
      </c>
      <c r="D173" s="3" t="str">
        <f aca="false">Cleaned_Data!D174</f>
        <v>Residential</v>
      </c>
      <c r="E173" s="3" t="n">
        <f aca="false">Cleaned_Data!E174</f>
        <v>32834.48</v>
      </c>
      <c r="F173" s="3" t="n">
        <f aca="false">Cleaned_Data!F174</f>
        <v>7576</v>
      </c>
      <c r="G173" s="3" t="n">
        <f aca="false">Cleaned_Data!G174</f>
        <v>0.099</v>
      </c>
      <c r="H173" s="3" t="n">
        <f aca="false">Cleaned_Data!H174</f>
        <v>15</v>
      </c>
      <c r="I173" s="3" t="n">
        <f aca="false">Cleaned_Data!I174</f>
        <v>84.1</v>
      </c>
      <c r="J173" s="3" t="n">
        <f aca="false">Cleaned_Data!J174</f>
        <v>3.48</v>
      </c>
      <c r="K173" s="3" t="n">
        <f aca="false">Cleaned_Data!K174</f>
        <v>0</v>
      </c>
      <c r="L173" s="3" t="n">
        <f aca="false">Cleaned_Data!L174</f>
        <v>5</v>
      </c>
      <c r="M173" s="3" t="n">
        <f aca="false">Dummy_Variables!E174</f>
        <v>0</v>
      </c>
      <c r="N173" s="3" t="n">
        <f aca="false">Dummy_Variables!F174</f>
        <v>0</v>
      </c>
      <c r="O173" s="3" t="n">
        <f aca="false">Dummy_Variables!G174</f>
        <v>1</v>
      </c>
      <c r="P173" s="3" t="n">
        <f aca="false">Dummy_Variables!H174</f>
        <v>0</v>
      </c>
      <c r="Q173" s="3" t="n">
        <f aca="false">Dummy_Variables!I174</f>
        <v>0</v>
      </c>
      <c r="R173" s="3" t="n">
        <f aca="false">Dummy_Variables!J174</f>
        <v>0</v>
      </c>
      <c r="S173" s="3" t="n">
        <f aca="false">Cleaned_Data!M174</f>
        <v>593637.14</v>
      </c>
    </row>
    <row r="174" customFormat="false" ht="15" hidden="false" customHeight="true" outlineLevel="0" collapsed="false">
      <c r="A174" s="3" t="str">
        <f aca="false">Cleaned_Data!A175</f>
        <v>STR-1043</v>
      </c>
      <c r="B174" s="4" t="n">
        <f aca="false">Cleaned_Data!B175</f>
        <v>45717</v>
      </c>
      <c r="C174" s="3" t="str">
        <f aca="false">Cleaned_Data!C175</f>
        <v>East</v>
      </c>
      <c r="D174" s="3" t="str">
        <f aca="false">Cleaned_Data!D175</f>
        <v>Residential</v>
      </c>
      <c r="E174" s="3" t="n">
        <f aca="false">Cleaned_Data!E175</f>
        <v>50825.08</v>
      </c>
      <c r="F174" s="3" t="n">
        <f aca="false">Cleaned_Data!F175</f>
        <v>8949</v>
      </c>
      <c r="G174" s="3" t="n">
        <f aca="false">Cleaned_Data!G175</f>
        <v>0.157</v>
      </c>
      <c r="H174" s="3" t="n">
        <f aca="false">Cleaned_Data!H175</f>
        <v>21</v>
      </c>
      <c r="I174" s="3" t="n">
        <f aca="false">Cleaned_Data!I175</f>
        <v>84.7</v>
      </c>
      <c r="J174" s="3" t="n">
        <f aca="false">Cleaned_Data!J175</f>
        <v>7.73</v>
      </c>
      <c r="K174" s="3" t="n">
        <f aca="false">Cleaned_Data!K175</f>
        <v>0</v>
      </c>
      <c r="L174" s="3" t="n">
        <f aca="false">Cleaned_Data!L175</f>
        <v>4.9</v>
      </c>
      <c r="M174" s="3" t="n">
        <f aca="false">Dummy_Variables!E175</f>
        <v>0</v>
      </c>
      <c r="N174" s="3" t="n">
        <f aca="false">Dummy_Variables!F175</f>
        <v>0</v>
      </c>
      <c r="O174" s="3" t="n">
        <f aca="false">Dummy_Variables!G175</f>
        <v>1</v>
      </c>
      <c r="P174" s="3" t="n">
        <f aca="false">Dummy_Variables!H175</f>
        <v>0</v>
      </c>
      <c r="Q174" s="3" t="n">
        <f aca="false">Dummy_Variables!I175</f>
        <v>0</v>
      </c>
      <c r="R174" s="3" t="n">
        <f aca="false">Dummy_Variables!J175</f>
        <v>0</v>
      </c>
      <c r="S174" s="3" t="n">
        <f aca="false">Cleaned_Data!M175</f>
        <v>769702.76</v>
      </c>
    </row>
    <row r="175" customFormat="false" ht="15" hidden="false" customHeight="true" outlineLevel="0" collapsed="false">
      <c r="A175" s="3" t="str">
        <f aca="false">Cleaned_Data!A176</f>
        <v>STR-1043</v>
      </c>
      <c r="B175" s="4" t="n">
        <f aca="false">Cleaned_Data!B176</f>
        <v>45748</v>
      </c>
      <c r="C175" s="3" t="str">
        <f aca="false">Cleaned_Data!C176</f>
        <v>East</v>
      </c>
      <c r="D175" s="3" t="str">
        <f aca="false">Cleaned_Data!D176</f>
        <v>Residential</v>
      </c>
      <c r="E175" s="3" t="n">
        <f aca="false">Cleaned_Data!E176</f>
        <v>36606.51</v>
      </c>
      <c r="F175" s="3" t="n">
        <f aca="false">Cleaned_Data!F176</f>
        <v>7671</v>
      </c>
      <c r="G175" s="3" t="n">
        <f aca="false">Cleaned_Data!G176</f>
        <v>0.118</v>
      </c>
      <c r="H175" s="3" t="n">
        <f aca="false">Cleaned_Data!H176</f>
        <v>18</v>
      </c>
      <c r="I175" s="3" t="n">
        <f aca="false">Cleaned_Data!I176</f>
        <v>89.8</v>
      </c>
      <c r="J175" s="3" t="n">
        <f aca="false">Cleaned_Data!J176</f>
        <v>0.25</v>
      </c>
      <c r="K175" s="3" t="n">
        <f aca="false">Cleaned_Data!K176</f>
        <v>0</v>
      </c>
      <c r="L175" s="3" t="n">
        <f aca="false">Cleaned_Data!L176</f>
        <v>4.4</v>
      </c>
      <c r="M175" s="3" t="n">
        <f aca="false">Dummy_Variables!E176</f>
        <v>0</v>
      </c>
      <c r="N175" s="3" t="n">
        <f aca="false">Dummy_Variables!F176</f>
        <v>0</v>
      </c>
      <c r="O175" s="3" t="n">
        <f aca="false">Dummy_Variables!G176</f>
        <v>1</v>
      </c>
      <c r="P175" s="3" t="n">
        <f aca="false">Dummy_Variables!H176</f>
        <v>0</v>
      </c>
      <c r="Q175" s="3" t="n">
        <f aca="false">Dummy_Variables!I176</f>
        <v>0</v>
      </c>
      <c r="R175" s="3" t="n">
        <f aca="false">Dummy_Variables!J176</f>
        <v>0</v>
      </c>
      <c r="S175" s="3" t="n">
        <f aca="false">Cleaned_Data!M176</f>
        <v>679731.57</v>
      </c>
    </row>
    <row r="176" customFormat="false" ht="15" hidden="false" customHeight="true" outlineLevel="0" collapsed="false">
      <c r="A176" s="3" t="str">
        <f aca="false">Cleaned_Data!A177</f>
        <v>STR-1044</v>
      </c>
      <c r="B176" s="4" t="n">
        <f aca="false">Cleaned_Data!B177</f>
        <v>45658</v>
      </c>
      <c r="C176" s="3" t="str">
        <f aca="false">Cleaned_Data!C177</f>
        <v>East</v>
      </c>
      <c r="D176" s="3" t="str">
        <f aca="false">Cleaned_Data!D177</f>
        <v>Residential</v>
      </c>
      <c r="E176" s="3" t="n">
        <f aca="false">Cleaned_Data!E177</f>
        <v>65237.79</v>
      </c>
      <c r="F176" s="3" t="n">
        <f aca="false">Cleaned_Data!F177</f>
        <v>8741</v>
      </c>
      <c r="G176" s="3" t="n">
        <f aca="false">Cleaned_Data!G177</f>
        <v>0.157</v>
      </c>
      <c r="H176" s="3" t="n">
        <f aca="false">Cleaned_Data!H177</f>
        <v>20</v>
      </c>
      <c r="I176" s="3" t="n">
        <f aca="false">Cleaned_Data!I177</f>
        <v>94.4</v>
      </c>
      <c r="J176" s="3" t="n">
        <f aca="false">Cleaned_Data!J177</f>
        <v>6.43</v>
      </c>
      <c r="K176" s="3" t="n">
        <f aca="false">Cleaned_Data!K177</f>
        <v>0</v>
      </c>
      <c r="L176" s="3" t="n">
        <f aca="false">Cleaned_Data!L177</f>
        <v>3.3</v>
      </c>
      <c r="M176" s="3" t="n">
        <f aca="false">Dummy_Variables!E177</f>
        <v>0</v>
      </c>
      <c r="N176" s="3" t="n">
        <f aca="false">Dummy_Variables!F177</f>
        <v>0</v>
      </c>
      <c r="O176" s="3" t="n">
        <f aca="false">Dummy_Variables!G177</f>
        <v>1</v>
      </c>
      <c r="P176" s="3" t="n">
        <f aca="false">Dummy_Variables!H177</f>
        <v>0</v>
      </c>
      <c r="Q176" s="3" t="n">
        <f aca="false">Dummy_Variables!I177</f>
        <v>0</v>
      </c>
      <c r="R176" s="3" t="n">
        <f aca="false">Dummy_Variables!J177</f>
        <v>0</v>
      </c>
      <c r="S176" s="3" t="n">
        <f aca="false">Cleaned_Data!M177</f>
        <v>780344.18</v>
      </c>
    </row>
    <row r="177" customFormat="false" ht="15" hidden="false" customHeight="true" outlineLevel="0" collapsed="false">
      <c r="A177" s="3" t="str">
        <f aca="false">Cleaned_Data!A178</f>
        <v>STR-1044</v>
      </c>
      <c r="B177" s="4" t="n">
        <f aca="false">Cleaned_Data!B178</f>
        <v>45689</v>
      </c>
      <c r="C177" s="3" t="str">
        <f aca="false">Cleaned_Data!C178</f>
        <v>East</v>
      </c>
      <c r="D177" s="3" t="str">
        <f aca="false">Cleaned_Data!D178</f>
        <v>Residential</v>
      </c>
      <c r="E177" s="3" t="n">
        <f aca="false">Cleaned_Data!E178</f>
        <v>43645.98</v>
      </c>
      <c r="F177" s="3" t="n">
        <f aca="false">Cleaned_Data!F178</f>
        <v>9480</v>
      </c>
      <c r="G177" s="3" t="n">
        <f aca="false">Cleaned_Data!G178</f>
        <v>0.109</v>
      </c>
      <c r="H177" s="3" t="n">
        <f aca="false">Cleaned_Data!H178</f>
        <v>22</v>
      </c>
      <c r="I177" s="3" t="n">
        <f aca="false">Cleaned_Data!I178</f>
        <v>89</v>
      </c>
      <c r="J177" s="3" t="n">
        <f aca="false">Cleaned_Data!J178</f>
        <v>2.11</v>
      </c>
      <c r="K177" s="3" t="n">
        <f aca="false">Cleaned_Data!K178</f>
        <v>0</v>
      </c>
      <c r="L177" s="3" t="n">
        <f aca="false">Cleaned_Data!L178</f>
        <v>3.1</v>
      </c>
      <c r="M177" s="3" t="n">
        <f aca="false">Dummy_Variables!E178</f>
        <v>0</v>
      </c>
      <c r="N177" s="3" t="n">
        <f aca="false">Dummy_Variables!F178</f>
        <v>0</v>
      </c>
      <c r="O177" s="3" t="n">
        <f aca="false">Dummy_Variables!G178</f>
        <v>1</v>
      </c>
      <c r="P177" s="3" t="n">
        <f aca="false">Dummy_Variables!H178</f>
        <v>0</v>
      </c>
      <c r="Q177" s="3" t="n">
        <f aca="false">Dummy_Variables!I178</f>
        <v>0</v>
      </c>
      <c r="R177" s="3" t="n">
        <f aca="false">Dummy_Variables!J178</f>
        <v>0</v>
      </c>
      <c r="S177" s="3" t="n">
        <f aca="false">Cleaned_Data!M178</f>
        <v>721364.11</v>
      </c>
    </row>
    <row r="178" customFormat="false" ht="15" hidden="false" customHeight="true" outlineLevel="0" collapsed="false">
      <c r="A178" s="3" t="str">
        <f aca="false">Cleaned_Data!A179</f>
        <v>STR-1044</v>
      </c>
      <c r="B178" s="4" t="n">
        <f aca="false">Cleaned_Data!B179</f>
        <v>45717</v>
      </c>
      <c r="C178" s="3" t="str">
        <f aca="false">Cleaned_Data!C179</f>
        <v>East</v>
      </c>
      <c r="D178" s="3" t="str">
        <f aca="false">Cleaned_Data!D179</f>
        <v>Residential</v>
      </c>
      <c r="E178" s="3" t="n">
        <f aca="false">Cleaned_Data!E179</f>
        <v>68040.15</v>
      </c>
      <c r="F178" s="3" t="n">
        <f aca="false">Cleaned_Data!F179</f>
        <v>9826</v>
      </c>
      <c r="G178" s="3" t="n">
        <f aca="false">Cleaned_Data!G179</f>
        <v>0.125</v>
      </c>
      <c r="H178" s="3" t="n">
        <f aca="false">Cleaned_Data!H179</f>
        <v>20</v>
      </c>
      <c r="I178" s="3" t="n">
        <f aca="false">Cleaned_Data!I179</f>
        <v>83.9</v>
      </c>
      <c r="J178" s="3" t="n">
        <f aca="false">Cleaned_Data!J179</f>
        <v>9.12</v>
      </c>
      <c r="K178" s="3" t="n">
        <f aca="false">Cleaned_Data!K179</f>
        <v>0</v>
      </c>
      <c r="L178" s="3" t="n">
        <f aca="false">Cleaned_Data!L179</f>
        <v>3.6</v>
      </c>
      <c r="M178" s="3" t="n">
        <f aca="false">Dummy_Variables!E179</f>
        <v>0</v>
      </c>
      <c r="N178" s="3" t="n">
        <f aca="false">Dummy_Variables!F179</f>
        <v>0</v>
      </c>
      <c r="O178" s="3" t="n">
        <f aca="false">Dummy_Variables!G179</f>
        <v>1</v>
      </c>
      <c r="P178" s="3" t="n">
        <f aca="false">Dummy_Variables!H179</f>
        <v>0</v>
      </c>
      <c r="Q178" s="3" t="n">
        <f aca="false">Dummy_Variables!I179</f>
        <v>0</v>
      </c>
      <c r="R178" s="3" t="n">
        <f aca="false">Dummy_Variables!J179</f>
        <v>0</v>
      </c>
      <c r="S178" s="3" t="n">
        <f aca="false">Cleaned_Data!M179</f>
        <v>758138.29</v>
      </c>
    </row>
    <row r="179" customFormat="false" ht="15" hidden="false" customHeight="true" outlineLevel="0" collapsed="false">
      <c r="A179" s="3" t="str">
        <f aca="false">Cleaned_Data!A180</f>
        <v>STR-1044</v>
      </c>
      <c r="B179" s="4" t="n">
        <f aca="false">Cleaned_Data!B180</f>
        <v>45748</v>
      </c>
      <c r="C179" s="3" t="str">
        <f aca="false">Cleaned_Data!C180</f>
        <v>East</v>
      </c>
      <c r="D179" s="3" t="str">
        <f aca="false">Cleaned_Data!D180</f>
        <v>Residential</v>
      </c>
      <c r="E179" s="3" t="n">
        <f aca="false">Cleaned_Data!E180</f>
        <v>63043.94</v>
      </c>
      <c r="F179" s="3" t="n">
        <f aca="false">Cleaned_Data!F180</f>
        <v>10402</v>
      </c>
      <c r="G179" s="3" t="n">
        <f aca="false">Cleaned_Data!G180</f>
        <v>0.159</v>
      </c>
      <c r="H179" s="3" t="n">
        <f aca="false">Cleaned_Data!H180</f>
        <v>23</v>
      </c>
      <c r="I179" s="3" t="n">
        <f aca="false">Cleaned_Data!I180</f>
        <v>93.9</v>
      </c>
      <c r="J179" s="3" t="n">
        <f aca="false">Cleaned_Data!J180</f>
        <v>2.71</v>
      </c>
      <c r="K179" s="3" t="n">
        <f aca="false">Cleaned_Data!K180</f>
        <v>0</v>
      </c>
      <c r="L179" s="3" t="n">
        <f aca="false">Cleaned_Data!L180</f>
        <v>3.1</v>
      </c>
      <c r="M179" s="3" t="n">
        <f aca="false">Dummy_Variables!E180</f>
        <v>0</v>
      </c>
      <c r="N179" s="3" t="n">
        <f aca="false">Dummy_Variables!F180</f>
        <v>0</v>
      </c>
      <c r="O179" s="3" t="n">
        <f aca="false">Dummy_Variables!G180</f>
        <v>1</v>
      </c>
      <c r="P179" s="3" t="n">
        <f aca="false">Dummy_Variables!H180</f>
        <v>0</v>
      </c>
      <c r="Q179" s="3" t="n">
        <f aca="false">Dummy_Variables!I180</f>
        <v>0</v>
      </c>
      <c r="R179" s="3" t="n">
        <f aca="false">Dummy_Variables!J180</f>
        <v>0</v>
      </c>
      <c r="S179" s="3" t="n">
        <f aca="false">Cleaned_Data!M180</f>
        <v>804264</v>
      </c>
    </row>
    <row r="180" customFormat="false" ht="15" hidden="false" customHeight="true" outlineLevel="0" collapsed="false">
      <c r="A180" s="3" t="str">
        <f aca="false">Cleaned_Data!A181</f>
        <v>STR-1045</v>
      </c>
      <c r="B180" s="4" t="n">
        <f aca="false">Cleaned_Data!B181</f>
        <v>45658</v>
      </c>
      <c r="C180" s="3" t="str">
        <f aca="false">Cleaned_Data!C181</f>
        <v>West</v>
      </c>
      <c r="D180" s="3" t="str">
        <f aca="false">Cleaned_Data!D181</f>
        <v>Airport</v>
      </c>
      <c r="E180" s="3" t="n">
        <f aca="false">Cleaned_Data!E181</f>
        <v>67494.09</v>
      </c>
      <c r="F180" s="3" t="n">
        <f aca="false">Cleaned_Data!F181</f>
        <v>12361</v>
      </c>
      <c r="G180" s="3" t="n">
        <f aca="false">Cleaned_Data!G181</f>
        <v>0.046</v>
      </c>
      <c r="H180" s="3" t="n">
        <f aca="false">Cleaned_Data!H181</f>
        <v>24</v>
      </c>
      <c r="I180" s="3" t="n">
        <f aca="false">Cleaned_Data!I181</f>
        <v>76.6</v>
      </c>
      <c r="J180" s="3" t="n">
        <f aca="false">Cleaned_Data!J181</f>
        <v>3.65</v>
      </c>
      <c r="K180" s="3" t="n">
        <f aca="false">Cleaned_Data!K181</f>
        <v>1</v>
      </c>
      <c r="L180" s="3" t="n">
        <f aca="false">Cleaned_Data!L181</f>
        <v>3.7</v>
      </c>
      <c r="M180" s="3" t="n">
        <f aca="false">Dummy_Variables!E181</f>
        <v>1</v>
      </c>
      <c r="N180" s="3" t="n">
        <f aca="false">Dummy_Variables!F181</f>
        <v>0</v>
      </c>
      <c r="O180" s="3" t="n">
        <f aca="false">Dummy_Variables!G181</f>
        <v>0</v>
      </c>
      <c r="P180" s="3" t="n">
        <f aca="false">Dummy_Variables!H181</f>
        <v>0</v>
      </c>
      <c r="Q180" s="3" t="n">
        <f aca="false">Dummy_Variables!I181</f>
        <v>0</v>
      </c>
      <c r="R180" s="3" t="n">
        <f aca="false">Dummy_Variables!J181</f>
        <v>1</v>
      </c>
      <c r="S180" s="3" t="n">
        <f aca="false">Cleaned_Data!M181</f>
        <v>887537.75</v>
      </c>
    </row>
    <row r="181" customFormat="false" ht="15" hidden="false" customHeight="true" outlineLevel="0" collapsed="false">
      <c r="A181" s="3" t="str">
        <f aca="false">Cleaned_Data!A182</f>
        <v>STR-1045</v>
      </c>
      <c r="B181" s="4" t="n">
        <f aca="false">Cleaned_Data!B182</f>
        <v>45689</v>
      </c>
      <c r="C181" s="3" t="str">
        <f aca="false">Cleaned_Data!C182</f>
        <v>West</v>
      </c>
      <c r="D181" s="3" t="str">
        <f aca="false">Cleaned_Data!D182</f>
        <v>Airport</v>
      </c>
      <c r="E181" s="3" t="n">
        <f aca="false">Cleaned_Data!E182</f>
        <v>29389.32</v>
      </c>
      <c r="F181" s="3" t="n">
        <f aca="false">Cleaned_Data!F182</f>
        <v>7925</v>
      </c>
      <c r="G181" s="3" t="n">
        <f aca="false">Cleaned_Data!G182</f>
        <v>0.177</v>
      </c>
      <c r="H181" s="3" t="n">
        <f aca="false">Cleaned_Data!H182</f>
        <v>21</v>
      </c>
      <c r="I181" s="3" t="n">
        <f aca="false">Cleaned_Data!I182</f>
        <v>90.9</v>
      </c>
      <c r="J181" s="3" t="n">
        <f aca="false">Cleaned_Data!J182</f>
        <v>7.86</v>
      </c>
      <c r="K181" s="3" t="n">
        <f aca="false">Cleaned_Data!K182</f>
        <v>0</v>
      </c>
      <c r="L181" s="3" t="n">
        <f aca="false">Cleaned_Data!L182</f>
        <v>4</v>
      </c>
      <c r="M181" s="3" t="n">
        <f aca="false">Dummy_Variables!E182</f>
        <v>1</v>
      </c>
      <c r="N181" s="3" t="n">
        <f aca="false">Dummy_Variables!F182</f>
        <v>0</v>
      </c>
      <c r="O181" s="3" t="n">
        <f aca="false">Dummy_Variables!G182</f>
        <v>0</v>
      </c>
      <c r="P181" s="3" t="n">
        <f aca="false">Dummy_Variables!H182</f>
        <v>0</v>
      </c>
      <c r="Q181" s="3" t="n">
        <f aca="false">Dummy_Variables!I182</f>
        <v>0</v>
      </c>
      <c r="R181" s="3" t="n">
        <f aca="false">Dummy_Variables!J182</f>
        <v>1</v>
      </c>
      <c r="S181" s="3" t="n">
        <f aca="false">Cleaned_Data!M182</f>
        <v>783582</v>
      </c>
    </row>
    <row r="182" customFormat="false" ht="15" hidden="false" customHeight="true" outlineLevel="0" collapsed="false">
      <c r="A182" s="3" t="str">
        <f aca="false">Cleaned_Data!A183</f>
        <v>STR-1045</v>
      </c>
      <c r="B182" s="4" t="n">
        <f aca="false">Cleaned_Data!B183</f>
        <v>45717</v>
      </c>
      <c r="C182" s="3" t="str">
        <f aca="false">Cleaned_Data!C183</f>
        <v>West</v>
      </c>
      <c r="D182" s="3" t="str">
        <f aca="false">Cleaned_Data!D183</f>
        <v>Airport</v>
      </c>
      <c r="E182" s="3" t="n">
        <f aca="false">Cleaned_Data!E183</f>
        <v>40535.09</v>
      </c>
      <c r="F182" s="3" t="n">
        <f aca="false">Cleaned_Data!F183</f>
        <v>8870</v>
      </c>
      <c r="G182" s="3" t="n">
        <f aca="false">Cleaned_Data!G183</f>
        <v>0.041</v>
      </c>
      <c r="H182" s="3" t="n">
        <f aca="false">Cleaned_Data!H183</f>
        <v>21</v>
      </c>
      <c r="I182" s="3" t="n">
        <f aca="false">Cleaned_Data!I183</f>
        <v>86.6</v>
      </c>
      <c r="J182" s="3" t="n">
        <f aca="false">Cleaned_Data!J183</f>
        <v>0.3</v>
      </c>
      <c r="K182" s="3" t="n">
        <f aca="false">Cleaned_Data!K183</f>
        <v>0</v>
      </c>
      <c r="L182" s="3" t="n">
        <f aca="false">Cleaned_Data!L183</f>
        <v>4.1</v>
      </c>
      <c r="M182" s="3" t="n">
        <f aca="false">Dummy_Variables!E183</f>
        <v>1</v>
      </c>
      <c r="N182" s="3" t="n">
        <f aca="false">Dummy_Variables!F183</f>
        <v>0</v>
      </c>
      <c r="O182" s="3" t="n">
        <f aca="false">Dummy_Variables!G183</f>
        <v>0</v>
      </c>
      <c r="P182" s="3" t="n">
        <f aca="false">Dummy_Variables!H183</f>
        <v>0</v>
      </c>
      <c r="Q182" s="3" t="n">
        <f aca="false">Dummy_Variables!I183</f>
        <v>0</v>
      </c>
      <c r="R182" s="3" t="n">
        <f aca="false">Dummy_Variables!J183</f>
        <v>1</v>
      </c>
      <c r="S182" s="3" t="n">
        <f aca="false">Cleaned_Data!M183</f>
        <v>781955.52</v>
      </c>
    </row>
    <row r="183" customFormat="false" ht="15" hidden="false" customHeight="true" outlineLevel="0" collapsed="false">
      <c r="A183" s="3" t="str">
        <f aca="false">Cleaned_Data!A184</f>
        <v>STR-1045</v>
      </c>
      <c r="B183" s="4" t="n">
        <f aca="false">Cleaned_Data!B184</f>
        <v>45748</v>
      </c>
      <c r="C183" s="3" t="str">
        <f aca="false">Cleaned_Data!C184</f>
        <v>West</v>
      </c>
      <c r="D183" s="3" t="str">
        <f aca="false">Cleaned_Data!D184</f>
        <v>Airport</v>
      </c>
      <c r="E183" s="3" t="n">
        <f aca="false">Cleaned_Data!E184</f>
        <v>74881.56</v>
      </c>
      <c r="F183" s="3" t="n">
        <f aca="false">Cleaned_Data!F184</f>
        <v>9999</v>
      </c>
      <c r="G183" s="3" t="n">
        <f aca="false">Cleaned_Data!G184</f>
        <v>0.013</v>
      </c>
      <c r="H183" s="3" t="n">
        <f aca="false">Cleaned_Data!H184</f>
        <v>20</v>
      </c>
      <c r="I183" s="3" t="n">
        <f aca="false">Cleaned_Data!I184</f>
        <v>89.6</v>
      </c>
      <c r="J183" s="3" t="n">
        <f aca="false">Cleaned_Data!J184</f>
        <v>8.44</v>
      </c>
      <c r="K183" s="3" t="n">
        <f aca="false">Cleaned_Data!K184</f>
        <v>0</v>
      </c>
      <c r="L183" s="3" t="n">
        <f aca="false">Cleaned_Data!L184</f>
        <v>4.1</v>
      </c>
      <c r="M183" s="3" t="n">
        <f aca="false">Dummy_Variables!E184</f>
        <v>1</v>
      </c>
      <c r="N183" s="3" t="n">
        <f aca="false">Dummy_Variables!F184</f>
        <v>0</v>
      </c>
      <c r="O183" s="3" t="n">
        <f aca="false">Dummy_Variables!G184</f>
        <v>0</v>
      </c>
      <c r="P183" s="3" t="n">
        <f aca="false">Dummy_Variables!H184</f>
        <v>0</v>
      </c>
      <c r="Q183" s="3" t="n">
        <f aca="false">Dummy_Variables!I184</f>
        <v>0</v>
      </c>
      <c r="R183" s="3" t="n">
        <f aca="false">Dummy_Variables!J184</f>
        <v>1</v>
      </c>
      <c r="S183" s="3" t="n">
        <f aca="false">Cleaned_Data!M184</f>
        <v>898031.04</v>
      </c>
    </row>
    <row r="184" customFormat="false" ht="15" hidden="false" customHeight="true" outlineLevel="0" collapsed="false">
      <c r="A184" s="3" t="str">
        <f aca="false">Cleaned_Data!A185</f>
        <v>STR-1046</v>
      </c>
      <c r="B184" s="4" t="n">
        <f aca="false">Cleaned_Data!B185</f>
        <v>45658</v>
      </c>
      <c r="C184" s="3" t="str">
        <f aca="false">Cleaned_Data!C185</f>
        <v>West</v>
      </c>
      <c r="D184" s="3" t="str">
        <f aca="false">Cleaned_Data!D185</f>
        <v>Residential</v>
      </c>
      <c r="E184" s="3" t="n">
        <f aca="false">Cleaned_Data!E185</f>
        <v>68491.11</v>
      </c>
      <c r="F184" s="3" t="n">
        <f aca="false">Cleaned_Data!F185</f>
        <v>11154</v>
      </c>
      <c r="G184" s="3" t="n">
        <f aca="false">Cleaned_Data!G185</f>
        <v>0.001</v>
      </c>
      <c r="H184" s="3" t="n">
        <f aca="false">Cleaned_Data!H185</f>
        <v>24</v>
      </c>
      <c r="I184" s="3" t="n">
        <f aca="false">Cleaned_Data!I185</f>
        <v>89.4</v>
      </c>
      <c r="J184" s="3" t="n">
        <f aca="false">Cleaned_Data!J185</f>
        <v>5.27</v>
      </c>
      <c r="K184" s="3" t="n">
        <f aca="false">Cleaned_Data!K185</f>
        <v>1</v>
      </c>
      <c r="L184" s="3" t="n">
        <f aca="false">Cleaned_Data!L185</f>
        <v>3.9</v>
      </c>
      <c r="M184" s="3" t="n">
        <f aca="false">Dummy_Variables!E185</f>
        <v>0</v>
      </c>
      <c r="N184" s="3" t="n">
        <f aca="false">Dummy_Variables!F185</f>
        <v>0</v>
      </c>
      <c r="O184" s="3" t="n">
        <f aca="false">Dummy_Variables!G185</f>
        <v>1</v>
      </c>
      <c r="P184" s="3" t="n">
        <f aca="false">Dummy_Variables!H185</f>
        <v>0</v>
      </c>
      <c r="Q184" s="3" t="n">
        <f aca="false">Dummy_Variables!I185</f>
        <v>0</v>
      </c>
      <c r="R184" s="3" t="n">
        <f aca="false">Dummy_Variables!J185</f>
        <v>1</v>
      </c>
      <c r="S184" s="3" t="n">
        <f aca="false">Cleaned_Data!M185</f>
        <v>855341.28</v>
      </c>
    </row>
    <row r="185" customFormat="false" ht="15" hidden="false" customHeight="true" outlineLevel="0" collapsed="false">
      <c r="A185" s="3" t="str">
        <f aca="false">Cleaned_Data!A186</f>
        <v>STR-1046</v>
      </c>
      <c r="B185" s="4" t="n">
        <f aca="false">Cleaned_Data!B186</f>
        <v>45689</v>
      </c>
      <c r="C185" s="3" t="str">
        <f aca="false">Cleaned_Data!C186</f>
        <v>West</v>
      </c>
      <c r="D185" s="3" t="str">
        <f aca="false">Cleaned_Data!D186</f>
        <v>Residential</v>
      </c>
      <c r="E185" s="3" t="n">
        <f aca="false">Cleaned_Data!E186</f>
        <v>45209.25</v>
      </c>
      <c r="F185" s="3" t="n">
        <f aca="false">Cleaned_Data!F186</f>
        <v>9287</v>
      </c>
      <c r="G185" s="3" t="n">
        <f aca="false">Cleaned_Data!G186</f>
        <v>0.141</v>
      </c>
      <c r="H185" s="3" t="n">
        <f aca="false">Cleaned_Data!H186</f>
        <v>22</v>
      </c>
      <c r="I185" s="3" t="n">
        <f aca="false">Cleaned_Data!I186</f>
        <v>86.4</v>
      </c>
      <c r="J185" s="3" t="n">
        <f aca="false">Cleaned_Data!J186</f>
        <v>13.22</v>
      </c>
      <c r="K185" s="3" t="n">
        <f aca="false">Cleaned_Data!K186</f>
        <v>0</v>
      </c>
      <c r="L185" s="3" t="n">
        <f aca="false">Cleaned_Data!L186</f>
        <v>3.6</v>
      </c>
      <c r="M185" s="3" t="n">
        <f aca="false">Dummy_Variables!E186</f>
        <v>0</v>
      </c>
      <c r="N185" s="3" t="n">
        <f aca="false">Dummy_Variables!F186</f>
        <v>0</v>
      </c>
      <c r="O185" s="3" t="n">
        <f aca="false">Dummy_Variables!G186</f>
        <v>1</v>
      </c>
      <c r="P185" s="3" t="n">
        <f aca="false">Dummy_Variables!H186</f>
        <v>0</v>
      </c>
      <c r="Q185" s="3" t="n">
        <f aca="false">Dummy_Variables!I186</f>
        <v>0</v>
      </c>
      <c r="R185" s="3" t="n">
        <f aca="false">Dummy_Variables!J186</f>
        <v>1</v>
      </c>
      <c r="S185" s="3" t="n">
        <f aca="false">Cleaned_Data!M186</f>
        <v>751393.88</v>
      </c>
    </row>
    <row r="186" customFormat="false" ht="15" hidden="false" customHeight="true" outlineLevel="0" collapsed="false">
      <c r="A186" s="3" t="str">
        <f aca="false">Cleaned_Data!A187</f>
        <v>STR-1046</v>
      </c>
      <c r="B186" s="4" t="n">
        <f aca="false">Cleaned_Data!B187</f>
        <v>45717</v>
      </c>
      <c r="C186" s="3" t="str">
        <f aca="false">Cleaned_Data!C187</f>
        <v>West</v>
      </c>
      <c r="D186" s="3" t="str">
        <f aca="false">Cleaned_Data!D187</f>
        <v>Residential</v>
      </c>
      <c r="E186" s="3" t="n">
        <f aca="false">Cleaned_Data!E187</f>
        <v>63010.23</v>
      </c>
      <c r="F186" s="3" t="n">
        <f aca="false">Cleaned_Data!F187</f>
        <v>9812</v>
      </c>
      <c r="G186" s="3" t="n">
        <f aca="false">Cleaned_Data!G187</f>
        <v>0.113</v>
      </c>
      <c r="H186" s="3" t="n">
        <f aca="false">Cleaned_Data!H187</f>
        <v>24</v>
      </c>
      <c r="I186" s="3" t="n">
        <f aca="false">Cleaned_Data!I187</f>
        <v>76.8</v>
      </c>
      <c r="J186" s="3" t="n">
        <f aca="false">Cleaned_Data!J187</f>
        <v>1.02</v>
      </c>
      <c r="K186" s="3" t="n">
        <f aca="false">Cleaned_Data!K187</f>
        <v>1</v>
      </c>
      <c r="L186" s="3" t="n">
        <f aca="false">Cleaned_Data!L187</f>
        <v>3.8</v>
      </c>
      <c r="M186" s="3" t="n">
        <f aca="false">Dummy_Variables!E187</f>
        <v>0</v>
      </c>
      <c r="N186" s="3" t="n">
        <f aca="false">Dummy_Variables!F187</f>
        <v>0</v>
      </c>
      <c r="O186" s="3" t="n">
        <f aca="false">Dummy_Variables!G187</f>
        <v>1</v>
      </c>
      <c r="P186" s="3" t="n">
        <f aca="false">Dummy_Variables!H187</f>
        <v>0</v>
      </c>
      <c r="Q186" s="3" t="n">
        <f aca="false">Dummy_Variables!I187</f>
        <v>0</v>
      </c>
      <c r="R186" s="3" t="n">
        <f aca="false">Dummy_Variables!J187</f>
        <v>1</v>
      </c>
      <c r="S186" s="3" t="n">
        <f aca="false">Cleaned_Data!M187</f>
        <v>761077.08</v>
      </c>
    </row>
    <row r="187" customFormat="false" ht="15" hidden="false" customHeight="true" outlineLevel="0" collapsed="false">
      <c r="A187" s="3" t="str">
        <f aca="false">Cleaned_Data!A188</f>
        <v>STR-1046</v>
      </c>
      <c r="B187" s="4" t="n">
        <f aca="false">Cleaned_Data!B188</f>
        <v>45748</v>
      </c>
      <c r="C187" s="3" t="str">
        <f aca="false">Cleaned_Data!C188</f>
        <v>West</v>
      </c>
      <c r="D187" s="3" t="str">
        <f aca="false">Cleaned_Data!D188</f>
        <v>Residential</v>
      </c>
      <c r="E187" s="3" t="n">
        <f aca="false">Cleaned_Data!E188</f>
        <v>57948.88</v>
      </c>
      <c r="F187" s="3" t="n">
        <f aca="false">Cleaned_Data!F188</f>
        <v>10741</v>
      </c>
      <c r="G187" s="3" t="n">
        <f aca="false">Cleaned_Data!G188</f>
        <v>0.07</v>
      </c>
      <c r="H187" s="3" t="n">
        <f aca="false">Cleaned_Data!H188</f>
        <v>25</v>
      </c>
      <c r="I187" s="3" t="n">
        <f aca="false">Cleaned_Data!I188</f>
        <v>90.1</v>
      </c>
      <c r="J187" s="3" t="n">
        <f aca="false">Cleaned_Data!J188</f>
        <v>4.03</v>
      </c>
      <c r="K187" s="3" t="n">
        <f aca="false">Cleaned_Data!K188</f>
        <v>0</v>
      </c>
      <c r="L187" s="3" t="n">
        <f aca="false">Cleaned_Data!L188</f>
        <v>3.1</v>
      </c>
      <c r="M187" s="3" t="n">
        <f aca="false">Dummy_Variables!E188</f>
        <v>0</v>
      </c>
      <c r="N187" s="3" t="n">
        <f aca="false">Dummy_Variables!F188</f>
        <v>0</v>
      </c>
      <c r="O187" s="3" t="n">
        <f aca="false">Dummy_Variables!G188</f>
        <v>1</v>
      </c>
      <c r="P187" s="3" t="n">
        <f aca="false">Dummy_Variables!H188</f>
        <v>0</v>
      </c>
      <c r="Q187" s="3" t="n">
        <f aca="false">Dummy_Variables!I188</f>
        <v>0</v>
      </c>
      <c r="R187" s="3" t="n">
        <f aca="false">Dummy_Variables!J188</f>
        <v>1</v>
      </c>
      <c r="S187" s="3" t="n">
        <f aca="false">Cleaned_Data!M188</f>
        <v>819660.59</v>
      </c>
    </row>
    <row r="188" customFormat="false" ht="15" hidden="false" customHeight="true" outlineLevel="0" collapsed="false">
      <c r="A188" s="3" t="str">
        <f aca="false">Cleaned_Data!A189</f>
        <v>STR-1047</v>
      </c>
      <c r="B188" s="4" t="n">
        <f aca="false">Cleaned_Data!B189</f>
        <v>45658</v>
      </c>
      <c r="C188" s="3" t="str">
        <f aca="false">Cleaned_Data!C189</f>
        <v>North</v>
      </c>
      <c r="D188" s="3" t="str">
        <f aca="false">Cleaned_Data!D189</f>
        <v>High Street</v>
      </c>
      <c r="E188" s="3" t="n">
        <f aca="false">Cleaned_Data!E189</f>
        <v>71941.62</v>
      </c>
      <c r="F188" s="3" t="n">
        <f aca="false">Cleaned_Data!F189</f>
        <v>6084</v>
      </c>
      <c r="G188" s="3" t="n">
        <f aca="false">Cleaned_Data!G189</f>
        <v>0.072</v>
      </c>
      <c r="H188" s="3" t="n">
        <f aca="false">Cleaned_Data!H189</f>
        <v>13</v>
      </c>
      <c r="I188" s="3" t="n">
        <f aca="false">Cleaned_Data!I189</f>
        <v>93.7</v>
      </c>
      <c r="J188" s="3" t="n">
        <f aca="false">Cleaned_Data!J189</f>
        <v>2.34</v>
      </c>
      <c r="K188" s="3" t="n">
        <f aca="false">Cleaned_Data!K189</f>
        <v>0</v>
      </c>
      <c r="L188" s="3" t="n">
        <f aca="false">Cleaned_Data!L189</f>
        <v>4.4</v>
      </c>
      <c r="M188" s="3" t="n">
        <f aca="false">Dummy_Variables!E189</f>
        <v>0</v>
      </c>
      <c r="N188" s="3" t="n">
        <f aca="false">Dummy_Variables!F189</f>
        <v>0</v>
      </c>
      <c r="O188" s="3" t="n">
        <f aca="false">Dummy_Variables!G189</f>
        <v>0</v>
      </c>
      <c r="P188" s="3" t="n">
        <f aca="false">Dummy_Variables!H189</f>
        <v>1</v>
      </c>
      <c r="Q188" s="3" t="n">
        <f aca="false">Dummy_Variables!I189</f>
        <v>0</v>
      </c>
      <c r="R188" s="3" t="n">
        <f aca="false">Dummy_Variables!J189</f>
        <v>0</v>
      </c>
      <c r="S188" s="3" t="n">
        <f aca="false">Cleaned_Data!M189</f>
        <v>681855.56</v>
      </c>
    </row>
    <row r="189" customFormat="false" ht="15" hidden="false" customHeight="true" outlineLevel="0" collapsed="false">
      <c r="A189" s="3" t="str">
        <f aca="false">Cleaned_Data!A190</f>
        <v>STR-1047</v>
      </c>
      <c r="B189" s="4" t="n">
        <f aca="false">Cleaned_Data!B190</f>
        <v>45689</v>
      </c>
      <c r="C189" s="3" t="str">
        <f aca="false">Cleaned_Data!C190</f>
        <v>North</v>
      </c>
      <c r="D189" s="3" t="str">
        <f aca="false">Cleaned_Data!D190</f>
        <v>High Street</v>
      </c>
      <c r="E189" s="3" t="n">
        <f aca="false">Cleaned_Data!E190</f>
        <v>57147.88</v>
      </c>
      <c r="F189" s="3" t="n">
        <f aca="false">Cleaned_Data!F190</f>
        <v>5252</v>
      </c>
      <c r="G189" s="3" t="n">
        <f aca="false">Cleaned_Data!G190</f>
        <v>0.161</v>
      </c>
      <c r="H189" s="3" t="n">
        <f aca="false">Cleaned_Data!H190</f>
        <v>15</v>
      </c>
      <c r="I189" s="3" t="n">
        <f aca="false">Cleaned_Data!I190</f>
        <v>95.5</v>
      </c>
      <c r="J189" s="3" t="n">
        <f aca="false">Cleaned_Data!J190</f>
        <v>8.51</v>
      </c>
      <c r="K189" s="3" t="n">
        <f aca="false">Cleaned_Data!K190</f>
        <v>0</v>
      </c>
      <c r="L189" s="3" t="n">
        <f aca="false">Cleaned_Data!L190</f>
        <v>4.4</v>
      </c>
      <c r="M189" s="3" t="n">
        <f aca="false">Dummy_Variables!E190</f>
        <v>0</v>
      </c>
      <c r="N189" s="3" t="n">
        <f aca="false">Dummy_Variables!F190</f>
        <v>0</v>
      </c>
      <c r="O189" s="3" t="n">
        <f aca="false">Dummy_Variables!G190</f>
        <v>0</v>
      </c>
      <c r="P189" s="3" t="n">
        <f aca="false">Dummy_Variables!H190</f>
        <v>1</v>
      </c>
      <c r="Q189" s="3" t="n">
        <f aca="false">Dummy_Variables!I190</f>
        <v>0</v>
      </c>
      <c r="R189" s="3" t="n">
        <f aca="false">Dummy_Variables!J190</f>
        <v>0</v>
      </c>
      <c r="S189" s="3" t="n">
        <f aca="false">Cleaned_Data!M190</f>
        <v>678311.17</v>
      </c>
    </row>
    <row r="190" customFormat="false" ht="15" hidden="false" customHeight="true" outlineLevel="0" collapsed="false">
      <c r="A190" s="3" t="str">
        <f aca="false">Cleaned_Data!A191</f>
        <v>STR-1047</v>
      </c>
      <c r="B190" s="4" t="n">
        <f aca="false">Cleaned_Data!B191</f>
        <v>45717</v>
      </c>
      <c r="C190" s="3" t="str">
        <f aca="false">Cleaned_Data!C191</f>
        <v>North</v>
      </c>
      <c r="D190" s="3" t="str">
        <f aca="false">Cleaned_Data!D191</f>
        <v>High Street</v>
      </c>
      <c r="E190" s="3" t="n">
        <f aca="false">Cleaned_Data!E191</f>
        <v>48031.74</v>
      </c>
      <c r="F190" s="3" t="n">
        <f aca="false">Cleaned_Data!F191</f>
        <v>6516</v>
      </c>
      <c r="G190" s="3" t="n">
        <f aca="false">Cleaned_Data!G191</f>
        <v>0.067</v>
      </c>
      <c r="H190" s="3" t="n">
        <f aca="false">Cleaned_Data!H191</f>
        <v>14</v>
      </c>
      <c r="I190" s="3" t="n">
        <f aca="false">Cleaned_Data!I191</f>
        <v>99</v>
      </c>
      <c r="J190" s="3" t="n">
        <f aca="false">Cleaned_Data!J191</f>
        <v>0.48</v>
      </c>
      <c r="K190" s="3" t="n">
        <f aca="false">Cleaned_Data!K191</f>
        <v>1</v>
      </c>
      <c r="L190" s="3" t="n">
        <f aca="false">Cleaned_Data!L191</f>
        <v>4.3</v>
      </c>
      <c r="M190" s="3" t="n">
        <f aca="false">Dummy_Variables!E191</f>
        <v>0</v>
      </c>
      <c r="N190" s="3" t="n">
        <f aca="false">Dummy_Variables!F191</f>
        <v>0</v>
      </c>
      <c r="O190" s="3" t="n">
        <f aca="false">Dummy_Variables!G191</f>
        <v>0</v>
      </c>
      <c r="P190" s="3" t="n">
        <f aca="false">Dummy_Variables!H191</f>
        <v>1</v>
      </c>
      <c r="Q190" s="3" t="n">
        <f aca="false">Dummy_Variables!I191</f>
        <v>0</v>
      </c>
      <c r="R190" s="3" t="n">
        <f aca="false">Dummy_Variables!J191</f>
        <v>0</v>
      </c>
      <c r="S190" s="3" t="n">
        <f aca="false">Cleaned_Data!M191</f>
        <v>765906.95</v>
      </c>
    </row>
    <row r="191" customFormat="false" ht="15" hidden="false" customHeight="true" outlineLevel="0" collapsed="false">
      <c r="A191" s="3" t="str">
        <f aca="false">Cleaned_Data!A192</f>
        <v>STR-1047</v>
      </c>
      <c r="B191" s="4" t="n">
        <f aca="false">Cleaned_Data!B192</f>
        <v>45748</v>
      </c>
      <c r="C191" s="3" t="str">
        <f aca="false">Cleaned_Data!C192</f>
        <v>North</v>
      </c>
      <c r="D191" s="3" t="str">
        <f aca="false">Cleaned_Data!D192</f>
        <v>High Street</v>
      </c>
      <c r="E191" s="3" t="n">
        <f aca="false">Cleaned_Data!E192</f>
        <v>72784.8</v>
      </c>
      <c r="F191" s="3" t="n">
        <f aca="false">Cleaned_Data!F192</f>
        <v>7932</v>
      </c>
      <c r="G191" s="3" t="n">
        <f aca="false">Cleaned_Data!G192</f>
        <v>0.094</v>
      </c>
      <c r="H191" s="3" t="n">
        <f aca="false">Cleaned_Data!H192</f>
        <v>20</v>
      </c>
      <c r="I191" s="3" t="n">
        <f aca="false">Cleaned_Data!I192</f>
        <v>74.9</v>
      </c>
      <c r="J191" s="3" t="n">
        <f aca="false">Cleaned_Data!J192</f>
        <v>13.62</v>
      </c>
      <c r="K191" s="3" t="n">
        <f aca="false">Cleaned_Data!K192</f>
        <v>0</v>
      </c>
      <c r="L191" s="3" t="n">
        <f aca="false">Cleaned_Data!L192</f>
        <v>4.2</v>
      </c>
      <c r="M191" s="3" t="n">
        <f aca="false">Dummy_Variables!E192</f>
        <v>0</v>
      </c>
      <c r="N191" s="3" t="n">
        <f aca="false">Dummy_Variables!F192</f>
        <v>0</v>
      </c>
      <c r="O191" s="3" t="n">
        <f aca="false">Dummy_Variables!G192</f>
        <v>0</v>
      </c>
      <c r="P191" s="3" t="n">
        <f aca="false">Dummy_Variables!H192</f>
        <v>1</v>
      </c>
      <c r="Q191" s="3" t="n">
        <f aca="false">Dummy_Variables!I192</f>
        <v>0</v>
      </c>
      <c r="R191" s="3" t="n">
        <f aca="false">Dummy_Variables!J192</f>
        <v>0</v>
      </c>
      <c r="S191" s="3" t="n">
        <f aca="false">Cleaned_Data!M192</f>
        <v>712546.38</v>
      </c>
    </row>
    <row r="192" customFormat="false" ht="15" hidden="false" customHeight="true" outlineLevel="0" collapsed="false">
      <c r="A192" s="3" t="str">
        <f aca="false">Cleaned_Data!A193</f>
        <v>STR-1048</v>
      </c>
      <c r="B192" s="4" t="n">
        <f aca="false">Cleaned_Data!B193</f>
        <v>45658</v>
      </c>
      <c r="C192" s="3" t="str">
        <f aca="false">Cleaned_Data!C193</f>
        <v>East</v>
      </c>
      <c r="D192" s="3" t="str">
        <f aca="false">Cleaned_Data!D193</f>
        <v>High Street</v>
      </c>
      <c r="E192" s="3" t="n">
        <f aca="false">Cleaned_Data!E193</f>
        <v>71641.9</v>
      </c>
      <c r="F192" s="3" t="n">
        <f aca="false">Cleaned_Data!F193</f>
        <v>3506</v>
      </c>
      <c r="G192" s="3" t="n">
        <f aca="false">Cleaned_Data!G193</f>
        <v>0</v>
      </c>
      <c r="H192" s="3" t="n">
        <f aca="false">Cleaned_Data!H193</f>
        <v>11</v>
      </c>
      <c r="I192" s="3" t="n">
        <f aca="false">Cleaned_Data!I193</f>
        <v>86.4</v>
      </c>
      <c r="J192" s="3" t="n">
        <f aca="false">Cleaned_Data!J193</f>
        <v>7.77</v>
      </c>
      <c r="K192" s="3" t="n">
        <f aca="false">Cleaned_Data!K193</f>
        <v>0</v>
      </c>
      <c r="L192" s="3" t="n">
        <f aca="false">Cleaned_Data!L193</f>
        <v>4.1</v>
      </c>
      <c r="M192" s="3" t="n">
        <f aca="false">Dummy_Variables!E193</f>
        <v>0</v>
      </c>
      <c r="N192" s="3" t="n">
        <f aca="false">Dummy_Variables!F193</f>
        <v>0</v>
      </c>
      <c r="O192" s="3" t="n">
        <f aca="false">Dummy_Variables!G193</f>
        <v>0</v>
      </c>
      <c r="P192" s="3" t="n">
        <f aca="false">Dummy_Variables!H193</f>
        <v>0</v>
      </c>
      <c r="Q192" s="3" t="n">
        <f aca="false">Dummy_Variables!I193</f>
        <v>0</v>
      </c>
      <c r="R192" s="3" t="n">
        <f aca="false">Dummy_Variables!J193</f>
        <v>0</v>
      </c>
      <c r="S192" s="3" t="n">
        <f aca="false">Cleaned_Data!M193</f>
        <v>625993.83</v>
      </c>
    </row>
    <row r="193" customFormat="false" ht="15" hidden="false" customHeight="true" outlineLevel="0" collapsed="false">
      <c r="A193" s="3" t="str">
        <f aca="false">Cleaned_Data!A194</f>
        <v>STR-1048</v>
      </c>
      <c r="B193" s="4" t="n">
        <f aca="false">Cleaned_Data!B194</f>
        <v>45689</v>
      </c>
      <c r="C193" s="3" t="str">
        <f aca="false">Cleaned_Data!C194</f>
        <v>East</v>
      </c>
      <c r="D193" s="3" t="str">
        <f aca="false">Cleaned_Data!D194</f>
        <v>High Street</v>
      </c>
      <c r="E193" s="3" t="n">
        <f aca="false">Cleaned_Data!E194</f>
        <v>55788.61</v>
      </c>
      <c r="F193" s="3" t="n">
        <f aca="false">Cleaned_Data!F194</f>
        <v>2312</v>
      </c>
      <c r="G193" s="3" t="n">
        <f aca="false">Cleaned_Data!G194</f>
        <v>0.058</v>
      </c>
      <c r="H193" s="3" t="n">
        <f aca="false">Cleaned_Data!H194</f>
        <v>10</v>
      </c>
      <c r="I193" s="3" t="n">
        <f aca="false">Cleaned_Data!I194</f>
        <v>91.3</v>
      </c>
      <c r="J193" s="3" t="n">
        <f aca="false">Cleaned_Data!J194</f>
        <v>1.99</v>
      </c>
      <c r="K193" s="3" t="n">
        <f aca="false">Cleaned_Data!K194</f>
        <v>0</v>
      </c>
      <c r="L193" s="3" t="n">
        <f aca="false">Cleaned_Data!L194</f>
        <v>3.8</v>
      </c>
      <c r="M193" s="3" t="n">
        <f aca="false">Dummy_Variables!E194</f>
        <v>0</v>
      </c>
      <c r="N193" s="3" t="n">
        <f aca="false">Dummy_Variables!F194</f>
        <v>0</v>
      </c>
      <c r="O193" s="3" t="n">
        <f aca="false">Dummy_Variables!G194</f>
        <v>0</v>
      </c>
      <c r="P193" s="3" t="n">
        <f aca="false">Dummy_Variables!H194</f>
        <v>0</v>
      </c>
      <c r="Q193" s="3" t="n">
        <f aca="false">Dummy_Variables!I194</f>
        <v>0</v>
      </c>
      <c r="R193" s="3" t="n">
        <f aca="false">Dummy_Variables!J194</f>
        <v>0</v>
      </c>
      <c r="S193" s="3" t="n">
        <f aca="false">Cleaned_Data!M194</f>
        <v>550962.93</v>
      </c>
    </row>
    <row r="194" customFormat="false" ht="15" hidden="false" customHeight="true" outlineLevel="0" collapsed="false">
      <c r="A194" s="3" t="str">
        <f aca="false">Cleaned_Data!A195</f>
        <v>STR-1048</v>
      </c>
      <c r="B194" s="4" t="n">
        <f aca="false">Cleaned_Data!B195</f>
        <v>45717</v>
      </c>
      <c r="C194" s="3" t="str">
        <f aca="false">Cleaned_Data!C195</f>
        <v>East</v>
      </c>
      <c r="D194" s="3" t="str">
        <f aca="false">Cleaned_Data!D195</f>
        <v>High Street</v>
      </c>
      <c r="E194" s="3" t="n">
        <f aca="false">Cleaned_Data!E195</f>
        <v>37705.88</v>
      </c>
      <c r="F194" s="3" t="n">
        <f aca="false">Cleaned_Data!F195</f>
        <v>1268</v>
      </c>
      <c r="G194" s="3" t="n">
        <f aca="false">Cleaned_Data!G195</f>
        <v>0.259</v>
      </c>
      <c r="H194" s="3" t="n">
        <f aca="false">Cleaned_Data!H195</f>
        <v>9</v>
      </c>
      <c r="I194" s="3" t="n">
        <f aca="false">Cleaned_Data!I195</f>
        <v>84.1</v>
      </c>
      <c r="J194" s="3" t="n">
        <f aca="false">Cleaned_Data!J195</f>
        <v>4.77</v>
      </c>
      <c r="K194" s="3" t="n">
        <f aca="false">Cleaned_Data!K195</f>
        <v>0</v>
      </c>
      <c r="L194" s="3" t="n">
        <f aca="false">Cleaned_Data!L195</f>
        <v>3.8</v>
      </c>
      <c r="M194" s="3" t="n">
        <f aca="false">Dummy_Variables!E195</f>
        <v>0</v>
      </c>
      <c r="N194" s="3" t="n">
        <f aca="false">Dummy_Variables!F195</f>
        <v>0</v>
      </c>
      <c r="O194" s="3" t="n">
        <f aca="false">Dummy_Variables!G195</f>
        <v>0</v>
      </c>
      <c r="P194" s="3" t="n">
        <f aca="false">Dummy_Variables!H195</f>
        <v>0</v>
      </c>
      <c r="Q194" s="3" t="n">
        <f aca="false">Dummy_Variables!I195</f>
        <v>0</v>
      </c>
      <c r="R194" s="3" t="n">
        <f aca="false">Dummy_Variables!J195</f>
        <v>0</v>
      </c>
      <c r="S194" s="3" t="n">
        <f aca="false">Cleaned_Data!M195</f>
        <v>443275.59</v>
      </c>
    </row>
    <row r="195" customFormat="false" ht="15" hidden="false" customHeight="true" outlineLevel="0" collapsed="false">
      <c r="A195" s="3" t="str">
        <f aca="false">Cleaned_Data!A196</f>
        <v>STR-1048</v>
      </c>
      <c r="B195" s="4" t="n">
        <f aca="false">Cleaned_Data!B196</f>
        <v>45748</v>
      </c>
      <c r="C195" s="3" t="str">
        <f aca="false">Cleaned_Data!C196</f>
        <v>East</v>
      </c>
      <c r="D195" s="3" t="str">
        <f aca="false">Cleaned_Data!D196</f>
        <v>High Street</v>
      </c>
      <c r="E195" s="3" t="n">
        <f aca="false">Cleaned_Data!E196</f>
        <v>54966.18</v>
      </c>
      <c r="F195" s="3" t="n">
        <f aca="false">Cleaned_Data!F196</f>
        <v>4423</v>
      </c>
      <c r="G195" s="3" t="n">
        <f aca="false">Cleaned_Data!G196</f>
        <v>0.186</v>
      </c>
      <c r="H195" s="3" t="n">
        <f aca="false">Cleaned_Data!H196</f>
        <v>13</v>
      </c>
      <c r="I195" s="3" t="n">
        <f aca="false">Cleaned_Data!I196</f>
        <v>88.7</v>
      </c>
      <c r="J195" s="3" t="n">
        <f aca="false">Cleaned_Data!J196</f>
        <v>0.2</v>
      </c>
      <c r="K195" s="3" t="n">
        <f aca="false">Cleaned_Data!K196</f>
        <v>0</v>
      </c>
      <c r="L195" s="3" t="n">
        <f aca="false">Cleaned_Data!L196</f>
        <v>4.4</v>
      </c>
      <c r="M195" s="3" t="n">
        <f aca="false">Dummy_Variables!E196</f>
        <v>0</v>
      </c>
      <c r="N195" s="3" t="n">
        <f aca="false">Dummy_Variables!F196</f>
        <v>0</v>
      </c>
      <c r="O195" s="3" t="n">
        <f aca="false">Dummy_Variables!G196</f>
        <v>0</v>
      </c>
      <c r="P195" s="3" t="n">
        <f aca="false">Dummy_Variables!H196</f>
        <v>0</v>
      </c>
      <c r="Q195" s="3" t="n">
        <f aca="false">Dummy_Variables!I196</f>
        <v>0</v>
      </c>
      <c r="R195" s="3" t="n">
        <f aca="false">Dummy_Variables!J196</f>
        <v>0</v>
      </c>
      <c r="S195" s="3" t="n">
        <f aca="false">Cleaned_Data!M196</f>
        <v>554012.07</v>
      </c>
    </row>
    <row r="196" customFormat="false" ht="15" hidden="false" customHeight="true" outlineLevel="0" collapsed="false">
      <c r="A196" s="3" t="str">
        <f aca="false">Cleaned_Data!A197</f>
        <v>STR-1049</v>
      </c>
      <c r="B196" s="4" t="n">
        <f aca="false">Cleaned_Data!B197</f>
        <v>45658</v>
      </c>
      <c r="C196" s="3" t="str">
        <f aca="false">Cleaned_Data!C197</f>
        <v>West</v>
      </c>
      <c r="D196" s="3" t="str">
        <f aca="false">Cleaned_Data!D197</f>
        <v>Residential</v>
      </c>
      <c r="E196" s="3" t="n">
        <f aca="false">Cleaned_Data!E197</f>
        <v>81796.74</v>
      </c>
      <c r="F196" s="3" t="n">
        <f aca="false">Cleaned_Data!F197</f>
        <v>6177</v>
      </c>
      <c r="G196" s="3" t="n">
        <f aca="false">Cleaned_Data!G197</f>
        <v>0.164</v>
      </c>
      <c r="H196" s="3" t="n">
        <f aca="false">Cleaned_Data!H197</f>
        <v>14</v>
      </c>
      <c r="I196" s="3" t="n">
        <f aca="false">Cleaned_Data!I197</f>
        <v>87.9</v>
      </c>
      <c r="J196" s="3" t="n">
        <f aca="false">Cleaned_Data!J197</f>
        <v>0.53</v>
      </c>
      <c r="K196" s="3" t="n">
        <f aca="false">Cleaned_Data!K197</f>
        <v>0</v>
      </c>
      <c r="L196" s="3" t="n">
        <f aca="false">Cleaned_Data!L197</f>
        <v>3.2</v>
      </c>
      <c r="M196" s="3" t="n">
        <f aca="false">Dummy_Variables!E197</f>
        <v>0</v>
      </c>
      <c r="N196" s="3" t="n">
        <f aca="false">Dummy_Variables!F197</f>
        <v>0</v>
      </c>
      <c r="O196" s="3" t="n">
        <f aca="false">Dummy_Variables!G197</f>
        <v>1</v>
      </c>
      <c r="P196" s="3" t="n">
        <f aca="false">Dummy_Variables!H197</f>
        <v>0</v>
      </c>
      <c r="Q196" s="3" t="n">
        <f aca="false">Dummy_Variables!I197</f>
        <v>0</v>
      </c>
      <c r="R196" s="3" t="n">
        <f aca="false">Dummy_Variables!J197</f>
        <v>1</v>
      </c>
      <c r="S196" s="3" t="n">
        <f aca="false">Cleaned_Data!M197</f>
        <v>643428.85</v>
      </c>
    </row>
    <row r="197" customFormat="false" ht="15" hidden="false" customHeight="true" outlineLevel="0" collapsed="false">
      <c r="A197" s="3" t="str">
        <f aca="false">Cleaned_Data!A198</f>
        <v>STR-1049</v>
      </c>
      <c r="B197" s="4" t="n">
        <f aca="false">Cleaned_Data!B198</f>
        <v>45689</v>
      </c>
      <c r="C197" s="3" t="str">
        <f aca="false">Cleaned_Data!C198</f>
        <v>West</v>
      </c>
      <c r="D197" s="3" t="str">
        <f aca="false">Cleaned_Data!D198</f>
        <v>Residential</v>
      </c>
      <c r="E197" s="3" t="n">
        <f aca="false">Cleaned_Data!E198</f>
        <v>51133.43</v>
      </c>
      <c r="F197" s="3" t="n">
        <f aca="false">Cleaned_Data!F198</f>
        <v>5150</v>
      </c>
      <c r="G197" s="3" t="n">
        <f aca="false">Cleaned_Data!G198</f>
        <v>0.15</v>
      </c>
      <c r="H197" s="3" t="n">
        <f aca="false">Cleaned_Data!H198</f>
        <v>12</v>
      </c>
      <c r="I197" s="3" t="n">
        <f aca="false">Cleaned_Data!I198</f>
        <v>88.5</v>
      </c>
      <c r="J197" s="3" t="n">
        <f aca="false">Cleaned_Data!J198</f>
        <v>1.54</v>
      </c>
      <c r="K197" s="3" t="n">
        <f aca="false">Cleaned_Data!K198</f>
        <v>0</v>
      </c>
      <c r="L197" s="3" t="n">
        <f aca="false">Cleaned_Data!L198</f>
        <v>3.2</v>
      </c>
      <c r="M197" s="3" t="n">
        <f aca="false">Dummy_Variables!E198</f>
        <v>0</v>
      </c>
      <c r="N197" s="3" t="n">
        <f aca="false">Dummy_Variables!F198</f>
        <v>0</v>
      </c>
      <c r="O197" s="3" t="n">
        <f aca="false">Dummy_Variables!G198</f>
        <v>1</v>
      </c>
      <c r="P197" s="3" t="n">
        <f aca="false">Dummy_Variables!H198</f>
        <v>0</v>
      </c>
      <c r="Q197" s="3" t="n">
        <f aca="false">Dummy_Variables!I198</f>
        <v>0</v>
      </c>
      <c r="R197" s="3" t="n">
        <f aca="false">Dummy_Variables!J198</f>
        <v>1</v>
      </c>
      <c r="S197" s="3" t="n">
        <f aca="false">Cleaned_Data!M198</f>
        <v>611924.27</v>
      </c>
    </row>
    <row r="198" customFormat="false" ht="15" hidden="false" customHeight="true" outlineLevel="0" collapsed="false">
      <c r="A198" s="3" t="str">
        <f aca="false">Cleaned_Data!A199</f>
        <v>STR-1049</v>
      </c>
      <c r="B198" s="4" t="n">
        <f aca="false">Cleaned_Data!B199</f>
        <v>45717</v>
      </c>
      <c r="C198" s="3" t="str">
        <f aca="false">Cleaned_Data!C199</f>
        <v>West</v>
      </c>
      <c r="D198" s="3" t="str">
        <f aca="false">Cleaned_Data!D199</f>
        <v>Residential</v>
      </c>
      <c r="E198" s="3" t="n">
        <f aca="false">Cleaned_Data!E199</f>
        <v>40220.18</v>
      </c>
      <c r="F198" s="3" t="n">
        <f aca="false">Cleaned_Data!F199</f>
        <v>3783</v>
      </c>
      <c r="G198" s="3" t="n">
        <f aca="false">Cleaned_Data!G199</f>
        <v>0.089</v>
      </c>
      <c r="H198" s="3" t="n">
        <f aca="false">Cleaned_Data!H199</f>
        <v>14</v>
      </c>
      <c r="I198" s="3" t="n">
        <f aca="false">Cleaned_Data!I199</f>
        <v>86.6</v>
      </c>
      <c r="J198" s="3" t="n">
        <f aca="false">Cleaned_Data!J199</f>
        <v>3.63</v>
      </c>
      <c r="K198" s="3" t="n">
        <f aca="false">Cleaned_Data!K199</f>
        <v>0</v>
      </c>
      <c r="L198" s="3" t="n">
        <f aca="false">Cleaned_Data!L199</f>
        <v>3.7</v>
      </c>
      <c r="M198" s="3" t="n">
        <f aca="false">Dummy_Variables!E199</f>
        <v>0</v>
      </c>
      <c r="N198" s="3" t="n">
        <f aca="false">Dummy_Variables!F199</f>
        <v>0</v>
      </c>
      <c r="O198" s="3" t="n">
        <f aca="false">Dummy_Variables!G199</f>
        <v>1</v>
      </c>
      <c r="P198" s="3" t="n">
        <f aca="false">Dummy_Variables!H199</f>
        <v>0</v>
      </c>
      <c r="Q198" s="3" t="n">
        <f aca="false">Dummy_Variables!I199</f>
        <v>0</v>
      </c>
      <c r="R198" s="3" t="n">
        <f aca="false">Dummy_Variables!J199</f>
        <v>1</v>
      </c>
      <c r="S198" s="3" t="n">
        <f aca="false">Cleaned_Data!M199</f>
        <v>559422.02</v>
      </c>
    </row>
    <row r="199" customFormat="false" ht="15" hidden="false" customHeight="true" outlineLevel="0" collapsed="false">
      <c r="A199" s="3" t="str">
        <f aca="false">Cleaned_Data!A200</f>
        <v>STR-1049</v>
      </c>
      <c r="B199" s="4" t="n">
        <f aca="false">Cleaned_Data!B200</f>
        <v>45748</v>
      </c>
      <c r="C199" s="3" t="str">
        <f aca="false">Cleaned_Data!C200</f>
        <v>West</v>
      </c>
      <c r="D199" s="3" t="str">
        <f aca="false">Cleaned_Data!D200</f>
        <v>Residential</v>
      </c>
      <c r="E199" s="3" t="n">
        <f aca="false">Cleaned_Data!E200</f>
        <v>41657.64</v>
      </c>
      <c r="F199" s="3" t="n">
        <f aca="false">Cleaned_Data!F200</f>
        <v>3135</v>
      </c>
      <c r="G199" s="3" t="n">
        <f aca="false">Cleaned_Data!G200</f>
        <v>0.229</v>
      </c>
      <c r="H199" s="3" t="n">
        <f aca="false">Cleaned_Data!H200</f>
        <v>7</v>
      </c>
      <c r="I199" s="3" t="n">
        <f aca="false">Cleaned_Data!I200</f>
        <v>85.4</v>
      </c>
      <c r="J199" s="3" t="n">
        <f aca="false">Cleaned_Data!J200</f>
        <v>13.48</v>
      </c>
      <c r="K199" s="3" t="n">
        <f aca="false">Cleaned_Data!K200</f>
        <v>0</v>
      </c>
      <c r="L199" s="3" t="n">
        <f aca="false">Cleaned_Data!L200</f>
        <v>3.9</v>
      </c>
      <c r="M199" s="3" t="n">
        <f aca="false">Dummy_Variables!E200</f>
        <v>0</v>
      </c>
      <c r="N199" s="3" t="n">
        <f aca="false">Dummy_Variables!F200</f>
        <v>0</v>
      </c>
      <c r="O199" s="3" t="n">
        <f aca="false">Dummy_Variables!G200</f>
        <v>1</v>
      </c>
      <c r="P199" s="3" t="n">
        <f aca="false">Dummy_Variables!H200</f>
        <v>0</v>
      </c>
      <c r="Q199" s="3" t="n">
        <f aca="false">Dummy_Variables!I200</f>
        <v>0</v>
      </c>
      <c r="R199" s="3" t="n">
        <f aca="false">Dummy_Variables!J200</f>
        <v>1</v>
      </c>
      <c r="S199" s="3" t="n">
        <f aca="false">Cleaned_Data!M200</f>
        <v>449465.06</v>
      </c>
    </row>
    <row r="200" customFormat="false" ht="15" hidden="false" customHeight="true" outlineLevel="0" collapsed="false">
      <c r="A200" s="3" t="str">
        <f aca="false">Cleaned_Data!A201</f>
        <v>STR-1050</v>
      </c>
      <c r="B200" s="4" t="n">
        <f aca="false">Cleaned_Data!B201</f>
        <v>45658</v>
      </c>
      <c r="C200" s="3" t="str">
        <f aca="false">Cleaned_Data!C201</f>
        <v>North</v>
      </c>
      <c r="D200" s="3" t="str">
        <f aca="false">Cleaned_Data!D201</f>
        <v>Residential</v>
      </c>
      <c r="E200" s="3" t="n">
        <f aca="false">Cleaned_Data!E201</f>
        <v>71851.45</v>
      </c>
      <c r="F200" s="3" t="n">
        <f aca="false">Cleaned_Data!F201</f>
        <v>4970</v>
      </c>
      <c r="G200" s="3" t="n">
        <f aca="false">Cleaned_Data!G201</f>
        <v>0.098</v>
      </c>
      <c r="H200" s="3" t="n">
        <f aca="false">Cleaned_Data!H201</f>
        <v>11</v>
      </c>
      <c r="I200" s="3" t="n">
        <f aca="false">Cleaned_Data!I201</f>
        <v>89.6</v>
      </c>
      <c r="J200" s="3" t="n">
        <f aca="false">Cleaned_Data!J201</f>
        <v>0.2</v>
      </c>
      <c r="K200" s="3" t="n">
        <f aca="false">Cleaned_Data!K201</f>
        <v>0</v>
      </c>
      <c r="L200" s="3" t="n">
        <f aca="false">Cleaned_Data!L201</f>
        <v>4.2</v>
      </c>
      <c r="M200" s="3" t="n">
        <f aca="false">Dummy_Variables!E201</f>
        <v>0</v>
      </c>
      <c r="N200" s="3" t="n">
        <f aca="false">Dummy_Variables!F201</f>
        <v>0</v>
      </c>
      <c r="O200" s="3" t="n">
        <f aca="false">Dummy_Variables!G201</f>
        <v>1</v>
      </c>
      <c r="P200" s="3" t="n">
        <f aca="false">Dummy_Variables!H201</f>
        <v>1</v>
      </c>
      <c r="Q200" s="3" t="n">
        <f aca="false">Dummy_Variables!I201</f>
        <v>0</v>
      </c>
      <c r="R200" s="3" t="n">
        <f aca="false">Dummy_Variables!J201</f>
        <v>0</v>
      </c>
      <c r="S200" s="3" t="n">
        <f aca="false">Cleaned_Data!M201</f>
        <v>691447.43</v>
      </c>
    </row>
    <row r="201" customFormat="false" ht="15" hidden="false" customHeight="true" outlineLevel="0" collapsed="false">
      <c r="A201" s="3" t="str">
        <f aca="false">Cleaned_Data!A202</f>
        <v>STR-1050</v>
      </c>
      <c r="B201" s="4" t="n">
        <f aca="false">Cleaned_Data!B202</f>
        <v>45689</v>
      </c>
      <c r="C201" s="3" t="str">
        <f aca="false">Cleaned_Data!C202</f>
        <v>North</v>
      </c>
      <c r="D201" s="3" t="str">
        <f aca="false">Cleaned_Data!D202</f>
        <v>Residential</v>
      </c>
      <c r="E201" s="3" t="n">
        <f aca="false">Cleaned_Data!E202</f>
        <v>54002.83</v>
      </c>
      <c r="F201" s="3" t="n">
        <f aca="false">Cleaned_Data!F202</f>
        <v>4366</v>
      </c>
      <c r="G201" s="3" t="n">
        <f aca="false">Cleaned_Data!G202</f>
        <v>0.027</v>
      </c>
      <c r="H201" s="3" t="n">
        <f aca="false">Cleaned_Data!H202</f>
        <v>15</v>
      </c>
      <c r="I201" s="3" t="n">
        <f aca="false">Cleaned_Data!I202</f>
        <v>90.6</v>
      </c>
      <c r="J201" s="3" t="n">
        <f aca="false">Cleaned_Data!J202</f>
        <v>12.82</v>
      </c>
      <c r="K201" s="3" t="n">
        <f aca="false">Cleaned_Data!K202</f>
        <v>0</v>
      </c>
      <c r="L201" s="3" t="n">
        <f aca="false">Cleaned_Data!L202</f>
        <v>4.6</v>
      </c>
      <c r="M201" s="3" t="n">
        <f aca="false">Dummy_Variables!E202</f>
        <v>0</v>
      </c>
      <c r="N201" s="3" t="n">
        <f aca="false">Dummy_Variables!F202</f>
        <v>0</v>
      </c>
      <c r="O201" s="3" t="n">
        <f aca="false">Dummy_Variables!G202</f>
        <v>1</v>
      </c>
      <c r="P201" s="3" t="n">
        <f aca="false">Dummy_Variables!H202</f>
        <v>1</v>
      </c>
      <c r="Q201" s="3" t="n">
        <f aca="false">Dummy_Variables!I202</f>
        <v>0</v>
      </c>
      <c r="R201" s="3" t="n">
        <f aca="false">Dummy_Variables!J202</f>
        <v>0</v>
      </c>
      <c r="S201" s="3" t="n">
        <f aca="false">Cleaned_Data!M202</f>
        <v>574066.61</v>
      </c>
    </row>
    <row r="202" customFormat="false" ht="15" hidden="false" customHeight="true" outlineLevel="0" collapsed="false">
      <c r="A202" s="3" t="str">
        <f aca="false">Cleaned_Data!A203</f>
        <v>STR-1050</v>
      </c>
      <c r="B202" s="4" t="n">
        <f aca="false">Cleaned_Data!B203</f>
        <v>45717</v>
      </c>
      <c r="C202" s="3" t="str">
        <f aca="false">Cleaned_Data!C203</f>
        <v>North</v>
      </c>
      <c r="D202" s="3" t="str">
        <f aca="false">Cleaned_Data!D203</f>
        <v>Residential</v>
      </c>
      <c r="E202" s="3" t="n">
        <f aca="false">Cleaned_Data!E203</f>
        <v>54479.33</v>
      </c>
      <c r="F202" s="3" t="n">
        <f aca="false">Cleaned_Data!F203</f>
        <v>5012</v>
      </c>
      <c r="G202" s="3" t="n">
        <f aca="false">Cleaned_Data!G203</f>
        <v>0.284</v>
      </c>
      <c r="H202" s="3" t="n">
        <f aca="false">Cleaned_Data!H203</f>
        <v>13</v>
      </c>
      <c r="I202" s="3" t="n">
        <f aca="false">Cleaned_Data!I203</f>
        <v>86</v>
      </c>
      <c r="J202" s="3" t="n">
        <f aca="false">Cleaned_Data!J203</f>
        <v>2.24</v>
      </c>
      <c r="K202" s="3" t="n">
        <f aca="false">Cleaned_Data!K203</f>
        <v>1</v>
      </c>
      <c r="L202" s="3" t="n">
        <f aca="false">Cleaned_Data!L203</f>
        <v>4.3</v>
      </c>
      <c r="M202" s="3" t="n">
        <f aca="false">Dummy_Variables!E203</f>
        <v>0</v>
      </c>
      <c r="N202" s="3" t="n">
        <f aca="false">Dummy_Variables!F203</f>
        <v>0</v>
      </c>
      <c r="O202" s="3" t="n">
        <f aca="false">Dummy_Variables!G203</f>
        <v>1</v>
      </c>
      <c r="P202" s="3" t="n">
        <f aca="false">Dummy_Variables!H203</f>
        <v>1</v>
      </c>
      <c r="Q202" s="3" t="n">
        <f aca="false">Dummy_Variables!I203</f>
        <v>0</v>
      </c>
      <c r="R202" s="3" t="n">
        <f aca="false">Dummy_Variables!J203</f>
        <v>0</v>
      </c>
      <c r="S202" s="3" t="n">
        <f aca="false">Cleaned_Data!M203</f>
        <v>578949.84</v>
      </c>
    </row>
    <row r="203" customFormat="false" ht="15" hidden="false" customHeight="true" outlineLevel="0" collapsed="false">
      <c r="A203" s="3" t="str">
        <f aca="false">Cleaned_Data!A204</f>
        <v>STR-1050</v>
      </c>
      <c r="B203" s="4" t="n">
        <f aca="false">Cleaned_Data!B204</f>
        <v>45748</v>
      </c>
      <c r="C203" s="3" t="str">
        <f aca="false">Cleaned_Data!C204</f>
        <v>North</v>
      </c>
      <c r="D203" s="3" t="str">
        <f aca="false">Cleaned_Data!D204</f>
        <v>Residential</v>
      </c>
      <c r="E203" s="3" t="n">
        <f aca="false">Cleaned_Data!E204</f>
        <v>61391.8</v>
      </c>
      <c r="F203" s="3" t="n">
        <f aca="false">Cleaned_Data!F204</f>
        <v>5575</v>
      </c>
      <c r="G203" s="3" t="n">
        <f aca="false">Cleaned_Data!G204</f>
        <v>0.189</v>
      </c>
      <c r="H203" s="3" t="n">
        <f aca="false">Cleaned_Data!H204</f>
        <v>18</v>
      </c>
      <c r="I203" s="3" t="n">
        <f aca="false">Cleaned_Data!I204</f>
        <v>90</v>
      </c>
      <c r="J203" s="3" t="n">
        <f aca="false">Cleaned_Data!J204</f>
        <v>1.8</v>
      </c>
      <c r="K203" s="3" t="n">
        <f aca="false">Cleaned_Data!K204</f>
        <v>0</v>
      </c>
      <c r="L203" s="3" t="n">
        <f aca="false">Cleaned_Data!L204</f>
        <v>4.8</v>
      </c>
      <c r="M203" s="3" t="n">
        <f aca="false">Dummy_Variables!E204</f>
        <v>0</v>
      </c>
      <c r="N203" s="3" t="n">
        <f aca="false">Dummy_Variables!F204</f>
        <v>0</v>
      </c>
      <c r="O203" s="3" t="n">
        <f aca="false">Dummy_Variables!G204</f>
        <v>1</v>
      </c>
      <c r="P203" s="3" t="n">
        <f aca="false">Dummy_Variables!H204</f>
        <v>1</v>
      </c>
      <c r="Q203" s="3" t="n">
        <f aca="false">Dummy_Variables!I204</f>
        <v>0</v>
      </c>
      <c r="R203" s="3" t="n">
        <f aca="false">Dummy_Variables!J204</f>
        <v>0</v>
      </c>
      <c r="S203" s="3" t="n">
        <f aca="false">Cleaned_Data!M204</f>
        <v>735786.64</v>
      </c>
    </row>
    <row r="204" customFormat="false" ht="15" hidden="false" customHeight="true" outlineLevel="0" collapsed="false">
      <c r="A204" s="3" t="str">
        <f aca="false">Cleaned_Data!A205</f>
        <v>STR-1051</v>
      </c>
      <c r="B204" s="4" t="n">
        <f aca="false">Cleaned_Data!B205</f>
        <v>45658</v>
      </c>
      <c r="C204" s="3" t="str">
        <f aca="false">Cleaned_Data!C205</f>
        <v>East</v>
      </c>
      <c r="D204" s="3" t="str">
        <f aca="false">Cleaned_Data!D205</f>
        <v>Airport</v>
      </c>
      <c r="E204" s="3" t="n">
        <f aca="false">Cleaned_Data!E205</f>
        <v>22312.93</v>
      </c>
      <c r="F204" s="3" t="n">
        <f aca="false">Cleaned_Data!F205</f>
        <v>5955</v>
      </c>
      <c r="G204" s="3" t="n">
        <f aca="false">Cleaned_Data!G205</f>
        <v>0.123</v>
      </c>
      <c r="H204" s="3" t="n">
        <f aca="false">Cleaned_Data!H205</f>
        <v>13</v>
      </c>
      <c r="I204" s="3" t="n">
        <f aca="false">Cleaned_Data!I205</f>
        <v>84.2</v>
      </c>
      <c r="J204" s="3" t="n">
        <f aca="false">Cleaned_Data!J205</f>
        <v>0.41</v>
      </c>
      <c r="K204" s="3" t="n">
        <f aca="false">Cleaned_Data!K205</f>
        <v>1</v>
      </c>
      <c r="L204" s="3" t="n">
        <f aca="false">Cleaned_Data!L205</f>
        <v>4.6</v>
      </c>
      <c r="M204" s="3" t="n">
        <f aca="false">Dummy_Variables!E205</f>
        <v>1</v>
      </c>
      <c r="N204" s="3" t="n">
        <f aca="false">Dummy_Variables!F205</f>
        <v>0</v>
      </c>
      <c r="O204" s="3" t="n">
        <f aca="false">Dummy_Variables!G205</f>
        <v>0</v>
      </c>
      <c r="P204" s="3" t="n">
        <f aca="false">Dummy_Variables!H205</f>
        <v>0</v>
      </c>
      <c r="Q204" s="3" t="n">
        <f aca="false">Dummy_Variables!I205</f>
        <v>0</v>
      </c>
      <c r="R204" s="3" t="n">
        <f aca="false">Dummy_Variables!J205</f>
        <v>0</v>
      </c>
      <c r="S204" s="3" t="n">
        <f aca="false">Cleaned_Data!M205</f>
        <v>598904.9</v>
      </c>
    </row>
    <row r="205" customFormat="false" ht="15" hidden="false" customHeight="true" outlineLevel="0" collapsed="false">
      <c r="A205" s="3" t="str">
        <f aca="false">Cleaned_Data!A206</f>
        <v>STR-1051</v>
      </c>
      <c r="B205" s="4" t="n">
        <f aca="false">Cleaned_Data!B206</f>
        <v>45689</v>
      </c>
      <c r="C205" s="3" t="str">
        <f aca="false">Cleaned_Data!C206</f>
        <v>East</v>
      </c>
      <c r="D205" s="3" t="str">
        <f aca="false">Cleaned_Data!D206</f>
        <v>Airport</v>
      </c>
      <c r="E205" s="3" t="n">
        <f aca="false">Cleaned_Data!E206</f>
        <v>78111.97</v>
      </c>
      <c r="F205" s="3" t="n">
        <f aca="false">Cleaned_Data!F206</f>
        <v>6389</v>
      </c>
      <c r="G205" s="3" t="n">
        <f aca="false">Cleaned_Data!G206</f>
        <v>0.15</v>
      </c>
      <c r="H205" s="3" t="n">
        <f aca="false">Cleaned_Data!H206</f>
        <v>13</v>
      </c>
      <c r="I205" s="3" t="n">
        <f aca="false">Cleaned_Data!I206</f>
        <v>83.9</v>
      </c>
      <c r="J205" s="3" t="n">
        <f aca="false">Cleaned_Data!J206</f>
        <v>3.05</v>
      </c>
      <c r="K205" s="3" t="n">
        <f aca="false">Cleaned_Data!K206</f>
        <v>0</v>
      </c>
      <c r="L205" s="3" t="n">
        <f aca="false">Cleaned_Data!L206</f>
        <v>4.8</v>
      </c>
      <c r="M205" s="3" t="n">
        <f aca="false">Dummy_Variables!E206</f>
        <v>1</v>
      </c>
      <c r="N205" s="3" t="n">
        <f aca="false">Dummy_Variables!F206</f>
        <v>0</v>
      </c>
      <c r="O205" s="3" t="n">
        <f aca="false">Dummy_Variables!G206</f>
        <v>0</v>
      </c>
      <c r="P205" s="3" t="n">
        <f aca="false">Dummy_Variables!H206</f>
        <v>0</v>
      </c>
      <c r="Q205" s="3" t="n">
        <f aca="false">Dummy_Variables!I206</f>
        <v>0</v>
      </c>
      <c r="R205" s="3" t="n">
        <f aca="false">Dummy_Variables!J206</f>
        <v>0</v>
      </c>
      <c r="S205" s="3" t="n">
        <f aca="false">Cleaned_Data!M206</f>
        <v>787715.51</v>
      </c>
    </row>
    <row r="206" customFormat="false" ht="15" hidden="false" customHeight="true" outlineLevel="0" collapsed="false">
      <c r="A206" s="3" t="str">
        <f aca="false">Cleaned_Data!A207</f>
        <v>STR-1051</v>
      </c>
      <c r="B206" s="4" t="n">
        <f aca="false">Cleaned_Data!B207</f>
        <v>45717</v>
      </c>
      <c r="C206" s="3" t="str">
        <f aca="false">Cleaned_Data!C207</f>
        <v>East</v>
      </c>
      <c r="D206" s="3" t="str">
        <f aca="false">Cleaned_Data!D207</f>
        <v>Airport</v>
      </c>
      <c r="E206" s="3" t="n">
        <f aca="false">Cleaned_Data!E207</f>
        <v>35203.23</v>
      </c>
      <c r="F206" s="3" t="n">
        <f aca="false">Cleaned_Data!F207</f>
        <v>6896</v>
      </c>
      <c r="G206" s="3" t="n">
        <f aca="false">Cleaned_Data!G207</f>
        <v>0.032</v>
      </c>
      <c r="H206" s="3" t="n">
        <f aca="false">Cleaned_Data!H207</f>
        <v>14</v>
      </c>
      <c r="I206" s="3" t="n">
        <f aca="false">Cleaned_Data!I207</f>
        <v>80.8</v>
      </c>
      <c r="J206" s="3" t="n">
        <f aca="false">Cleaned_Data!J207</f>
        <v>8.44</v>
      </c>
      <c r="K206" s="3" t="n">
        <f aca="false">Cleaned_Data!K207</f>
        <v>1</v>
      </c>
      <c r="L206" s="3" t="n">
        <f aca="false">Cleaned_Data!L207</f>
        <v>5</v>
      </c>
      <c r="M206" s="3" t="n">
        <f aca="false">Dummy_Variables!E207</f>
        <v>1</v>
      </c>
      <c r="N206" s="3" t="n">
        <f aca="false">Dummy_Variables!F207</f>
        <v>0</v>
      </c>
      <c r="O206" s="3" t="n">
        <f aca="false">Dummy_Variables!G207</f>
        <v>0</v>
      </c>
      <c r="P206" s="3" t="n">
        <f aca="false">Dummy_Variables!H207</f>
        <v>0</v>
      </c>
      <c r="Q206" s="3" t="n">
        <f aca="false">Dummy_Variables!I207</f>
        <v>0</v>
      </c>
      <c r="R206" s="3" t="n">
        <f aca="false">Dummy_Variables!J207</f>
        <v>0</v>
      </c>
      <c r="S206" s="3" t="n">
        <f aca="false">Cleaned_Data!M207</f>
        <v>607084.92</v>
      </c>
    </row>
    <row r="207" customFormat="false" ht="15" hidden="false" customHeight="true" outlineLevel="0" collapsed="false">
      <c r="A207" s="3" t="str">
        <f aca="false">Cleaned_Data!A208</f>
        <v>STR-1051</v>
      </c>
      <c r="B207" s="4" t="n">
        <f aca="false">Cleaned_Data!B208</f>
        <v>45748</v>
      </c>
      <c r="C207" s="3" t="str">
        <f aca="false">Cleaned_Data!C208</f>
        <v>East</v>
      </c>
      <c r="D207" s="3" t="str">
        <f aca="false">Cleaned_Data!D208</f>
        <v>Airport</v>
      </c>
      <c r="E207" s="3" t="n">
        <f aca="false">Cleaned_Data!E208</f>
        <v>64104.28</v>
      </c>
      <c r="F207" s="3" t="n">
        <f aca="false">Cleaned_Data!F208</f>
        <v>6015</v>
      </c>
      <c r="G207" s="3" t="n">
        <f aca="false">Cleaned_Data!G208</f>
        <v>0.127</v>
      </c>
      <c r="H207" s="3" t="n">
        <f aca="false">Cleaned_Data!H208</f>
        <v>15</v>
      </c>
      <c r="I207" s="3" t="n">
        <f aca="false">Cleaned_Data!I208</f>
        <v>88.7</v>
      </c>
      <c r="J207" s="3" t="n">
        <f aca="false">Cleaned_Data!J208</f>
        <v>0.78</v>
      </c>
      <c r="K207" s="3" t="n">
        <f aca="false">Cleaned_Data!K208</f>
        <v>0</v>
      </c>
      <c r="L207" s="3" t="n">
        <f aca="false">Cleaned_Data!L208</f>
        <v>4</v>
      </c>
      <c r="M207" s="3" t="n">
        <f aca="false">Dummy_Variables!E208</f>
        <v>1</v>
      </c>
      <c r="N207" s="3" t="n">
        <f aca="false">Dummy_Variables!F208</f>
        <v>0</v>
      </c>
      <c r="O207" s="3" t="n">
        <f aca="false">Dummy_Variables!G208</f>
        <v>0</v>
      </c>
      <c r="P207" s="3" t="n">
        <f aca="false">Dummy_Variables!H208</f>
        <v>0</v>
      </c>
      <c r="Q207" s="3" t="n">
        <f aca="false">Dummy_Variables!I208</f>
        <v>0</v>
      </c>
      <c r="R207" s="3" t="n">
        <f aca="false">Dummy_Variables!J208</f>
        <v>0</v>
      </c>
      <c r="S207" s="3" t="n">
        <f aca="false">Cleaned_Data!M208</f>
        <v>650795.49</v>
      </c>
    </row>
    <row r="208" customFormat="false" ht="15" hidden="false" customHeight="true" outlineLevel="0" collapsed="false">
      <c r="A208" s="3" t="str">
        <f aca="false">Cleaned_Data!A209</f>
        <v>STR-1052</v>
      </c>
      <c r="B208" s="4" t="n">
        <f aca="false">Cleaned_Data!B209</f>
        <v>45658</v>
      </c>
      <c r="C208" s="3" t="str">
        <f aca="false">Cleaned_Data!C209</f>
        <v>East</v>
      </c>
      <c r="D208" s="3" t="str">
        <f aca="false">Cleaned_Data!D209</f>
        <v>Mall</v>
      </c>
      <c r="E208" s="3" t="n">
        <f aca="false">Cleaned_Data!E209</f>
        <v>92090.14</v>
      </c>
      <c r="F208" s="3" t="n">
        <f aca="false">Cleaned_Data!F209</f>
        <v>9476</v>
      </c>
      <c r="G208" s="3" t="n">
        <f aca="false">Cleaned_Data!G209</f>
        <v>0.07</v>
      </c>
      <c r="H208" s="3" t="n">
        <f aca="false">Cleaned_Data!H209</f>
        <v>24</v>
      </c>
      <c r="I208" s="3" t="n">
        <f aca="false">Cleaned_Data!I209</f>
        <v>94.3</v>
      </c>
      <c r="J208" s="3" t="n">
        <f aca="false">Cleaned_Data!J209</f>
        <v>0.87</v>
      </c>
      <c r="K208" s="3" t="n">
        <f aca="false">Cleaned_Data!K209</f>
        <v>0</v>
      </c>
      <c r="L208" s="3" t="n">
        <f aca="false">Cleaned_Data!L209</f>
        <v>3.7</v>
      </c>
      <c r="M208" s="3" t="n">
        <f aca="false">Dummy_Variables!E209</f>
        <v>0</v>
      </c>
      <c r="N208" s="3" t="n">
        <f aca="false">Dummy_Variables!F209</f>
        <v>1</v>
      </c>
      <c r="O208" s="3" t="n">
        <f aca="false">Dummy_Variables!G209</f>
        <v>0</v>
      </c>
      <c r="P208" s="3" t="n">
        <f aca="false">Dummy_Variables!H209</f>
        <v>0</v>
      </c>
      <c r="Q208" s="3" t="n">
        <f aca="false">Dummy_Variables!I209</f>
        <v>0</v>
      </c>
      <c r="R208" s="3" t="n">
        <f aca="false">Dummy_Variables!J209</f>
        <v>0</v>
      </c>
      <c r="S208" s="3" t="n">
        <f aca="false">Cleaned_Data!M209</f>
        <v>825060.52</v>
      </c>
    </row>
    <row r="209" customFormat="false" ht="15" hidden="false" customHeight="true" outlineLevel="0" collapsed="false">
      <c r="A209" s="3" t="str">
        <f aca="false">Cleaned_Data!A210</f>
        <v>STR-1052</v>
      </c>
      <c r="B209" s="4" t="n">
        <f aca="false">Cleaned_Data!B210</f>
        <v>45689</v>
      </c>
      <c r="C209" s="3" t="str">
        <f aca="false">Cleaned_Data!C210</f>
        <v>East</v>
      </c>
      <c r="D209" s="3" t="str">
        <f aca="false">Cleaned_Data!D210</f>
        <v>Mall</v>
      </c>
      <c r="E209" s="3" t="n">
        <f aca="false">Cleaned_Data!E210</f>
        <v>54300.87</v>
      </c>
      <c r="F209" s="3" t="n">
        <f aca="false">Cleaned_Data!F210</f>
        <v>7875</v>
      </c>
      <c r="G209" s="3" t="n">
        <f aca="false">Cleaned_Data!G210</f>
        <v>0.107</v>
      </c>
      <c r="H209" s="3" t="n">
        <f aca="false">Cleaned_Data!H210</f>
        <v>19</v>
      </c>
      <c r="I209" s="3" t="n">
        <f aca="false">Cleaned_Data!I210</f>
        <v>94.1</v>
      </c>
      <c r="J209" s="3" t="n">
        <f aca="false">Cleaned_Data!J210</f>
        <v>0.95</v>
      </c>
      <c r="K209" s="3" t="n">
        <f aca="false">Cleaned_Data!K210</f>
        <v>0</v>
      </c>
      <c r="L209" s="3" t="n">
        <f aca="false">Cleaned_Data!L210</f>
        <v>3.7</v>
      </c>
      <c r="M209" s="3" t="n">
        <f aca="false">Dummy_Variables!E210</f>
        <v>0</v>
      </c>
      <c r="N209" s="3" t="n">
        <f aca="false">Dummy_Variables!F210</f>
        <v>1</v>
      </c>
      <c r="O209" s="3" t="n">
        <f aca="false">Dummy_Variables!G210</f>
        <v>0</v>
      </c>
      <c r="P209" s="3" t="n">
        <f aca="false">Dummy_Variables!H210</f>
        <v>0</v>
      </c>
      <c r="Q209" s="3" t="n">
        <f aca="false">Dummy_Variables!I210</f>
        <v>0</v>
      </c>
      <c r="R209" s="3" t="n">
        <f aca="false">Dummy_Variables!J210</f>
        <v>0</v>
      </c>
      <c r="S209" s="3" t="n">
        <f aca="false">Cleaned_Data!M210</f>
        <v>795464.47</v>
      </c>
    </row>
    <row r="210" customFormat="false" ht="15" hidden="false" customHeight="true" outlineLevel="0" collapsed="false">
      <c r="A210" s="3" t="str">
        <f aca="false">Cleaned_Data!A211</f>
        <v>STR-1052</v>
      </c>
      <c r="B210" s="4" t="n">
        <f aca="false">Cleaned_Data!B211</f>
        <v>45717</v>
      </c>
      <c r="C210" s="3" t="str">
        <f aca="false">Cleaned_Data!C211</f>
        <v>East</v>
      </c>
      <c r="D210" s="3" t="str">
        <f aca="false">Cleaned_Data!D211</f>
        <v>Mall</v>
      </c>
      <c r="E210" s="3" t="n">
        <f aca="false">Cleaned_Data!E211</f>
        <v>37983.35</v>
      </c>
      <c r="F210" s="3" t="n">
        <f aca="false">Cleaned_Data!F211</f>
        <v>9283</v>
      </c>
      <c r="G210" s="3" t="n">
        <f aca="false">Cleaned_Data!G211</f>
        <v>0.149</v>
      </c>
      <c r="H210" s="3" t="n">
        <f aca="false">Cleaned_Data!H211</f>
        <v>19</v>
      </c>
      <c r="I210" s="3" t="n">
        <f aca="false">Cleaned_Data!I211</f>
        <v>83.2</v>
      </c>
      <c r="J210" s="3" t="n">
        <f aca="false">Cleaned_Data!J211</f>
        <v>3.82</v>
      </c>
      <c r="K210" s="3" t="n">
        <f aca="false">Cleaned_Data!K211</f>
        <v>0</v>
      </c>
      <c r="L210" s="3" t="n">
        <f aca="false">Cleaned_Data!L211</f>
        <v>3.7</v>
      </c>
      <c r="M210" s="3" t="n">
        <f aca="false">Dummy_Variables!E211</f>
        <v>0</v>
      </c>
      <c r="N210" s="3" t="n">
        <f aca="false">Dummy_Variables!F211</f>
        <v>1</v>
      </c>
      <c r="O210" s="3" t="n">
        <f aca="false">Dummy_Variables!G211</f>
        <v>0</v>
      </c>
      <c r="P210" s="3" t="n">
        <f aca="false">Dummy_Variables!H211</f>
        <v>0</v>
      </c>
      <c r="Q210" s="3" t="n">
        <f aca="false">Dummy_Variables!I211</f>
        <v>0</v>
      </c>
      <c r="R210" s="3" t="n">
        <f aca="false">Dummy_Variables!J211</f>
        <v>0</v>
      </c>
      <c r="S210" s="3" t="n">
        <f aca="false">Cleaned_Data!M211</f>
        <v>671868.59</v>
      </c>
    </row>
    <row r="211" customFormat="false" ht="15" hidden="false" customHeight="true" outlineLevel="0" collapsed="false">
      <c r="A211" s="3" t="str">
        <f aca="false">Cleaned_Data!A212</f>
        <v>STR-1052</v>
      </c>
      <c r="B211" s="4" t="n">
        <f aca="false">Cleaned_Data!B212</f>
        <v>45748</v>
      </c>
      <c r="C211" s="3" t="str">
        <f aca="false">Cleaned_Data!C212</f>
        <v>East</v>
      </c>
      <c r="D211" s="3" t="str">
        <f aca="false">Cleaned_Data!D212</f>
        <v>Mall</v>
      </c>
      <c r="E211" s="3" t="n">
        <f aca="false">Cleaned_Data!E212</f>
        <v>56413.83</v>
      </c>
      <c r="F211" s="3" t="n">
        <f aca="false">Cleaned_Data!F212</f>
        <v>8303</v>
      </c>
      <c r="G211" s="3" t="n">
        <f aca="false">Cleaned_Data!G212</f>
        <v>0.116</v>
      </c>
      <c r="H211" s="3" t="n">
        <f aca="false">Cleaned_Data!H212</f>
        <v>18</v>
      </c>
      <c r="I211" s="3" t="n">
        <f aca="false">Cleaned_Data!I212</f>
        <v>93.6</v>
      </c>
      <c r="J211" s="3" t="n">
        <f aca="false">Cleaned_Data!J212</f>
        <v>2.7</v>
      </c>
      <c r="K211" s="3" t="n">
        <f aca="false">Cleaned_Data!K212</f>
        <v>0</v>
      </c>
      <c r="L211" s="3" t="n">
        <f aca="false">Cleaned_Data!L212</f>
        <v>3.7</v>
      </c>
      <c r="M211" s="3" t="n">
        <f aca="false">Dummy_Variables!E212</f>
        <v>0</v>
      </c>
      <c r="N211" s="3" t="n">
        <f aca="false">Dummy_Variables!F212</f>
        <v>1</v>
      </c>
      <c r="O211" s="3" t="n">
        <f aca="false">Dummy_Variables!G212</f>
        <v>0</v>
      </c>
      <c r="P211" s="3" t="n">
        <f aca="false">Dummy_Variables!H212</f>
        <v>0</v>
      </c>
      <c r="Q211" s="3" t="n">
        <f aca="false">Dummy_Variables!I212</f>
        <v>0</v>
      </c>
      <c r="R211" s="3" t="n">
        <f aca="false">Dummy_Variables!J212</f>
        <v>0</v>
      </c>
      <c r="S211" s="3" t="n">
        <f aca="false">Cleaned_Data!M212</f>
        <v>675917.63</v>
      </c>
    </row>
    <row r="212" customFormat="false" ht="15" hidden="false" customHeight="true" outlineLevel="0" collapsed="false">
      <c r="A212" s="3" t="str">
        <f aca="false">Cleaned_Data!A213</f>
        <v>STR-1053</v>
      </c>
      <c r="B212" s="4" t="n">
        <f aca="false">Cleaned_Data!B213</f>
        <v>45658</v>
      </c>
      <c r="C212" s="3" t="str">
        <f aca="false">Cleaned_Data!C213</f>
        <v>East</v>
      </c>
      <c r="D212" s="3" t="str">
        <f aca="false">Cleaned_Data!D213</f>
        <v>High Street</v>
      </c>
      <c r="E212" s="3" t="n">
        <f aca="false">Cleaned_Data!E213</f>
        <v>63457.19</v>
      </c>
      <c r="F212" s="3" t="n">
        <f aca="false">Cleaned_Data!F213</f>
        <v>10125</v>
      </c>
      <c r="G212" s="3" t="n">
        <f aca="false">Cleaned_Data!G213</f>
        <v>0.097</v>
      </c>
      <c r="H212" s="3" t="n">
        <f aca="false">Cleaned_Data!H213</f>
        <v>24</v>
      </c>
      <c r="I212" s="3" t="n">
        <f aca="false">Cleaned_Data!I213</f>
        <v>87</v>
      </c>
      <c r="J212" s="3" t="n">
        <f aca="false">Cleaned_Data!J213</f>
        <v>3.84</v>
      </c>
      <c r="K212" s="3" t="n">
        <f aca="false">Cleaned_Data!K213</f>
        <v>1</v>
      </c>
      <c r="L212" s="3" t="n">
        <f aca="false">Cleaned_Data!L213</f>
        <v>3.7</v>
      </c>
      <c r="M212" s="3" t="n">
        <f aca="false">Dummy_Variables!E213</f>
        <v>0</v>
      </c>
      <c r="N212" s="3" t="n">
        <f aca="false">Dummy_Variables!F213</f>
        <v>0</v>
      </c>
      <c r="O212" s="3" t="n">
        <f aca="false">Dummy_Variables!G213</f>
        <v>0</v>
      </c>
      <c r="P212" s="3" t="n">
        <f aca="false">Dummy_Variables!H213</f>
        <v>0</v>
      </c>
      <c r="Q212" s="3" t="n">
        <f aca="false">Dummy_Variables!I213</f>
        <v>0</v>
      </c>
      <c r="R212" s="3" t="n">
        <f aca="false">Dummy_Variables!J213</f>
        <v>0</v>
      </c>
      <c r="S212" s="3" t="n">
        <f aca="false">Cleaned_Data!M213</f>
        <v>810446.53</v>
      </c>
    </row>
    <row r="213" customFormat="false" ht="15" hidden="false" customHeight="true" outlineLevel="0" collapsed="false">
      <c r="A213" s="3" t="str">
        <f aca="false">Cleaned_Data!A214</f>
        <v>STR-1053</v>
      </c>
      <c r="B213" s="4" t="n">
        <f aca="false">Cleaned_Data!B214</f>
        <v>45689</v>
      </c>
      <c r="C213" s="3" t="str">
        <f aca="false">Cleaned_Data!C214</f>
        <v>East</v>
      </c>
      <c r="D213" s="3" t="str">
        <f aca="false">Cleaned_Data!D214</f>
        <v>High Street</v>
      </c>
      <c r="E213" s="3" t="n">
        <f aca="false">Cleaned_Data!E214</f>
        <v>62949.7</v>
      </c>
      <c r="F213" s="3" t="n">
        <f aca="false">Cleaned_Data!F214</f>
        <v>9458</v>
      </c>
      <c r="G213" s="3" t="n">
        <f aca="false">Cleaned_Data!G214</f>
        <v>0.171</v>
      </c>
      <c r="H213" s="3" t="n">
        <f aca="false">Cleaned_Data!H214</f>
        <v>19</v>
      </c>
      <c r="I213" s="3" t="n">
        <f aca="false">Cleaned_Data!I214</f>
        <v>84.9</v>
      </c>
      <c r="J213" s="3" t="n">
        <f aca="false">Cleaned_Data!J214</f>
        <v>5.09</v>
      </c>
      <c r="K213" s="3" t="n">
        <f aca="false">Cleaned_Data!K214</f>
        <v>0</v>
      </c>
      <c r="L213" s="3" t="n">
        <f aca="false">Cleaned_Data!L214</f>
        <v>3.3</v>
      </c>
      <c r="M213" s="3" t="n">
        <f aca="false">Dummy_Variables!E214</f>
        <v>0</v>
      </c>
      <c r="N213" s="3" t="n">
        <f aca="false">Dummy_Variables!F214</f>
        <v>0</v>
      </c>
      <c r="O213" s="3" t="n">
        <f aca="false">Dummy_Variables!G214</f>
        <v>0</v>
      </c>
      <c r="P213" s="3" t="n">
        <f aca="false">Dummy_Variables!H214</f>
        <v>0</v>
      </c>
      <c r="Q213" s="3" t="n">
        <f aca="false">Dummy_Variables!I214</f>
        <v>0</v>
      </c>
      <c r="R213" s="3" t="n">
        <f aca="false">Dummy_Variables!J214</f>
        <v>0</v>
      </c>
      <c r="S213" s="3" t="n">
        <f aca="false">Cleaned_Data!M214</f>
        <v>691288.19</v>
      </c>
    </row>
    <row r="214" customFormat="false" ht="15" hidden="false" customHeight="true" outlineLevel="0" collapsed="false">
      <c r="A214" s="3" t="str">
        <f aca="false">Cleaned_Data!A215</f>
        <v>STR-1053</v>
      </c>
      <c r="B214" s="4" t="n">
        <f aca="false">Cleaned_Data!B215</f>
        <v>45717</v>
      </c>
      <c r="C214" s="3" t="str">
        <f aca="false">Cleaned_Data!C215</f>
        <v>East</v>
      </c>
      <c r="D214" s="3" t="str">
        <f aca="false">Cleaned_Data!D215</f>
        <v>High Street</v>
      </c>
      <c r="E214" s="3" t="n">
        <f aca="false">Cleaned_Data!E215</f>
        <v>107970.19</v>
      </c>
      <c r="F214" s="3" t="n">
        <f aca="false">Cleaned_Data!F215</f>
        <v>12870</v>
      </c>
      <c r="G214" s="3" t="n">
        <f aca="false">Cleaned_Data!G215</f>
        <v>0.029</v>
      </c>
      <c r="H214" s="3" t="n">
        <f aca="false">Cleaned_Data!H215</f>
        <v>31</v>
      </c>
      <c r="I214" s="3" t="n">
        <f aca="false">Cleaned_Data!I215</f>
        <v>91.7</v>
      </c>
      <c r="J214" s="3" t="n">
        <f aca="false">Cleaned_Data!J215</f>
        <v>3.82</v>
      </c>
      <c r="K214" s="3" t="n">
        <f aca="false">Cleaned_Data!K215</f>
        <v>1</v>
      </c>
      <c r="L214" s="3" t="n">
        <f aca="false">Cleaned_Data!L215</f>
        <v>3.7</v>
      </c>
      <c r="M214" s="3" t="n">
        <f aca="false">Dummy_Variables!E215</f>
        <v>0</v>
      </c>
      <c r="N214" s="3" t="n">
        <f aca="false">Dummy_Variables!F215</f>
        <v>0</v>
      </c>
      <c r="O214" s="3" t="n">
        <f aca="false">Dummy_Variables!G215</f>
        <v>0</v>
      </c>
      <c r="P214" s="3" t="n">
        <f aca="false">Dummy_Variables!H215</f>
        <v>0</v>
      </c>
      <c r="Q214" s="3" t="n">
        <f aca="false">Dummy_Variables!I215</f>
        <v>0</v>
      </c>
      <c r="R214" s="3" t="n">
        <f aca="false">Dummy_Variables!J215</f>
        <v>0</v>
      </c>
      <c r="S214" s="3" t="n">
        <f aca="false">Cleaned_Data!M215</f>
        <v>946833.54</v>
      </c>
    </row>
    <row r="215" customFormat="false" ht="15" hidden="false" customHeight="true" outlineLevel="0" collapsed="false">
      <c r="A215" s="3" t="str">
        <f aca="false">Cleaned_Data!A216</f>
        <v>STR-1053</v>
      </c>
      <c r="B215" s="4" t="n">
        <f aca="false">Cleaned_Data!B216</f>
        <v>45748</v>
      </c>
      <c r="C215" s="3" t="str">
        <f aca="false">Cleaned_Data!C216</f>
        <v>East</v>
      </c>
      <c r="D215" s="3" t="str">
        <f aca="false">Cleaned_Data!D216</f>
        <v>High Street</v>
      </c>
      <c r="E215" s="3" t="n">
        <f aca="false">Cleaned_Data!E216</f>
        <v>49405.75</v>
      </c>
      <c r="F215" s="3" t="n">
        <f aca="false">Cleaned_Data!F216</f>
        <v>9752</v>
      </c>
      <c r="G215" s="3" t="n">
        <f aca="false">Cleaned_Data!G216</f>
        <v>0.093</v>
      </c>
      <c r="H215" s="3" t="n">
        <f aca="false">Cleaned_Data!H216</f>
        <v>21</v>
      </c>
      <c r="I215" s="3" t="n">
        <f aca="false">Cleaned_Data!I216</f>
        <v>87</v>
      </c>
      <c r="J215" s="3" t="n">
        <f aca="false">Cleaned_Data!J216</f>
        <v>12.28</v>
      </c>
      <c r="K215" s="3" t="n">
        <f aca="false">Cleaned_Data!K216</f>
        <v>0</v>
      </c>
      <c r="L215" s="3" t="n">
        <f aca="false">Cleaned_Data!L216</f>
        <v>4.1</v>
      </c>
      <c r="M215" s="3" t="n">
        <f aca="false">Dummy_Variables!E216</f>
        <v>0</v>
      </c>
      <c r="N215" s="3" t="n">
        <f aca="false">Dummy_Variables!F216</f>
        <v>0</v>
      </c>
      <c r="O215" s="3" t="n">
        <f aca="false">Dummy_Variables!G216</f>
        <v>0</v>
      </c>
      <c r="P215" s="3" t="n">
        <f aca="false">Dummy_Variables!H216</f>
        <v>0</v>
      </c>
      <c r="Q215" s="3" t="n">
        <f aca="false">Dummy_Variables!I216</f>
        <v>0</v>
      </c>
      <c r="R215" s="3" t="n">
        <f aca="false">Dummy_Variables!J216</f>
        <v>0</v>
      </c>
      <c r="S215" s="3" t="n">
        <f aca="false">Cleaned_Data!M216</f>
        <v>761963.23</v>
      </c>
    </row>
    <row r="216" customFormat="false" ht="15" hidden="false" customHeight="true" outlineLevel="0" collapsed="false">
      <c r="A216" s="3" t="str">
        <f aca="false">Cleaned_Data!A217</f>
        <v>STR-1054</v>
      </c>
      <c r="B216" s="4" t="n">
        <f aca="false">Cleaned_Data!B217</f>
        <v>45658</v>
      </c>
      <c r="C216" s="3" t="str">
        <f aca="false">Cleaned_Data!C217</f>
        <v>West</v>
      </c>
      <c r="D216" s="3" t="str">
        <f aca="false">Cleaned_Data!D217</f>
        <v>Residential</v>
      </c>
      <c r="E216" s="3" t="n">
        <f aca="false">Cleaned_Data!E217</f>
        <v>50887.46</v>
      </c>
      <c r="F216" s="3" t="n">
        <f aca="false">Cleaned_Data!F217</f>
        <v>9505</v>
      </c>
      <c r="G216" s="3" t="n">
        <f aca="false">Cleaned_Data!G217</f>
        <v>0.091</v>
      </c>
      <c r="H216" s="3" t="n">
        <f aca="false">Cleaned_Data!H217</f>
        <v>25</v>
      </c>
      <c r="I216" s="3" t="n">
        <f aca="false">Cleaned_Data!I217</f>
        <v>89.7</v>
      </c>
      <c r="J216" s="3" t="n">
        <f aca="false">Cleaned_Data!J217</f>
        <v>2.8</v>
      </c>
      <c r="K216" s="3" t="n">
        <f aca="false">Cleaned_Data!K217</f>
        <v>0</v>
      </c>
      <c r="L216" s="3" t="n">
        <f aca="false">Cleaned_Data!L217</f>
        <v>4.3</v>
      </c>
      <c r="M216" s="3" t="n">
        <f aca="false">Dummy_Variables!E217</f>
        <v>0</v>
      </c>
      <c r="N216" s="3" t="n">
        <f aca="false">Dummy_Variables!F217</f>
        <v>0</v>
      </c>
      <c r="O216" s="3" t="n">
        <f aca="false">Dummy_Variables!G217</f>
        <v>1</v>
      </c>
      <c r="P216" s="3" t="n">
        <f aca="false">Dummy_Variables!H217</f>
        <v>0</v>
      </c>
      <c r="Q216" s="3" t="n">
        <f aca="false">Dummy_Variables!I217</f>
        <v>0</v>
      </c>
      <c r="R216" s="3" t="n">
        <f aca="false">Dummy_Variables!J217</f>
        <v>1</v>
      </c>
      <c r="S216" s="3" t="n">
        <f aca="false">Cleaned_Data!M217</f>
        <v>812152.6</v>
      </c>
    </row>
    <row r="217" customFormat="false" ht="15" hidden="false" customHeight="true" outlineLevel="0" collapsed="false">
      <c r="A217" s="3" t="str">
        <f aca="false">Cleaned_Data!A218</f>
        <v>STR-1054</v>
      </c>
      <c r="B217" s="4" t="n">
        <f aca="false">Cleaned_Data!B218</f>
        <v>45689</v>
      </c>
      <c r="C217" s="3" t="str">
        <f aca="false">Cleaned_Data!C218</f>
        <v>West</v>
      </c>
      <c r="D217" s="3" t="str">
        <f aca="false">Cleaned_Data!D218</f>
        <v>Residential</v>
      </c>
      <c r="E217" s="3" t="n">
        <f aca="false">Cleaned_Data!E218</f>
        <v>41819.45</v>
      </c>
      <c r="F217" s="3" t="n">
        <f aca="false">Cleaned_Data!F218</f>
        <v>9412</v>
      </c>
      <c r="G217" s="3" t="n">
        <f aca="false">Cleaned_Data!G218</f>
        <v>0.15</v>
      </c>
      <c r="H217" s="3" t="n">
        <f aca="false">Cleaned_Data!H218</f>
        <v>22</v>
      </c>
      <c r="I217" s="3" t="n">
        <f aca="false">Cleaned_Data!I218</f>
        <v>91</v>
      </c>
      <c r="J217" s="3" t="n">
        <f aca="false">Cleaned_Data!J218</f>
        <v>3.67</v>
      </c>
      <c r="K217" s="3" t="n">
        <f aca="false">Cleaned_Data!K218</f>
        <v>0</v>
      </c>
      <c r="L217" s="3" t="n">
        <f aca="false">Cleaned_Data!L218</f>
        <v>4.2</v>
      </c>
      <c r="M217" s="3" t="n">
        <f aca="false">Dummy_Variables!E218</f>
        <v>0</v>
      </c>
      <c r="N217" s="3" t="n">
        <f aca="false">Dummy_Variables!F218</f>
        <v>0</v>
      </c>
      <c r="O217" s="3" t="n">
        <f aca="false">Dummy_Variables!G218</f>
        <v>1</v>
      </c>
      <c r="P217" s="3" t="n">
        <f aca="false">Dummy_Variables!H218</f>
        <v>0</v>
      </c>
      <c r="Q217" s="3" t="n">
        <f aca="false">Dummy_Variables!I218</f>
        <v>0</v>
      </c>
      <c r="R217" s="3" t="n">
        <f aca="false">Dummy_Variables!J218</f>
        <v>1</v>
      </c>
      <c r="S217" s="3" t="n">
        <f aca="false">Cleaned_Data!M218</f>
        <v>804975.5</v>
      </c>
    </row>
    <row r="218" customFormat="false" ht="15" hidden="false" customHeight="true" outlineLevel="0" collapsed="false">
      <c r="A218" s="3" t="str">
        <f aca="false">Cleaned_Data!A219</f>
        <v>STR-1054</v>
      </c>
      <c r="B218" s="4" t="n">
        <f aca="false">Cleaned_Data!B219</f>
        <v>45717</v>
      </c>
      <c r="C218" s="3" t="str">
        <f aca="false">Cleaned_Data!C219</f>
        <v>West</v>
      </c>
      <c r="D218" s="3" t="str">
        <f aca="false">Cleaned_Data!D219</f>
        <v>Residential</v>
      </c>
      <c r="E218" s="3" t="n">
        <f aca="false">Cleaned_Data!E219</f>
        <v>35296.54</v>
      </c>
      <c r="F218" s="3" t="n">
        <f aca="false">Cleaned_Data!F219</f>
        <v>9644</v>
      </c>
      <c r="G218" s="3" t="n">
        <f aca="false">Cleaned_Data!G219</f>
        <v>0</v>
      </c>
      <c r="H218" s="3" t="n">
        <f aca="false">Cleaned_Data!H219</f>
        <v>22</v>
      </c>
      <c r="I218" s="3" t="n">
        <f aca="false">Cleaned_Data!I219</f>
        <v>88</v>
      </c>
      <c r="J218" s="3" t="n">
        <f aca="false">Cleaned_Data!J219</f>
        <v>2.81</v>
      </c>
      <c r="K218" s="3" t="n">
        <f aca="false">Cleaned_Data!K219</f>
        <v>0</v>
      </c>
      <c r="L218" s="3" t="n">
        <f aca="false">Cleaned_Data!L219</f>
        <v>4.7</v>
      </c>
      <c r="M218" s="3" t="n">
        <f aca="false">Dummy_Variables!E219</f>
        <v>0</v>
      </c>
      <c r="N218" s="3" t="n">
        <f aca="false">Dummy_Variables!F219</f>
        <v>0</v>
      </c>
      <c r="O218" s="3" t="n">
        <f aca="false">Dummy_Variables!G219</f>
        <v>1</v>
      </c>
      <c r="P218" s="3" t="n">
        <f aca="false">Dummy_Variables!H219</f>
        <v>0</v>
      </c>
      <c r="Q218" s="3" t="n">
        <f aca="false">Dummy_Variables!I219</f>
        <v>0</v>
      </c>
      <c r="R218" s="3" t="n">
        <f aca="false">Dummy_Variables!J219</f>
        <v>1</v>
      </c>
      <c r="S218" s="3" t="n">
        <f aca="false">Cleaned_Data!M219</f>
        <v>752321.72</v>
      </c>
    </row>
    <row r="219" customFormat="false" ht="15" hidden="false" customHeight="true" outlineLevel="0" collapsed="false">
      <c r="A219" s="3" t="str">
        <f aca="false">Cleaned_Data!A220</f>
        <v>STR-1054</v>
      </c>
      <c r="B219" s="4" t="n">
        <f aca="false">Cleaned_Data!B220</f>
        <v>45748</v>
      </c>
      <c r="C219" s="3" t="str">
        <f aca="false">Cleaned_Data!C220</f>
        <v>West</v>
      </c>
      <c r="D219" s="3" t="str">
        <f aca="false">Cleaned_Data!D220</f>
        <v>Residential</v>
      </c>
      <c r="E219" s="3" t="n">
        <f aca="false">Cleaned_Data!E220</f>
        <v>47391.09</v>
      </c>
      <c r="F219" s="3" t="n">
        <f aca="false">Cleaned_Data!F220</f>
        <v>11224</v>
      </c>
      <c r="G219" s="3" t="n">
        <f aca="false">Cleaned_Data!G220</f>
        <v>0.147</v>
      </c>
      <c r="H219" s="3" t="n">
        <f aca="false">Cleaned_Data!H220</f>
        <v>25</v>
      </c>
      <c r="I219" s="3" t="n">
        <f aca="false">Cleaned_Data!I220</f>
        <v>88.4</v>
      </c>
      <c r="J219" s="3" t="n">
        <f aca="false">Cleaned_Data!J220</f>
        <v>2.44</v>
      </c>
      <c r="K219" s="3" t="n">
        <f aca="false">Cleaned_Data!K220</f>
        <v>0</v>
      </c>
      <c r="L219" s="3" t="n">
        <f aca="false">Cleaned_Data!L220</f>
        <v>4.9</v>
      </c>
      <c r="M219" s="3" t="n">
        <f aca="false">Dummy_Variables!E220</f>
        <v>0</v>
      </c>
      <c r="N219" s="3" t="n">
        <f aca="false">Dummy_Variables!F220</f>
        <v>0</v>
      </c>
      <c r="O219" s="3" t="n">
        <f aca="false">Dummy_Variables!G220</f>
        <v>1</v>
      </c>
      <c r="P219" s="3" t="n">
        <f aca="false">Dummy_Variables!H220</f>
        <v>0</v>
      </c>
      <c r="Q219" s="3" t="n">
        <f aca="false">Dummy_Variables!I220</f>
        <v>0</v>
      </c>
      <c r="R219" s="3" t="n">
        <f aca="false">Dummy_Variables!J220</f>
        <v>1</v>
      </c>
      <c r="S219" s="3" t="n">
        <f aca="false">Cleaned_Data!M220</f>
        <v>836908.24</v>
      </c>
    </row>
    <row r="220" customFormat="false" ht="15" hidden="false" customHeight="true" outlineLevel="0" collapsed="false">
      <c r="A220" s="3" t="str">
        <f aca="false">Cleaned_Data!A221</f>
        <v>STR-1055</v>
      </c>
      <c r="B220" s="4" t="n">
        <f aca="false">Cleaned_Data!B221</f>
        <v>45658</v>
      </c>
      <c r="C220" s="3" t="str">
        <f aca="false">Cleaned_Data!C221</f>
        <v>North</v>
      </c>
      <c r="D220" s="3" t="str">
        <f aca="false">Cleaned_Data!D221</f>
        <v>Airport</v>
      </c>
      <c r="E220" s="3" t="n">
        <f aca="false">Cleaned_Data!E221</f>
        <v>69180.54</v>
      </c>
      <c r="F220" s="3" t="n">
        <f aca="false">Cleaned_Data!F221</f>
        <v>5394</v>
      </c>
      <c r="G220" s="3" t="n">
        <f aca="false">Cleaned_Data!G221</f>
        <v>0.126</v>
      </c>
      <c r="H220" s="3" t="n">
        <f aca="false">Cleaned_Data!H221</f>
        <v>12</v>
      </c>
      <c r="I220" s="3" t="n">
        <f aca="false">Cleaned_Data!I221</f>
        <v>82.9</v>
      </c>
      <c r="J220" s="3" t="n">
        <f aca="false">Cleaned_Data!J221</f>
        <v>3.27</v>
      </c>
      <c r="K220" s="3" t="n">
        <f aca="false">Cleaned_Data!K221</f>
        <v>0</v>
      </c>
      <c r="L220" s="3" t="n">
        <f aca="false">Cleaned_Data!L221</f>
        <v>3.3</v>
      </c>
      <c r="M220" s="3" t="n">
        <f aca="false">Dummy_Variables!E221</f>
        <v>1</v>
      </c>
      <c r="N220" s="3" t="n">
        <f aca="false">Dummy_Variables!F221</f>
        <v>0</v>
      </c>
      <c r="O220" s="3" t="n">
        <f aca="false">Dummy_Variables!G221</f>
        <v>0</v>
      </c>
      <c r="P220" s="3" t="n">
        <f aca="false">Dummy_Variables!H221</f>
        <v>1</v>
      </c>
      <c r="Q220" s="3" t="n">
        <f aca="false">Dummy_Variables!I221</f>
        <v>0</v>
      </c>
      <c r="R220" s="3" t="n">
        <f aca="false">Dummy_Variables!J221</f>
        <v>0</v>
      </c>
      <c r="S220" s="3" t="n">
        <f aca="false">Cleaned_Data!M221</f>
        <v>674289.1</v>
      </c>
    </row>
    <row r="221" customFormat="false" ht="15" hidden="false" customHeight="true" outlineLevel="0" collapsed="false">
      <c r="A221" s="3" t="str">
        <f aca="false">Cleaned_Data!A222</f>
        <v>STR-1055</v>
      </c>
      <c r="B221" s="4" t="n">
        <f aca="false">Cleaned_Data!B222</f>
        <v>45689</v>
      </c>
      <c r="C221" s="3" t="str">
        <f aca="false">Cleaned_Data!C222</f>
        <v>North</v>
      </c>
      <c r="D221" s="3" t="str">
        <f aca="false">Cleaned_Data!D222</f>
        <v>Airport</v>
      </c>
      <c r="E221" s="3" t="n">
        <f aca="false">Cleaned_Data!E222</f>
        <v>33987.33</v>
      </c>
      <c r="F221" s="3" t="n">
        <f aca="false">Cleaned_Data!F222</f>
        <v>5014</v>
      </c>
      <c r="G221" s="3" t="n">
        <f aca="false">Cleaned_Data!G222</f>
        <v>0.246</v>
      </c>
      <c r="H221" s="3" t="n">
        <f aca="false">Cleaned_Data!H222</f>
        <v>17</v>
      </c>
      <c r="I221" s="3" t="n">
        <f aca="false">Cleaned_Data!I222</f>
        <v>94.3</v>
      </c>
      <c r="J221" s="3" t="n">
        <f aca="false">Cleaned_Data!J222</f>
        <v>10.34</v>
      </c>
      <c r="K221" s="3" t="n">
        <f aca="false">Cleaned_Data!K222</f>
        <v>0</v>
      </c>
      <c r="L221" s="3" t="n">
        <f aca="false">Cleaned_Data!L222</f>
        <v>3.9</v>
      </c>
      <c r="M221" s="3" t="n">
        <f aca="false">Dummy_Variables!E222</f>
        <v>1</v>
      </c>
      <c r="N221" s="3" t="n">
        <f aca="false">Dummy_Variables!F222</f>
        <v>0</v>
      </c>
      <c r="O221" s="3" t="n">
        <f aca="false">Dummy_Variables!G222</f>
        <v>0</v>
      </c>
      <c r="P221" s="3" t="n">
        <f aca="false">Dummy_Variables!H222</f>
        <v>1</v>
      </c>
      <c r="Q221" s="3" t="n">
        <f aca="false">Dummy_Variables!I222</f>
        <v>0</v>
      </c>
      <c r="R221" s="3" t="n">
        <f aca="false">Dummy_Variables!J222</f>
        <v>0</v>
      </c>
      <c r="S221" s="3" t="n">
        <f aca="false">Cleaned_Data!M222</f>
        <v>622892.42</v>
      </c>
    </row>
    <row r="222" customFormat="false" ht="15" hidden="false" customHeight="true" outlineLevel="0" collapsed="false">
      <c r="A222" s="3" t="str">
        <f aca="false">Cleaned_Data!A223</f>
        <v>STR-1055</v>
      </c>
      <c r="B222" s="4" t="n">
        <f aca="false">Cleaned_Data!B223</f>
        <v>45717</v>
      </c>
      <c r="C222" s="3" t="str">
        <f aca="false">Cleaned_Data!C223</f>
        <v>North</v>
      </c>
      <c r="D222" s="3" t="str">
        <f aca="false">Cleaned_Data!D223</f>
        <v>Airport</v>
      </c>
      <c r="E222" s="3" t="n">
        <f aca="false">Cleaned_Data!E223</f>
        <v>58785.33</v>
      </c>
      <c r="F222" s="3" t="n">
        <f aca="false">Cleaned_Data!F223</f>
        <v>4467</v>
      </c>
      <c r="G222" s="3" t="n">
        <f aca="false">Cleaned_Data!G223</f>
        <v>0.229</v>
      </c>
      <c r="H222" s="3" t="n">
        <f aca="false">Cleaned_Data!H223</f>
        <v>14</v>
      </c>
      <c r="I222" s="3" t="n">
        <f aca="false">Cleaned_Data!I223</f>
        <v>90.7</v>
      </c>
      <c r="J222" s="3" t="n">
        <f aca="false">Cleaned_Data!J223</f>
        <v>1.92</v>
      </c>
      <c r="K222" s="3" t="n">
        <f aca="false">Cleaned_Data!K223</f>
        <v>0</v>
      </c>
      <c r="L222" s="3" t="n">
        <f aca="false">Cleaned_Data!L223</f>
        <v>3.7</v>
      </c>
      <c r="M222" s="3" t="n">
        <f aca="false">Dummy_Variables!E223</f>
        <v>1</v>
      </c>
      <c r="N222" s="3" t="n">
        <f aca="false">Dummy_Variables!F223</f>
        <v>0</v>
      </c>
      <c r="O222" s="3" t="n">
        <f aca="false">Dummy_Variables!G223</f>
        <v>0</v>
      </c>
      <c r="P222" s="3" t="n">
        <f aca="false">Dummy_Variables!H223</f>
        <v>1</v>
      </c>
      <c r="Q222" s="3" t="n">
        <f aca="false">Dummy_Variables!I223</f>
        <v>0</v>
      </c>
      <c r="R222" s="3" t="n">
        <f aca="false">Dummy_Variables!J223</f>
        <v>0</v>
      </c>
      <c r="S222" s="3" t="n">
        <f aca="false">Cleaned_Data!M223</f>
        <v>673348.56</v>
      </c>
    </row>
    <row r="223" customFormat="false" ht="15" hidden="false" customHeight="true" outlineLevel="0" collapsed="false">
      <c r="A223" s="3" t="str">
        <f aca="false">Cleaned_Data!A224</f>
        <v>STR-1055</v>
      </c>
      <c r="B223" s="4" t="n">
        <f aca="false">Cleaned_Data!B224</f>
        <v>45748</v>
      </c>
      <c r="C223" s="3" t="str">
        <f aca="false">Cleaned_Data!C224</f>
        <v>North</v>
      </c>
      <c r="D223" s="3" t="str">
        <f aca="false">Cleaned_Data!D224</f>
        <v>Airport</v>
      </c>
      <c r="E223" s="3" t="n">
        <f aca="false">Cleaned_Data!E224</f>
        <v>16451.85</v>
      </c>
      <c r="F223" s="3" t="n">
        <f aca="false">Cleaned_Data!F224</f>
        <v>4678</v>
      </c>
      <c r="G223" s="3" t="n">
        <f aca="false">Cleaned_Data!G224</f>
        <v>0.133</v>
      </c>
      <c r="H223" s="3" t="n">
        <f aca="false">Cleaned_Data!H224</f>
        <v>11</v>
      </c>
      <c r="I223" s="3" t="n">
        <f aca="false">Cleaned_Data!I224</f>
        <v>95.9</v>
      </c>
      <c r="J223" s="3" t="n">
        <f aca="false">Cleaned_Data!J224</f>
        <v>3.1</v>
      </c>
      <c r="K223" s="3" t="n">
        <f aca="false">Cleaned_Data!K224</f>
        <v>0</v>
      </c>
      <c r="L223" s="3" t="n">
        <f aca="false">Cleaned_Data!L224</f>
        <v>3.9</v>
      </c>
      <c r="M223" s="3" t="n">
        <f aca="false">Dummy_Variables!E224</f>
        <v>1</v>
      </c>
      <c r="N223" s="3" t="n">
        <f aca="false">Dummy_Variables!F224</f>
        <v>0</v>
      </c>
      <c r="O223" s="3" t="n">
        <f aca="false">Dummy_Variables!G224</f>
        <v>0</v>
      </c>
      <c r="P223" s="3" t="n">
        <f aca="false">Dummy_Variables!H224</f>
        <v>1</v>
      </c>
      <c r="Q223" s="3" t="n">
        <f aca="false">Dummy_Variables!I224</f>
        <v>0</v>
      </c>
      <c r="R223" s="3" t="n">
        <f aca="false">Dummy_Variables!J224</f>
        <v>0</v>
      </c>
      <c r="S223" s="3" t="n">
        <f aca="false">Cleaned_Data!M224</f>
        <v>606278.3</v>
      </c>
    </row>
    <row r="224" customFormat="false" ht="15" hidden="false" customHeight="true" outlineLevel="0" collapsed="false">
      <c r="A224" s="3" t="str">
        <f aca="false">Cleaned_Data!A225</f>
        <v>STR-1056</v>
      </c>
      <c r="B224" s="4" t="n">
        <f aca="false">Cleaned_Data!B225</f>
        <v>45658</v>
      </c>
      <c r="C224" s="3" t="str">
        <f aca="false">Cleaned_Data!C225</f>
        <v>East</v>
      </c>
      <c r="D224" s="3" t="str">
        <f aca="false">Cleaned_Data!D225</f>
        <v>High Street</v>
      </c>
      <c r="E224" s="3" t="n">
        <f aca="false">Cleaned_Data!E225</f>
        <v>53367.73</v>
      </c>
      <c r="F224" s="3" t="n">
        <f aca="false">Cleaned_Data!F225</f>
        <v>7291</v>
      </c>
      <c r="G224" s="3" t="n">
        <f aca="false">Cleaned_Data!G225</f>
        <v>0.146</v>
      </c>
      <c r="H224" s="3" t="n">
        <f aca="false">Cleaned_Data!H225</f>
        <v>18</v>
      </c>
      <c r="I224" s="3" t="n">
        <f aca="false">Cleaned_Data!I225</f>
        <v>90.6</v>
      </c>
      <c r="J224" s="3" t="n">
        <f aca="false">Cleaned_Data!J225</f>
        <v>6.34</v>
      </c>
      <c r="K224" s="3" t="n">
        <f aca="false">Cleaned_Data!K225</f>
        <v>1</v>
      </c>
      <c r="L224" s="3" t="n">
        <f aca="false">Cleaned_Data!L225</f>
        <v>3.8</v>
      </c>
      <c r="M224" s="3" t="n">
        <f aca="false">Dummy_Variables!E225</f>
        <v>0</v>
      </c>
      <c r="N224" s="3" t="n">
        <f aca="false">Dummy_Variables!F225</f>
        <v>0</v>
      </c>
      <c r="O224" s="3" t="n">
        <f aca="false">Dummy_Variables!G225</f>
        <v>0</v>
      </c>
      <c r="P224" s="3" t="n">
        <f aca="false">Dummy_Variables!H225</f>
        <v>0</v>
      </c>
      <c r="Q224" s="3" t="n">
        <f aca="false">Dummy_Variables!I225</f>
        <v>0</v>
      </c>
      <c r="R224" s="3" t="n">
        <f aca="false">Dummy_Variables!J225</f>
        <v>0</v>
      </c>
      <c r="S224" s="3" t="n">
        <f aca="false">Cleaned_Data!M225</f>
        <v>712219.81</v>
      </c>
    </row>
    <row r="225" customFormat="false" ht="15" hidden="false" customHeight="true" outlineLevel="0" collapsed="false">
      <c r="A225" s="3" t="str">
        <f aca="false">Cleaned_Data!A226</f>
        <v>STR-1056</v>
      </c>
      <c r="B225" s="4" t="n">
        <f aca="false">Cleaned_Data!B226</f>
        <v>45689</v>
      </c>
      <c r="C225" s="3" t="str">
        <f aca="false">Cleaned_Data!C226</f>
        <v>East</v>
      </c>
      <c r="D225" s="3" t="str">
        <f aca="false">Cleaned_Data!D226</f>
        <v>High Street</v>
      </c>
      <c r="E225" s="3" t="n">
        <f aca="false">Cleaned_Data!E226</f>
        <v>27194.64</v>
      </c>
      <c r="F225" s="3" t="n">
        <f aca="false">Cleaned_Data!F226</f>
        <v>7404</v>
      </c>
      <c r="G225" s="3" t="n">
        <f aca="false">Cleaned_Data!G226</f>
        <v>0.088</v>
      </c>
      <c r="H225" s="3" t="n">
        <f aca="false">Cleaned_Data!H226</f>
        <v>18</v>
      </c>
      <c r="I225" s="3" t="n">
        <f aca="false">Cleaned_Data!I226</f>
        <v>90.2</v>
      </c>
      <c r="J225" s="3" t="n">
        <f aca="false">Cleaned_Data!J226</f>
        <v>1.2</v>
      </c>
      <c r="K225" s="3" t="n">
        <f aca="false">Cleaned_Data!K226</f>
        <v>0</v>
      </c>
      <c r="L225" s="3" t="n">
        <f aca="false">Cleaned_Data!L226</f>
        <v>3.4</v>
      </c>
      <c r="M225" s="3" t="n">
        <f aca="false">Dummy_Variables!E226</f>
        <v>0</v>
      </c>
      <c r="N225" s="3" t="n">
        <f aca="false">Dummy_Variables!F226</f>
        <v>0</v>
      </c>
      <c r="O225" s="3" t="n">
        <f aca="false">Dummy_Variables!G226</f>
        <v>0</v>
      </c>
      <c r="P225" s="3" t="n">
        <f aca="false">Dummy_Variables!H226</f>
        <v>0</v>
      </c>
      <c r="Q225" s="3" t="n">
        <f aca="false">Dummy_Variables!I226</f>
        <v>0</v>
      </c>
      <c r="R225" s="3" t="n">
        <f aca="false">Dummy_Variables!J226</f>
        <v>0</v>
      </c>
      <c r="S225" s="3" t="n">
        <f aca="false">Cleaned_Data!M226</f>
        <v>672670.54</v>
      </c>
    </row>
    <row r="226" customFormat="false" ht="15" hidden="false" customHeight="true" outlineLevel="0" collapsed="false">
      <c r="A226" s="3" t="str">
        <f aca="false">Cleaned_Data!A227</f>
        <v>STR-1056</v>
      </c>
      <c r="B226" s="4" t="n">
        <f aca="false">Cleaned_Data!B227</f>
        <v>45717</v>
      </c>
      <c r="C226" s="3" t="str">
        <f aca="false">Cleaned_Data!C227</f>
        <v>East</v>
      </c>
      <c r="D226" s="3" t="str">
        <f aca="false">Cleaned_Data!D227</f>
        <v>High Street</v>
      </c>
      <c r="E226" s="3" t="n">
        <f aca="false">Cleaned_Data!E227</f>
        <v>66962.74</v>
      </c>
      <c r="F226" s="3" t="n">
        <f aca="false">Cleaned_Data!F227</f>
        <v>7880</v>
      </c>
      <c r="G226" s="3" t="n">
        <f aca="false">Cleaned_Data!G227</f>
        <v>0.116</v>
      </c>
      <c r="H226" s="3" t="n">
        <f aca="false">Cleaned_Data!H227</f>
        <v>19</v>
      </c>
      <c r="I226" s="3" t="n">
        <f aca="false">Cleaned_Data!I227</f>
        <v>90.4</v>
      </c>
      <c r="J226" s="3" t="n">
        <f aca="false">Cleaned_Data!J227</f>
        <v>4.5</v>
      </c>
      <c r="K226" s="3" t="n">
        <f aca="false">Cleaned_Data!K227</f>
        <v>0</v>
      </c>
      <c r="L226" s="3" t="n">
        <f aca="false">Cleaned_Data!L227</f>
        <v>3.3</v>
      </c>
      <c r="M226" s="3" t="n">
        <f aca="false">Dummy_Variables!E227</f>
        <v>0</v>
      </c>
      <c r="N226" s="3" t="n">
        <f aca="false">Dummy_Variables!F227</f>
        <v>0</v>
      </c>
      <c r="O226" s="3" t="n">
        <f aca="false">Dummy_Variables!G227</f>
        <v>0</v>
      </c>
      <c r="P226" s="3" t="n">
        <f aca="false">Dummy_Variables!H227</f>
        <v>0</v>
      </c>
      <c r="Q226" s="3" t="n">
        <f aca="false">Dummy_Variables!I227</f>
        <v>0</v>
      </c>
      <c r="R226" s="3" t="n">
        <f aca="false">Dummy_Variables!J227</f>
        <v>0</v>
      </c>
      <c r="S226" s="3" t="n">
        <f aca="false">Cleaned_Data!M227</f>
        <v>732667.92</v>
      </c>
    </row>
    <row r="227" customFormat="false" ht="15" hidden="false" customHeight="true" outlineLevel="0" collapsed="false">
      <c r="A227" s="3" t="str">
        <f aca="false">Cleaned_Data!A228</f>
        <v>STR-1056</v>
      </c>
      <c r="B227" s="4" t="n">
        <f aca="false">Cleaned_Data!B228</f>
        <v>45748</v>
      </c>
      <c r="C227" s="3" t="str">
        <f aca="false">Cleaned_Data!C228</f>
        <v>East</v>
      </c>
      <c r="D227" s="3" t="str">
        <f aca="false">Cleaned_Data!D228</f>
        <v>High Street</v>
      </c>
      <c r="E227" s="3" t="n">
        <f aca="false">Cleaned_Data!E228</f>
        <v>73540.99</v>
      </c>
      <c r="F227" s="3" t="n">
        <f aca="false">Cleaned_Data!F228</f>
        <v>8773</v>
      </c>
      <c r="G227" s="3" t="n">
        <f aca="false">Cleaned_Data!G228</f>
        <v>0.035</v>
      </c>
      <c r="H227" s="3" t="n">
        <f aca="false">Cleaned_Data!H228</f>
        <v>21</v>
      </c>
      <c r="I227" s="3" t="n">
        <f aca="false">Cleaned_Data!I228</f>
        <v>84.4</v>
      </c>
      <c r="J227" s="3" t="n">
        <f aca="false">Cleaned_Data!J228</f>
        <v>6.68</v>
      </c>
      <c r="K227" s="3" t="n">
        <f aca="false">Cleaned_Data!K228</f>
        <v>0</v>
      </c>
      <c r="L227" s="3" t="n">
        <f aca="false">Cleaned_Data!L228</f>
        <v>3.6</v>
      </c>
      <c r="M227" s="3" t="n">
        <f aca="false">Dummy_Variables!E228</f>
        <v>0</v>
      </c>
      <c r="N227" s="3" t="n">
        <f aca="false">Dummy_Variables!F228</f>
        <v>0</v>
      </c>
      <c r="O227" s="3" t="n">
        <f aca="false">Dummy_Variables!G228</f>
        <v>0</v>
      </c>
      <c r="P227" s="3" t="n">
        <f aca="false">Dummy_Variables!H228</f>
        <v>0</v>
      </c>
      <c r="Q227" s="3" t="n">
        <f aca="false">Dummy_Variables!I228</f>
        <v>0</v>
      </c>
      <c r="R227" s="3" t="n">
        <f aca="false">Dummy_Variables!J228</f>
        <v>0</v>
      </c>
      <c r="S227" s="3" t="n">
        <f aca="false">Cleaned_Data!M228</f>
        <v>723531.4</v>
      </c>
    </row>
    <row r="228" customFormat="false" ht="15" hidden="false" customHeight="true" outlineLevel="0" collapsed="false">
      <c r="A228" s="3" t="str">
        <f aca="false">Cleaned_Data!A229</f>
        <v>STR-1057</v>
      </c>
      <c r="B228" s="4" t="n">
        <f aca="false">Cleaned_Data!B229</f>
        <v>45658</v>
      </c>
      <c r="C228" s="3" t="str">
        <f aca="false">Cleaned_Data!C229</f>
        <v>East</v>
      </c>
      <c r="D228" s="3" t="str">
        <f aca="false">Cleaned_Data!D229</f>
        <v>Mall</v>
      </c>
      <c r="E228" s="3" t="n">
        <f aca="false">Cleaned_Data!E229</f>
        <v>68212.29</v>
      </c>
      <c r="F228" s="3" t="n">
        <f aca="false">Cleaned_Data!F229</f>
        <v>4713</v>
      </c>
      <c r="G228" s="3" t="n">
        <f aca="false">Cleaned_Data!G229</f>
        <v>0.198</v>
      </c>
      <c r="H228" s="3" t="n">
        <f aca="false">Cleaned_Data!H229</f>
        <v>15</v>
      </c>
      <c r="I228" s="3" t="n">
        <f aca="false">Cleaned_Data!I229</f>
        <v>82.6</v>
      </c>
      <c r="J228" s="3" t="n">
        <f aca="false">Cleaned_Data!J229</f>
        <v>4.07</v>
      </c>
      <c r="K228" s="3" t="n">
        <f aca="false">Cleaned_Data!K229</f>
        <v>1</v>
      </c>
      <c r="L228" s="3" t="n">
        <f aca="false">Cleaned_Data!L229</f>
        <v>3</v>
      </c>
      <c r="M228" s="3" t="n">
        <f aca="false">Dummy_Variables!E229</f>
        <v>0</v>
      </c>
      <c r="N228" s="3" t="n">
        <f aca="false">Dummy_Variables!F229</f>
        <v>1</v>
      </c>
      <c r="O228" s="3" t="n">
        <f aca="false">Dummy_Variables!G229</f>
        <v>0</v>
      </c>
      <c r="P228" s="3" t="n">
        <f aca="false">Dummy_Variables!H229</f>
        <v>0</v>
      </c>
      <c r="Q228" s="3" t="n">
        <f aca="false">Dummy_Variables!I229</f>
        <v>0</v>
      </c>
      <c r="R228" s="3" t="n">
        <f aca="false">Dummy_Variables!J229</f>
        <v>0</v>
      </c>
      <c r="S228" s="3" t="n">
        <f aca="false">Cleaned_Data!M229</f>
        <v>641564.6</v>
      </c>
    </row>
    <row r="229" customFormat="false" ht="15" hidden="false" customHeight="true" outlineLevel="0" collapsed="false">
      <c r="A229" s="3" t="str">
        <f aca="false">Cleaned_Data!A230</f>
        <v>STR-1057</v>
      </c>
      <c r="B229" s="4" t="n">
        <f aca="false">Cleaned_Data!B230</f>
        <v>45689</v>
      </c>
      <c r="C229" s="3" t="str">
        <f aca="false">Cleaned_Data!C230</f>
        <v>East</v>
      </c>
      <c r="D229" s="3" t="str">
        <f aca="false">Cleaned_Data!D230</f>
        <v>Mall</v>
      </c>
      <c r="E229" s="3" t="n">
        <f aca="false">Cleaned_Data!E230</f>
        <v>57225.98</v>
      </c>
      <c r="F229" s="3" t="n">
        <f aca="false">Cleaned_Data!F230</f>
        <v>2842</v>
      </c>
      <c r="G229" s="3" t="n">
        <f aca="false">Cleaned_Data!G230</f>
        <v>0.112</v>
      </c>
      <c r="H229" s="3" t="n">
        <f aca="false">Cleaned_Data!H230</f>
        <v>10</v>
      </c>
      <c r="I229" s="3" t="n">
        <f aca="false">Cleaned_Data!I230</f>
        <v>79.5</v>
      </c>
      <c r="J229" s="3" t="n">
        <f aca="false">Cleaned_Data!J230</f>
        <v>5.45</v>
      </c>
      <c r="K229" s="3" t="n">
        <f aca="false">Cleaned_Data!K230</f>
        <v>0</v>
      </c>
      <c r="L229" s="3" t="n">
        <f aca="false">Cleaned_Data!L230</f>
        <v>3.4</v>
      </c>
      <c r="M229" s="3" t="n">
        <f aca="false">Dummy_Variables!E230</f>
        <v>0</v>
      </c>
      <c r="N229" s="3" t="n">
        <f aca="false">Dummy_Variables!F230</f>
        <v>1</v>
      </c>
      <c r="O229" s="3" t="n">
        <f aca="false">Dummy_Variables!G230</f>
        <v>0</v>
      </c>
      <c r="P229" s="3" t="n">
        <f aca="false">Dummy_Variables!H230</f>
        <v>0</v>
      </c>
      <c r="Q229" s="3" t="n">
        <f aca="false">Dummy_Variables!I230</f>
        <v>0</v>
      </c>
      <c r="R229" s="3" t="n">
        <f aca="false">Dummy_Variables!J230</f>
        <v>0</v>
      </c>
      <c r="S229" s="3" t="n">
        <f aca="false">Cleaned_Data!M230</f>
        <v>536545.49</v>
      </c>
    </row>
    <row r="230" customFormat="false" ht="15" hidden="false" customHeight="true" outlineLevel="0" collapsed="false">
      <c r="A230" s="3" t="str">
        <f aca="false">Cleaned_Data!A231</f>
        <v>STR-1057</v>
      </c>
      <c r="B230" s="4" t="n">
        <f aca="false">Cleaned_Data!B231</f>
        <v>45717</v>
      </c>
      <c r="C230" s="3" t="str">
        <f aca="false">Cleaned_Data!C231</f>
        <v>East</v>
      </c>
      <c r="D230" s="3" t="str">
        <f aca="false">Cleaned_Data!D231</f>
        <v>Mall</v>
      </c>
      <c r="E230" s="3" t="n">
        <f aca="false">Cleaned_Data!E231</f>
        <v>42932.02</v>
      </c>
      <c r="F230" s="3" t="n">
        <f aca="false">Cleaned_Data!F231</f>
        <v>3872</v>
      </c>
      <c r="G230" s="3" t="n">
        <f aca="false">Cleaned_Data!G231</f>
        <v>0.171</v>
      </c>
      <c r="H230" s="3" t="n">
        <f aca="false">Cleaned_Data!H231</f>
        <v>12</v>
      </c>
      <c r="I230" s="3" t="n">
        <f aca="false">Cleaned_Data!I231</f>
        <v>83.2</v>
      </c>
      <c r="J230" s="3" t="n">
        <f aca="false">Cleaned_Data!J231</f>
        <v>15.58</v>
      </c>
      <c r="K230" s="3" t="n">
        <f aca="false">Cleaned_Data!K231</f>
        <v>0</v>
      </c>
      <c r="L230" s="3" t="n">
        <f aca="false">Cleaned_Data!L231</f>
        <v>3.3</v>
      </c>
      <c r="M230" s="3" t="n">
        <f aca="false">Dummy_Variables!E231</f>
        <v>0</v>
      </c>
      <c r="N230" s="3" t="n">
        <f aca="false">Dummy_Variables!F231</f>
        <v>1</v>
      </c>
      <c r="O230" s="3" t="n">
        <f aca="false">Dummy_Variables!G231</f>
        <v>0</v>
      </c>
      <c r="P230" s="3" t="n">
        <f aca="false">Dummy_Variables!H231</f>
        <v>0</v>
      </c>
      <c r="Q230" s="3" t="n">
        <f aca="false">Dummy_Variables!I231</f>
        <v>0</v>
      </c>
      <c r="R230" s="3" t="n">
        <f aca="false">Dummy_Variables!J231</f>
        <v>0</v>
      </c>
      <c r="S230" s="3" t="n">
        <f aca="false">Cleaned_Data!M231</f>
        <v>527681.56</v>
      </c>
    </row>
    <row r="231" customFormat="false" ht="15" hidden="false" customHeight="true" outlineLevel="0" collapsed="false">
      <c r="A231" s="3" t="str">
        <f aca="false">Cleaned_Data!A232</f>
        <v>STR-1057</v>
      </c>
      <c r="B231" s="4" t="n">
        <f aca="false">Cleaned_Data!B232</f>
        <v>45748</v>
      </c>
      <c r="C231" s="3" t="str">
        <f aca="false">Cleaned_Data!C232</f>
        <v>East</v>
      </c>
      <c r="D231" s="3" t="str">
        <f aca="false">Cleaned_Data!D232</f>
        <v>Mall</v>
      </c>
      <c r="E231" s="3" t="n">
        <f aca="false">Cleaned_Data!E232</f>
        <v>39341.45</v>
      </c>
      <c r="F231" s="3" t="n">
        <f aca="false">Cleaned_Data!F232</f>
        <v>1375</v>
      </c>
      <c r="G231" s="3" t="n">
        <f aca="false">Cleaned_Data!G232</f>
        <v>0.093</v>
      </c>
      <c r="H231" s="3" t="n">
        <f aca="false">Cleaned_Data!H232</f>
        <v>5</v>
      </c>
      <c r="I231" s="3" t="n">
        <f aca="false">Cleaned_Data!I232</f>
        <v>95</v>
      </c>
      <c r="J231" s="3" t="n">
        <f aca="false">Cleaned_Data!J232</f>
        <v>5.32</v>
      </c>
      <c r="K231" s="3" t="n">
        <f aca="false">Cleaned_Data!K232</f>
        <v>0</v>
      </c>
      <c r="L231" s="3" t="n">
        <f aca="false">Cleaned_Data!L232</f>
        <v>3.9</v>
      </c>
      <c r="M231" s="3" t="n">
        <f aca="false">Dummy_Variables!E232</f>
        <v>0</v>
      </c>
      <c r="N231" s="3" t="n">
        <f aca="false">Dummy_Variables!F232</f>
        <v>1</v>
      </c>
      <c r="O231" s="3" t="n">
        <f aca="false">Dummy_Variables!G232</f>
        <v>0</v>
      </c>
      <c r="P231" s="3" t="n">
        <f aca="false">Dummy_Variables!H232</f>
        <v>0</v>
      </c>
      <c r="Q231" s="3" t="n">
        <f aca="false">Dummy_Variables!I232</f>
        <v>0</v>
      </c>
      <c r="R231" s="3" t="n">
        <f aca="false">Dummy_Variables!J232</f>
        <v>0</v>
      </c>
      <c r="S231" s="3" t="n">
        <f aca="false">Cleaned_Data!M232</f>
        <v>529598.94</v>
      </c>
    </row>
    <row r="232" customFormat="false" ht="15" hidden="false" customHeight="true" outlineLevel="0" collapsed="false">
      <c r="A232" s="3" t="str">
        <f aca="false">Cleaned_Data!A233</f>
        <v>STR-1058</v>
      </c>
      <c r="B232" s="4" t="n">
        <f aca="false">Cleaned_Data!B233</f>
        <v>45658</v>
      </c>
      <c r="C232" s="3" t="str">
        <f aca="false">Cleaned_Data!C233</f>
        <v>East</v>
      </c>
      <c r="D232" s="3" t="str">
        <f aca="false">Cleaned_Data!D233</f>
        <v>High Street</v>
      </c>
      <c r="E232" s="3" t="n">
        <f aca="false">Cleaned_Data!E233</f>
        <v>37324.23</v>
      </c>
      <c r="F232" s="3" t="n">
        <f aca="false">Cleaned_Data!F233</f>
        <v>5957</v>
      </c>
      <c r="G232" s="3" t="n">
        <f aca="false">Cleaned_Data!G233</f>
        <v>0.071</v>
      </c>
      <c r="H232" s="3" t="n">
        <f aca="false">Cleaned_Data!H233</f>
        <v>12</v>
      </c>
      <c r="I232" s="3" t="n">
        <f aca="false">Cleaned_Data!I233</f>
        <v>85.9</v>
      </c>
      <c r="J232" s="3" t="n">
        <f aca="false">Cleaned_Data!J233</f>
        <v>0.37</v>
      </c>
      <c r="K232" s="3" t="n">
        <f aca="false">Cleaned_Data!K233</f>
        <v>0</v>
      </c>
      <c r="L232" s="3" t="n">
        <f aca="false">Cleaned_Data!L233</f>
        <v>3.8</v>
      </c>
      <c r="M232" s="3" t="n">
        <f aca="false">Dummy_Variables!E233</f>
        <v>0</v>
      </c>
      <c r="N232" s="3" t="n">
        <f aca="false">Dummy_Variables!F233</f>
        <v>0</v>
      </c>
      <c r="O232" s="3" t="n">
        <f aca="false">Dummy_Variables!G233</f>
        <v>0</v>
      </c>
      <c r="P232" s="3" t="n">
        <f aca="false">Dummy_Variables!H233</f>
        <v>0</v>
      </c>
      <c r="Q232" s="3" t="n">
        <f aca="false">Dummy_Variables!I233</f>
        <v>0</v>
      </c>
      <c r="R232" s="3" t="n">
        <f aca="false">Dummy_Variables!J233</f>
        <v>0</v>
      </c>
      <c r="S232" s="3" t="n">
        <f aca="false">Cleaned_Data!M233</f>
        <v>570963.31</v>
      </c>
    </row>
    <row r="233" customFormat="false" ht="15" hidden="false" customHeight="true" outlineLevel="0" collapsed="false">
      <c r="A233" s="3" t="str">
        <f aca="false">Cleaned_Data!A234</f>
        <v>STR-1058</v>
      </c>
      <c r="B233" s="4" t="n">
        <f aca="false">Cleaned_Data!B234</f>
        <v>45689</v>
      </c>
      <c r="C233" s="3" t="str">
        <f aca="false">Cleaned_Data!C234</f>
        <v>East</v>
      </c>
      <c r="D233" s="3" t="str">
        <f aca="false">Cleaned_Data!D234</f>
        <v>High Street</v>
      </c>
      <c r="E233" s="3" t="n">
        <f aca="false">Cleaned_Data!E234</f>
        <v>113736</v>
      </c>
      <c r="F233" s="3" t="n">
        <f aca="false">Cleaned_Data!F234</f>
        <v>8961</v>
      </c>
      <c r="G233" s="3" t="n">
        <f aca="false">Cleaned_Data!G234</f>
        <v>0.202</v>
      </c>
      <c r="H233" s="3" t="n">
        <f aca="false">Cleaned_Data!H234</f>
        <v>24</v>
      </c>
      <c r="I233" s="3" t="n">
        <f aca="false">Cleaned_Data!I234</f>
        <v>86.2</v>
      </c>
      <c r="J233" s="3" t="n">
        <f aca="false">Cleaned_Data!J234</f>
        <v>21.63</v>
      </c>
      <c r="K233" s="3" t="n">
        <f aca="false">Cleaned_Data!K234</f>
        <v>0</v>
      </c>
      <c r="L233" s="3" t="n">
        <f aca="false">Cleaned_Data!L234</f>
        <v>4</v>
      </c>
      <c r="M233" s="3" t="n">
        <f aca="false">Dummy_Variables!E234</f>
        <v>0</v>
      </c>
      <c r="N233" s="3" t="n">
        <f aca="false">Dummy_Variables!F234</f>
        <v>0</v>
      </c>
      <c r="O233" s="3" t="n">
        <f aca="false">Dummy_Variables!G234</f>
        <v>0</v>
      </c>
      <c r="P233" s="3" t="n">
        <f aca="false">Dummy_Variables!H234</f>
        <v>0</v>
      </c>
      <c r="Q233" s="3" t="n">
        <f aca="false">Dummy_Variables!I234</f>
        <v>0</v>
      </c>
      <c r="R233" s="3" t="n">
        <f aca="false">Dummy_Variables!J234</f>
        <v>0</v>
      </c>
      <c r="S233" s="3" t="n">
        <f aca="false">Cleaned_Data!M234</f>
        <v>870937.4</v>
      </c>
    </row>
    <row r="234" customFormat="false" ht="15" hidden="false" customHeight="true" outlineLevel="0" collapsed="false">
      <c r="A234" s="3" t="str">
        <f aca="false">Cleaned_Data!A235</f>
        <v>STR-1058</v>
      </c>
      <c r="B234" s="4" t="n">
        <f aca="false">Cleaned_Data!B235</f>
        <v>45717</v>
      </c>
      <c r="C234" s="3" t="str">
        <f aca="false">Cleaned_Data!C235</f>
        <v>East</v>
      </c>
      <c r="D234" s="3" t="str">
        <f aca="false">Cleaned_Data!D235</f>
        <v>High Street</v>
      </c>
      <c r="E234" s="3" t="n">
        <f aca="false">Cleaned_Data!E235</f>
        <v>33173.95</v>
      </c>
      <c r="F234" s="3" t="n">
        <f aca="false">Cleaned_Data!F235</f>
        <v>6545</v>
      </c>
      <c r="G234" s="3" t="n">
        <f aca="false">Cleaned_Data!G235</f>
        <v>0.169</v>
      </c>
      <c r="H234" s="3" t="n">
        <f aca="false">Cleaned_Data!H235</f>
        <v>15</v>
      </c>
      <c r="I234" s="3" t="n">
        <f aca="false">Cleaned_Data!I235</f>
        <v>84.4</v>
      </c>
      <c r="J234" s="3" t="n">
        <f aca="false">Cleaned_Data!J235</f>
        <v>2.48</v>
      </c>
      <c r="K234" s="3" t="n">
        <f aca="false">Cleaned_Data!K235</f>
        <v>0</v>
      </c>
      <c r="L234" s="3" t="n">
        <f aca="false">Cleaned_Data!L235</f>
        <v>3.9</v>
      </c>
      <c r="M234" s="3" t="n">
        <f aca="false">Dummy_Variables!E235</f>
        <v>0</v>
      </c>
      <c r="N234" s="3" t="n">
        <f aca="false">Dummy_Variables!F235</f>
        <v>0</v>
      </c>
      <c r="O234" s="3" t="n">
        <f aca="false">Dummy_Variables!G235</f>
        <v>0</v>
      </c>
      <c r="P234" s="3" t="n">
        <f aca="false">Dummy_Variables!H235</f>
        <v>0</v>
      </c>
      <c r="Q234" s="3" t="n">
        <f aca="false">Dummy_Variables!I235</f>
        <v>0</v>
      </c>
      <c r="R234" s="3" t="n">
        <f aca="false">Dummy_Variables!J235</f>
        <v>0</v>
      </c>
      <c r="S234" s="3" t="n">
        <f aca="false">Cleaned_Data!M235</f>
        <v>596969.27</v>
      </c>
    </row>
    <row r="235" customFormat="false" ht="15" hidden="false" customHeight="true" outlineLevel="0" collapsed="false">
      <c r="A235" s="3" t="str">
        <f aca="false">Cleaned_Data!A236</f>
        <v>STR-1058</v>
      </c>
      <c r="B235" s="4" t="n">
        <f aca="false">Cleaned_Data!B236</f>
        <v>45748</v>
      </c>
      <c r="C235" s="3" t="str">
        <f aca="false">Cleaned_Data!C236</f>
        <v>East</v>
      </c>
      <c r="D235" s="3" t="str">
        <f aca="false">Cleaned_Data!D236</f>
        <v>High Street</v>
      </c>
      <c r="E235" s="3" t="n">
        <f aca="false">Cleaned_Data!E236</f>
        <v>25818.08</v>
      </c>
      <c r="F235" s="3" t="n">
        <f aca="false">Cleaned_Data!F236</f>
        <v>5457</v>
      </c>
      <c r="G235" s="3" t="n">
        <f aca="false">Cleaned_Data!G236</f>
        <v>0</v>
      </c>
      <c r="H235" s="3" t="n">
        <f aca="false">Cleaned_Data!H236</f>
        <v>11</v>
      </c>
      <c r="I235" s="3" t="n">
        <f aca="false">Cleaned_Data!I236</f>
        <v>95.4</v>
      </c>
      <c r="J235" s="3" t="n">
        <f aca="false">Cleaned_Data!J236</f>
        <v>3.365</v>
      </c>
      <c r="K235" s="3" t="n">
        <f aca="false">Cleaned_Data!K236</f>
        <v>0</v>
      </c>
      <c r="L235" s="3" t="n">
        <f aca="false">Cleaned_Data!L236</f>
        <v>3.7</v>
      </c>
      <c r="M235" s="3" t="n">
        <f aca="false">Dummy_Variables!E236</f>
        <v>0</v>
      </c>
      <c r="N235" s="3" t="n">
        <f aca="false">Dummy_Variables!F236</f>
        <v>0</v>
      </c>
      <c r="O235" s="3" t="n">
        <f aca="false">Dummy_Variables!G236</f>
        <v>0</v>
      </c>
      <c r="P235" s="3" t="n">
        <f aca="false">Dummy_Variables!H236</f>
        <v>0</v>
      </c>
      <c r="Q235" s="3" t="n">
        <f aca="false">Dummy_Variables!I236</f>
        <v>0</v>
      </c>
      <c r="R235" s="3" t="n">
        <f aca="false">Dummy_Variables!J236</f>
        <v>0</v>
      </c>
      <c r="S235" s="3" t="n">
        <f aca="false">Cleaned_Data!M236</f>
        <v>647512.85</v>
      </c>
    </row>
    <row r="236" customFormat="false" ht="15" hidden="false" customHeight="true" outlineLevel="0" collapsed="false">
      <c r="A236" s="3" t="str">
        <f aca="false">Cleaned_Data!A237</f>
        <v>STR-1059</v>
      </c>
      <c r="B236" s="4" t="n">
        <f aca="false">Cleaned_Data!B237</f>
        <v>45658</v>
      </c>
      <c r="C236" s="3" t="str">
        <f aca="false">Cleaned_Data!C237</f>
        <v>West</v>
      </c>
      <c r="D236" s="3" t="str">
        <f aca="false">Cleaned_Data!D237</f>
        <v>Residential</v>
      </c>
      <c r="E236" s="3" t="n">
        <f aca="false">Cleaned_Data!E237</f>
        <v>47241.92</v>
      </c>
      <c r="F236" s="3" t="n">
        <f aca="false">Cleaned_Data!F237</f>
        <v>4264</v>
      </c>
      <c r="G236" s="3" t="n">
        <f aca="false">Cleaned_Data!G237</f>
        <v>0.069</v>
      </c>
      <c r="H236" s="3" t="n">
        <f aca="false">Cleaned_Data!H237</f>
        <v>13</v>
      </c>
      <c r="I236" s="3" t="n">
        <f aca="false">Cleaned_Data!I237</f>
        <v>95.3</v>
      </c>
      <c r="J236" s="3" t="n">
        <f aca="false">Cleaned_Data!J237</f>
        <v>0.85</v>
      </c>
      <c r="K236" s="3" t="n">
        <f aca="false">Cleaned_Data!K237</f>
        <v>0</v>
      </c>
      <c r="L236" s="3" t="n">
        <f aca="false">Cleaned_Data!L237</f>
        <v>4.3</v>
      </c>
      <c r="M236" s="3" t="n">
        <f aca="false">Dummy_Variables!E237</f>
        <v>0</v>
      </c>
      <c r="N236" s="3" t="n">
        <f aca="false">Dummy_Variables!F237</f>
        <v>0</v>
      </c>
      <c r="O236" s="3" t="n">
        <f aca="false">Dummy_Variables!G237</f>
        <v>1</v>
      </c>
      <c r="P236" s="3" t="n">
        <f aca="false">Dummy_Variables!H237</f>
        <v>0</v>
      </c>
      <c r="Q236" s="3" t="n">
        <f aca="false">Dummy_Variables!I237</f>
        <v>0</v>
      </c>
      <c r="R236" s="3" t="n">
        <f aca="false">Dummy_Variables!J237</f>
        <v>1</v>
      </c>
      <c r="S236" s="3" t="n">
        <f aca="false">Cleaned_Data!M237</f>
        <v>658072.14</v>
      </c>
    </row>
    <row r="237" customFormat="false" ht="15" hidden="false" customHeight="true" outlineLevel="0" collapsed="false">
      <c r="A237" s="3" t="str">
        <f aca="false">Cleaned_Data!A238</f>
        <v>STR-1059</v>
      </c>
      <c r="B237" s="4" t="n">
        <f aca="false">Cleaned_Data!B238</f>
        <v>45689</v>
      </c>
      <c r="C237" s="3" t="str">
        <f aca="false">Cleaned_Data!C238</f>
        <v>West</v>
      </c>
      <c r="D237" s="3" t="str">
        <f aca="false">Cleaned_Data!D238</f>
        <v>Residential</v>
      </c>
      <c r="E237" s="3" t="n">
        <f aca="false">Cleaned_Data!E238</f>
        <v>61650.79</v>
      </c>
      <c r="F237" s="3" t="n">
        <f aca="false">Cleaned_Data!F238</f>
        <v>5321</v>
      </c>
      <c r="G237" s="3" t="n">
        <f aca="false">Cleaned_Data!G238</f>
        <v>0.126</v>
      </c>
      <c r="H237" s="3" t="n">
        <f aca="false">Cleaned_Data!H238</f>
        <v>17</v>
      </c>
      <c r="I237" s="3" t="n">
        <f aca="false">Cleaned_Data!I238</f>
        <v>89.2</v>
      </c>
      <c r="J237" s="3" t="n">
        <f aca="false">Cleaned_Data!J238</f>
        <v>2.13</v>
      </c>
      <c r="K237" s="3" t="n">
        <f aca="false">Cleaned_Data!K238</f>
        <v>0</v>
      </c>
      <c r="L237" s="3" t="n">
        <f aca="false">Cleaned_Data!L238</f>
        <v>4</v>
      </c>
      <c r="M237" s="3" t="n">
        <f aca="false">Dummy_Variables!E238</f>
        <v>0</v>
      </c>
      <c r="N237" s="3" t="n">
        <f aca="false">Dummy_Variables!F238</f>
        <v>0</v>
      </c>
      <c r="O237" s="3" t="n">
        <f aca="false">Dummy_Variables!G238</f>
        <v>1</v>
      </c>
      <c r="P237" s="3" t="n">
        <f aca="false">Dummy_Variables!H238</f>
        <v>0</v>
      </c>
      <c r="Q237" s="3" t="n">
        <f aca="false">Dummy_Variables!I238</f>
        <v>0</v>
      </c>
      <c r="R237" s="3" t="n">
        <f aca="false">Dummy_Variables!J238</f>
        <v>1</v>
      </c>
      <c r="S237" s="3" t="n">
        <f aca="false">Cleaned_Data!M238</f>
        <v>723305.11</v>
      </c>
    </row>
    <row r="238" customFormat="false" ht="15" hidden="false" customHeight="true" outlineLevel="0" collapsed="false">
      <c r="A238" s="3" t="str">
        <f aca="false">Cleaned_Data!A239</f>
        <v>STR-1059</v>
      </c>
      <c r="B238" s="4" t="n">
        <f aca="false">Cleaned_Data!B239</f>
        <v>45717</v>
      </c>
      <c r="C238" s="3" t="str">
        <f aca="false">Cleaned_Data!C239</f>
        <v>West</v>
      </c>
      <c r="D238" s="3" t="str">
        <f aca="false">Cleaned_Data!D239</f>
        <v>Residential</v>
      </c>
      <c r="E238" s="3" t="n">
        <f aca="false">Cleaned_Data!E239</f>
        <v>62582.71</v>
      </c>
      <c r="F238" s="3" t="n">
        <f aca="false">Cleaned_Data!F239</f>
        <v>5479</v>
      </c>
      <c r="G238" s="3" t="n">
        <f aca="false">Cleaned_Data!G239</f>
        <v>0.048</v>
      </c>
      <c r="H238" s="3" t="n">
        <f aca="false">Cleaned_Data!H239</f>
        <v>16</v>
      </c>
      <c r="I238" s="3" t="n">
        <f aca="false">Cleaned_Data!I239</f>
        <v>81.2</v>
      </c>
      <c r="J238" s="3" t="n">
        <f aca="false">Cleaned_Data!J239</f>
        <v>1.46</v>
      </c>
      <c r="K238" s="3" t="n">
        <f aca="false">Cleaned_Data!K239</f>
        <v>0</v>
      </c>
      <c r="L238" s="3" t="n">
        <f aca="false">Cleaned_Data!L239</f>
        <v>4.5</v>
      </c>
      <c r="M238" s="3" t="n">
        <f aca="false">Dummy_Variables!E239</f>
        <v>0</v>
      </c>
      <c r="N238" s="3" t="n">
        <f aca="false">Dummy_Variables!F239</f>
        <v>0</v>
      </c>
      <c r="O238" s="3" t="n">
        <f aca="false">Dummy_Variables!G239</f>
        <v>1</v>
      </c>
      <c r="P238" s="3" t="n">
        <f aca="false">Dummy_Variables!H239</f>
        <v>0</v>
      </c>
      <c r="Q238" s="3" t="n">
        <f aca="false">Dummy_Variables!I239</f>
        <v>0</v>
      </c>
      <c r="R238" s="3" t="n">
        <f aca="false">Dummy_Variables!J239</f>
        <v>1</v>
      </c>
      <c r="S238" s="3" t="n">
        <f aca="false">Cleaned_Data!M239</f>
        <v>640666.53</v>
      </c>
    </row>
    <row r="239" customFormat="false" ht="15" hidden="false" customHeight="true" outlineLevel="0" collapsed="false">
      <c r="A239" s="3" t="str">
        <f aca="false">Cleaned_Data!A240</f>
        <v>STR-1059</v>
      </c>
      <c r="B239" s="4" t="n">
        <f aca="false">Cleaned_Data!B240</f>
        <v>45748</v>
      </c>
      <c r="C239" s="3" t="str">
        <f aca="false">Cleaned_Data!C240</f>
        <v>West</v>
      </c>
      <c r="D239" s="3" t="str">
        <f aca="false">Cleaned_Data!D240</f>
        <v>Residential</v>
      </c>
      <c r="E239" s="3" t="n">
        <f aca="false">Cleaned_Data!E240</f>
        <v>47944.14</v>
      </c>
      <c r="F239" s="3" t="n">
        <f aca="false">Cleaned_Data!F240</f>
        <v>6169</v>
      </c>
      <c r="G239" s="3" t="n">
        <f aca="false">Cleaned_Data!G240</f>
        <v>0.119</v>
      </c>
      <c r="H239" s="3" t="n">
        <f aca="false">Cleaned_Data!H240</f>
        <v>17</v>
      </c>
      <c r="I239" s="3" t="n">
        <f aca="false">Cleaned_Data!I240</f>
        <v>92.2</v>
      </c>
      <c r="J239" s="3" t="n">
        <f aca="false">Cleaned_Data!J240</f>
        <v>3.02</v>
      </c>
      <c r="K239" s="3" t="n">
        <f aca="false">Cleaned_Data!K240</f>
        <v>0</v>
      </c>
      <c r="L239" s="3" t="n">
        <f aca="false">Cleaned_Data!L240</f>
        <v>4.1</v>
      </c>
      <c r="M239" s="3" t="n">
        <f aca="false">Dummy_Variables!E240</f>
        <v>0</v>
      </c>
      <c r="N239" s="3" t="n">
        <f aca="false">Dummy_Variables!F240</f>
        <v>0</v>
      </c>
      <c r="O239" s="3" t="n">
        <f aca="false">Dummy_Variables!G240</f>
        <v>1</v>
      </c>
      <c r="P239" s="3" t="n">
        <f aca="false">Dummy_Variables!H240</f>
        <v>0</v>
      </c>
      <c r="Q239" s="3" t="n">
        <f aca="false">Dummy_Variables!I240</f>
        <v>0</v>
      </c>
      <c r="R239" s="3" t="n">
        <f aca="false">Dummy_Variables!J240</f>
        <v>1</v>
      </c>
      <c r="S239" s="3" t="n">
        <f aca="false">Cleaned_Data!M240</f>
        <v>670629.48</v>
      </c>
    </row>
    <row r="240" customFormat="false" ht="15" hidden="false" customHeight="true" outlineLevel="0" collapsed="false">
      <c r="A240" s="3" t="str">
        <f aca="false">Cleaned_Data!A241</f>
        <v>STR-1060</v>
      </c>
      <c r="B240" s="4" t="n">
        <f aca="false">Cleaned_Data!B241</f>
        <v>45658</v>
      </c>
      <c r="C240" s="3" t="str">
        <f aca="false">Cleaned_Data!C241</f>
        <v>West</v>
      </c>
      <c r="D240" s="3" t="str">
        <f aca="false">Cleaned_Data!D241</f>
        <v>Mall</v>
      </c>
      <c r="E240" s="3" t="n">
        <f aca="false">Cleaned_Data!E241</f>
        <v>46495.4</v>
      </c>
      <c r="F240" s="3" t="n">
        <f aca="false">Cleaned_Data!F241</f>
        <v>9908</v>
      </c>
      <c r="G240" s="3" t="n">
        <f aca="false">Cleaned_Data!G241</f>
        <v>0.121</v>
      </c>
      <c r="H240" s="3" t="n">
        <f aca="false">Cleaned_Data!H241</f>
        <v>22</v>
      </c>
      <c r="I240" s="3" t="n">
        <f aca="false">Cleaned_Data!I241</f>
        <v>89.4</v>
      </c>
      <c r="J240" s="3" t="n">
        <f aca="false">Cleaned_Data!J241</f>
        <v>3.22</v>
      </c>
      <c r="K240" s="3" t="n">
        <f aca="false">Cleaned_Data!K241</f>
        <v>0</v>
      </c>
      <c r="L240" s="3" t="n">
        <f aca="false">Cleaned_Data!L241</f>
        <v>3.7</v>
      </c>
      <c r="M240" s="3" t="n">
        <f aca="false">Dummy_Variables!E241</f>
        <v>0</v>
      </c>
      <c r="N240" s="3" t="n">
        <f aca="false">Dummy_Variables!F241</f>
        <v>1</v>
      </c>
      <c r="O240" s="3" t="n">
        <f aca="false">Dummy_Variables!G241</f>
        <v>0</v>
      </c>
      <c r="P240" s="3" t="n">
        <f aca="false">Dummy_Variables!H241</f>
        <v>0</v>
      </c>
      <c r="Q240" s="3" t="n">
        <f aca="false">Dummy_Variables!I241</f>
        <v>0</v>
      </c>
      <c r="R240" s="3" t="n">
        <f aca="false">Dummy_Variables!J241</f>
        <v>1</v>
      </c>
      <c r="S240" s="3" t="n">
        <f aca="false">Cleaned_Data!M241</f>
        <v>721079.35</v>
      </c>
    </row>
    <row r="241" customFormat="false" ht="15" hidden="false" customHeight="true" outlineLevel="0" collapsed="false">
      <c r="A241" s="3" t="str">
        <f aca="false">Cleaned_Data!A242</f>
        <v>STR-1060</v>
      </c>
      <c r="B241" s="4" t="n">
        <f aca="false">Cleaned_Data!B242</f>
        <v>45689</v>
      </c>
      <c r="C241" s="3" t="str">
        <f aca="false">Cleaned_Data!C242</f>
        <v>West</v>
      </c>
      <c r="D241" s="3" t="str">
        <f aca="false">Cleaned_Data!D242</f>
        <v>Mall</v>
      </c>
      <c r="E241" s="3" t="n">
        <f aca="false">Cleaned_Data!E242</f>
        <v>72961.95</v>
      </c>
      <c r="F241" s="3" t="n">
        <f aca="false">Cleaned_Data!F242</f>
        <v>9996</v>
      </c>
      <c r="G241" s="3" t="n">
        <f aca="false">Cleaned_Data!G242</f>
        <v>0.106</v>
      </c>
      <c r="H241" s="3" t="n">
        <f aca="false">Cleaned_Data!H242</f>
        <v>22</v>
      </c>
      <c r="I241" s="3" t="n">
        <f aca="false">Cleaned_Data!I242</f>
        <v>89.1</v>
      </c>
      <c r="J241" s="3" t="n">
        <f aca="false">Cleaned_Data!J242</f>
        <v>15.66</v>
      </c>
      <c r="K241" s="3" t="n">
        <f aca="false">Cleaned_Data!K242</f>
        <v>0</v>
      </c>
      <c r="L241" s="3" t="n">
        <f aca="false">Cleaned_Data!L242</f>
        <v>3.4</v>
      </c>
      <c r="M241" s="3" t="n">
        <f aca="false">Dummy_Variables!E242</f>
        <v>0</v>
      </c>
      <c r="N241" s="3" t="n">
        <f aca="false">Dummy_Variables!F242</f>
        <v>1</v>
      </c>
      <c r="O241" s="3" t="n">
        <f aca="false">Dummy_Variables!G242</f>
        <v>0</v>
      </c>
      <c r="P241" s="3" t="n">
        <f aca="false">Dummy_Variables!H242</f>
        <v>0</v>
      </c>
      <c r="Q241" s="3" t="n">
        <f aca="false">Dummy_Variables!I242</f>
        <v>0</v>
      </c>
      <c r="R241" s="3" t="n">
        <f aca="false">Dummy_Variables!J242</f>
        <v>1</v>
      </c>
      <c r="S241" s="3" t="n">
        <f aca="false">Cleaned_Data!M242</f>
        <v>810355.02</v>
      </c>
    </row>
    <row r="242" customFormat="false" ht="15" hidden="false" customHeight="true" outlineLevel="0" collapsed="false">
      <c r="A242" s="3" t="str">
        <f aca="false">Cleaned_Data!A243</f>
        <v>STR-1060</v>
      </c>
      <c r="B242" s="4" t="n">
        <f aca="false">Cleaned_Data!B243</f>
        <v>45717</v>
      </c>
      <c r="C242" s="3" t="str">
        <f aca="false">Cleaned_Data!C243</f>
        <v>West</v>
      </c>
      <c r="D242" s="3" t="str">
        <f aca="false">Cleaned_Data!D243</f>
        <v>Mall</v>
      </c>
      <c r="E242" s="3" t="n">
        <f aca="false">Cleaned_Data!E243</f>
        <v>59060.05</v>
      </c>
      <c r="F242" s="3" t="n">
        <f aca="false">Cleaned_Data!F243</f>
        <v>9702</v>
      </c>
      <c r="G242" s="3" t="n">
        <f aca="false">Cleaned_Data!G243</f>
        <v>0.201</v>
      </c>
      <c r="H242" s="3" t="n">
        <f aca="false">Cleaned_Data!H243</f>
        <v>23</v>
      </c>
      <c r="I242" s="3" t="n">
        <f aca="false">Cleaned_Data!I243</f>
        <v>80.9</v>
      </c>
      <c r="J242" s="3" t="n">
        <f aca="false">Cleaned_Data!J243</f>
        <v>6.96</v>
      </c>
      <c r="K242" s="3" t="n">
        <f aca="false">Cleaned_Data!K243</f>
        <v>0</v>
      </c>
      <c r="L242" s="3" t="n">
        <f aca="false">Cleaned_Data!L243</f>
        <v>3.2</v>
      </c>
      <c r="M242" s="3" t="n">
        <f aca="false">Dummy_Variables!E243</f>
        <v>0</v>
      </c>
      <c r="N242" s="3" t="n">
        <f aca="false">Dummy_Variables!F243</f>
        <v>1</v>
      </c>
      <c r="O242" s="3" t="n">
        <f aca="false">Dummy_Variables!G243</f>
        <v>0</v>
      </c>
      <c r="P242" s="3" t="n">
        <f aca="false">Dummy_Variables!H243</f>
        <v>0</v>
      </c>
      <c r="Q242" s="3" t="n">
        <f aca="false">Dummy_Variables!I243</f>
        <v>0</v>
      </c>
      <c r="R242" s="3" t="n">
        <f aca="false">Dummy_Variables!J243</f>
        <v>1</v>
      </c>
      <c r="S242" s="3" t="n">
        <f aca="false">Cleaned_Data!M243</f>
        <v>761919.25</v>
      </c>
    </row>
    <row r="243" customFormat="false" ht="15" hidden="false" customHeight="true" outlineLevel="0" collapsed="false">
      <c r="A243" s="3" t="str">
        <f aca="false">Cleaned_Data!A244</f>
        <v>STR-1060</v>
      </c>
      <c r="B243" s="4" t="n">
        <f aca="false">Cleaned_Data!B244</f>
        <v>45748</v>
      </c>
      <c r="C243" s="3" t="str">
        <f aca="false">Cleaned_Data!C244</f>
        <v>West</v>
      </c>
      <c r="D243" s="3" t="str">
        <f aca="false">Cleaned_Data!D244</f>
        <v>Mall</v>
      </c>
      <c r="E243" s="3" t="n">
        <f aca="false">Cleaned_Data!E244</f>
        <v>26248.1</v>
      </c>
      <c r="F243" s="3" t="n">
        <f aca="false">Cleaned_Data!F244</f>
        <v>9314</v>
      </c>
      <c r="G243" s="3" t="n">
        <f aca="false">Cleaned_Data!G244</f>
        <v>0.186</v>
      </c>
      <c r="H243" s="3" t="n">
        <f aca="false">Cleaned_Data!H244</f>
        <v>21</v>
      </c>
      <c r="I243" s="3" t="n">
        <f aca="false">Cleaned_Data!I244</f>
        <v>83.7</v>
      </c>
      <c r="J243" s="3" t="n">
        <f aca="false">Cleaned_Data!J244</f>
        <v>4.62</v>
      </c>
      <c r="K243" s="3" t="n">
        <f aca="false">Cleaned_Data!K244</f>
        <v>0</v>
      </c>
      <c r="L243" s="3" t="n">
        <f aca="false">Cleaned_Data!L244</f>
        <v>3.3</v>
      </c>
      <c r="M243" s="3" t="n">
        <f aca="false">Dummy_Variables!E244</f>
        <v>0</v>
      </c>
      <c r="N243" s="3" t="n">
        <f aca="false">Dummy_Variables!F244</f>
        <v>1</v>
      </c>
      <c r="O243" s="3" t="n">
        <f aca="false">Dummy_Variables!G244</f>
        <v>0</v>
      </c>
      <c r="P243" s="3" t="n">
        <f aca="false">Dummy_Variables!H244</f>
        <v>0</v>
      </c>
      <c r="Q243" s="3" t="n">
        <f aca="false">Dummy_Variables!I244</f>
        <v>0</v>
      </c>
      <c r="R243" s="3" t="n">
        <f aca="false">Dummy_Variables!J244</f>
        <v>1</v>
      </c>
      <c r="S243" s="3" t="n">
        <f aca="false">Cleaned_Data!M244</f>
        <v>737070.18</v>
      </c>
    </row>
    <row r="244" customFormat="false" ht="15" hidden="false" customHeight="true" outlineLevel="0" collapsed="false">
      <c r="A244" s="3" t="str">
        <f aca="false">Cleaned_Data!A245</f>
        <v>STR-1061</v>
      </c>
      <c r="B244" s="4" t="n">
        <f aca="false">Cleaned_Data!B245</f>
        <v>45658</v>
      </c>
      <c r="C244" s="3" t="str">
        <f aca="false">Cleaned_Data!C245</f>
        <v>South</v>
      </c>
      <c r="D244" s="3" t="str">
        <f aca="false">Cleaned_Data!D245</f>
        <v>Airport</v>
      </c>
      <c r="E244" s="3" t="n">
        <f aca="false">Cleaned_Data!E245</f>
        <v>69900.12</v>
      </c>
      <c r="F244" s="3" t="n">
        <f aca="false">Cleaned_Data!F245</f>
        <v>8055</v>
      </c>
      <c r="G244" s="3" t="n">
        <f aca="false">Cleaned_Data!G245</f>
        <v>0.281</v>
      </c>
      <c r="H244" s="3" t="n">
        <f aca="false">Cleaned_Data!H245</f>
        <v>22</v>
      </c>
      <c r="I244" s="3" t="n">
        <f aca="false">Cleaned_Data!I245</f>
        <v>85.6</v>
      </c>
      <c r="J244" s="3" t="n">
        <f aca="false">Cleaned_Data!J245</f>
        <v>10.68</v>
      </c>
      <c r="K244" s="3" t="n">
        <f aca="false">Cleaned_Data!K245</f>
        <v>1</v>
      </c>
      <c r="L244" s="3" t="n">
        <f aca="false">Cleaned_Data!L245</f>
        <v>2.9</v>
      </c>
      <c r="M244" s="3" t="n">
        <f aca="false">Dummy_Variables!E245</f>
        <v>1</v>
      </c>
      <c r="N244" s="3" t="n">
        <f aca="false">Dummy_Variables!F245</f>
        <v>0</v>
      </c>
      <c r="O244" s="3" t="n">
        <f aca="false">Dummy_Variables!G245</f>
        <v>0</v>
      </c>
      <c r="P244" s="3" t="n">
        <f aca="false">Dummy_Variables!H245</f>
        <v>0</v>
      </c>
      <c r="Q244" s="3" t="n">
        <f aca="false">Dummy_Variables!I245</f>
        <v>1</v>
      </c>
      <c r="R244" s="3" t="n">
        <f aca="false">Dummy_Variables!J245</f>
        <v>0</v>
      </c>
      <c r="S244" s="3" t="n">
        <f aca="false">Cleaned_Data!M245</f>
        <v>776992.93</v>
      </c>
    </row>
    <row r="245" customFormat="false" ht="15" hidden="false" customHeight="true" outlineLevel="0" collapsed="false">
      <c r="A245" s="3" t="str">
        <f aca="false">Cleaned_Data!A246</f>
        <v>STR-1061</v>
      </c>
      <c r="B245" s="4" t="n">
        <f aca="false">Cleaned_Data!B246</f>
        <v>45689</v>
      </c>
      <c r="C245" s="3" t="str">
        <f aca="false">Cleaned_Data!C246</f>
        <v>South</v>
      </c>
      <c r="D245" s="3" t="str">
        <f aca="false">Cleaned_Data!D246</f>
        <v>Airport</v>
      </c>
      <c r="E245" s="3" t="n">
        <f aca="false">Cleaned_Data!E246</f>
        <v>51781.6</v>
      </c>
      <c r="F245" s="3" t="n">
        <f aca="false">Cleaned_Data!F246</f>
        <v>5648</v>
      </c>
      <c r="G245" s="3" t="n">
        <f aca="false">Cleaned_Data!G246</f>
        <v>0.059</v>
      </c>
      <c r="H245" s="3" t="n">
        <f aca="false">Cleaned_Data!H246</f>
        <v>13</v>
      </c>
      <c r="I245" s="3" t="n">
        <f aca="false">Cleaned_Data!I246</f>
        <v>85.5</v>
      </c>
      <c r="J245" s="3" t="n">
        <f aca="false">Cleaned_Data!J246</f>
        <v>4.04</v>
      </c>
      <c r="K245" s="3" t="n">
        <f aca="false">Cleaned_Data!K246</f>
        <v>0</v>
      </c>
      <c r="L245" s="3" t="n">
        <f aca="false">Cleaned_Data!L246</f>
        <v>3.7</v>
      </c>
      <c r="M245" s="3" t="n">
        <f aca="false">Dummy_Variables!E246</f>
        <v>1</v>
      </c>
      <c r="N245" s="3" t="n">
        <f aca="false">Dummy_Variables!F246</f>
        <v>0</v>
      </c>
      <c r="O245" s="3" t="n">
        <f aca="false">Dummy_Variables!G246</f>
        <v>0</v>
      </c>
      <c r="P245" s="3" t="n">
        <f aca="false">Dummy_Variables!H246</f>
        <v>0</v>
      </c>
      <c r="Q245" s="3" t="n">
        <f aca="false">Dummy_Variables!I246</f>
        <v>1</v>
      </c>
      <c r="R245" s="3" t="n">
        <f aca="false">Dummy_Variables!J246</f>
        <v>0</v>
      </c>
      <c r="S245" s="3" t="n">
        <f aca="false">Cleaned_Data!M246</f>
        <v>676337.41</v>
      </c>
    </row>
    <row r="246" customFormat="false" ht="15" hidden="false" customHeight="true" outlineLevel="0" collapsed="false">
      <c r="A246" s="3" t="str">
        <f aca="false">Cleaned_Data!A247</f>
        <v>STR-1061</v>
      </c>
      <c r="B246" s="4" t="n">
        <f aca="false">Cleaned_Data!B247</f>
        <v>45717</v>
      </c>
      <c r="C246" s="3" t="str">
        <f aca="false">Cleaned_Data!C247</f>
        <v>South</v>
      </c>
      <c r="D246" s="3" t="str">
        <f aca="false">Cleaned_Data!D247</f>
        <v>Airport</v>
      </c>
      <c r="E246" s="3" t="n">
        <f aca="false">Cleaned_Data!E247</f>
        <v>70799.64</v>
      </c>
      <c r="F246" s="3" t="n">
        <f aca="false">Cleaned_Data!F247</f>
        <v>10076</v>
      </c>
      <c r="G246" s="3" t="n">
        <f aca="false">Cleaned_Data!G247</f>
        <v>0.152</v>
      </c>
      <c r="H246" s="3" t="n">
        <f aca="false">Cleaned_Data!H247</f>
        <v>24</v>
      </c>
      <c r="I246" s="3" t="n">
        <f aca="false">Cleaned_Data!I247</f>
        <v>84.8</v>
      </c>
      <c r="J246" s="3" t="n">
        <f aca="false">Cleaned_Data!J247</f>
        <v>1.87</v>
      </c>
      <c r="K246" s="3" t="n">
        <f aca="false">Cleaned_Data!K247</f>
        <v>0</v>
      </c>
      <c r="L246" s="3" t="n">
        <f aca="false">Cleaned_Data!L247</f>
        <v>3.5</v>
      </c>
      <c r="M246" s="3" t="n">
        <f aca="false">Dummy_Variables!E247</f>
        <v>1</v>
      </c>
      <c r="N246" s="3" t="n">
        <f aca="false">Dummy_Variables!F247</f>
        <v>0</v>
      </c>
      <c r="O246" s="3" t="n">
        <f aca="false">Dummy_Variables!G247</f>
        <v>0</v>
      </c>
      <c r="P246" s="3" t="n">
        <f aca="false">Dummy_Variables!H247</f>
        <v>0</v>
      </c>
      <c r="Q246" s="3" t="n">
        <f aca="false">Dummy_Variables!I247</f>
        <v>1</v>
      </c>
      <c r="R246" s="3" t="n">
        <f aca="false">Dummy_Variables!J247</f>
        <v>0</v>
      </c>
      <c r="S246" s="3" t="n">
        <f aca="false">Cleaned_Data!M247</f>
        <v>828219.67</v>
      </c>
    </row>
    <row r="247" customFormat="false" ht="15" hidden="false" customHeight="true" outlineLevel="0" collapsed="false">
      <c r="A247" s="3" t="str">
        <f aca="false">Cleaned_Data!A248</f>
        <v>STR-1061</v>
      </c>
      <c r="B247" s="4" t="n">
        <f aca="false">Cleaned_Data!B248</f>
        <v>45748</v>
      </c>
      <c r="C247" s="3" t="str">
        <f aca="false">Cleaned_Data!C248</f>
        <v>South</v>
      </c>
      <c r="D247" s="3" t="str">
        <f aca="false">Cleaned_Data!D248</f>
        <v>Airport</v>
      </c>
      <c r="E247" s="3" t="n">
        <f aca="false">Cleaned_Data!E248</f>
        <v>53546.34</v>
      </c>
      <c r="F247" s="3" t="n">
        <f aca="false">Cleaned_Data!F248</f>
        <v>8004</v>
      </c>
      <c r="G247" s="3" t="n">
        <f aca="false">Cleaned_Data!G248</f>
        <v>0</v>
      </c>
      <c r="H247" s="3" t="n">
        <f aca="false">Cleaned_Data!H248</f>
        <v>21</v>
      </c>
      <c r="I247" s="3" t="n">
        <f aca="false">Cleaned_Data!I248</f>
        <v>95.2</v>
      </c>
      <c r="J247" s="3" t="n">
        <f aca="false">Cleaned_Data!J248</f>
        <v>2.83</v>
      </c>
      <c r="K247" s="3" t="n">
        <f aca="false">Cleaned_Data!K248</f>
        <v>0</v>
      </c>
      <c r="L247" s="3" t="n">
        <f aca="false">Cleaned_Data!L248</f>
        <v>3</v>
      </c>
      <c r="M247" s="3" t="n">
        <f aca="false">Dummy_Variables!E248</f>
        <v>1</v>
      </c>
      <c r="N247" s="3" t="n">
        <f aca="false">Dummy_Variables!F248</f>
        <v>0</v>
      </c>
      <c r="O247" s="3" t="n">
        <f aca="false">Dummy_Variables!G248</f>
        <v>0</v>
      </c>
      <c r="P247" s="3" t="n">
        <f aca="false">Dummy_Variables!H248</f>
        <v>0</v>
      </c>
      <c r="Q247" s="3" t="n">
        <f aca="false">Dummy_Variables!I248</f>
        <v>1</v>
      </c>
      <c r="R247" s="3" t="n">
        <f aca="false">Dummy_Variables!J248</f>
        <v>0</v>
      </c>
      <c r="S247" s="3" t="n">
        <f aca="false">Cleaned_Data!M248</f>
        <v>763159.92</v>
      </c>
    </row>
    <row r="248" customFormat="false" ht="15" hidden="false" customHeight="true" outlineLevel="0" collapsed="false">
      <c r="A248" s="3" t="str">
        <f aca="false">Cleaned_Data!A249</f>
        <v>STR-1062</v>
      </c>
      <c r="B248" s="4" t="n">
        <f aca="false">Cleaned_Data!B249</f>
        <v>45658</v>
      </c>
      <c r="C248" s="3" t="str">
        <f aca="false">Cleaned_Data!C249</f>
        <v>East</v>
      </c>
      <c r="D248" s="3" t="str">
        <f aca="false">Cleaned_Data!D249</f>
        <v>High Street</v>
      </c>
      <c r="E248" s="3" t="n">
        <f aca="false">Cleaned_Data!E249</f>
        <v>76942.2</v>
      </c>
      <c r="F248" s="3" t="n">
        <f aca="false">Cleaned_Data!F249</f>
        <v>8934</v>
      </c>
      <c r="G248" s="3" t="n">
        <f aca="false">Cleaned_Data!G249</f>
        <v>0.084</v>
      </c>
      <c r="H248" s="3" t="n">
        <f aca="false">Cleaned_Data!H249</f>
        <v>20</v>
      </c>
      <c r="I248" s="3" t="n">
        <f aca="false">Cleaned_Data!I249</f>
        <v>91</v>
      </c>
      <c r="J248" s="3" t="n">
        <f aca="false">Cleaned_Data!J249</f>
        <v>0.95</v>
      </c>
      <c r="K248" s="3" t="n">
        <f aca="false">Cleaned_Data!K249</f>
        <v>0</v>
      </c>
      <c r="L248" s="3" t="n">
        <f aca="false">Cleaned_Data!L249</f>
        <v>3.2</v>
      </c>
      <c r="M248" s="3" t="n">
        <f aca="false">Dummy_Variables!E249</f>
        <v>0</v>
      </c>
      <c r="N248" s="3" t="n">
        <f aca="false">Dummy_Variables!F249</f>
        <v>0</v>
      </c>
      <c r="O248" s="3" t="n">
        <f aca="false">Dummy_Variables!G249</f>
        <v>0</v>
      </c>
      <c r="P248" s="3" t="n">
        <f aca="false">Dummy_Variables!H249</f>
        <v>0</v>
      </c>
      <c r="Q248" s="3" t="n">
        <f aca="false">Dummy_Variables!I249</f>
        <v>0</v>
      </c>
      <c r="R248" s="3" t="n">
        <f aca="false">Dummy_Variables!J249</f>
        <v>0</v>
      </c>
      <c r="S248" s="3" t="n">
        <f aca="false">Cleaned_Data!M249</f>
        <v>802001.68</v>
      </c>
    </row>
    <row r="249" customFormat="false" ht="15" hidden="false" customHeight="true" outlineLevel="0" collapsed="false">
      <c r="A249" s="3" t="str">
        <f aca="false">Cleaned_Data!A250</f>
        <v>STR-1062</v>
      </c>
      <c r="B249" s="4" t="n">
        <f aca="false">Cleaned_Data!B250</f>
        <v>45689</v>
      </c>
      <c r="C249" s="3" t="str">
        <f aca="false">Cleaned_Data!C250</f>
        <v>East</v>
      </c>
      <c r="D249" s="3" t="str">
        <f aca="false">Cleaned_Data!D250</f>
        <v>High Street</v>
      </c>
      <c r="E249" s="3" t="n">
        <f aca="false">Cleaned_Data!E250</f>
        <v>48060.78</v>
      </c>
      <c r="F249" s="3" t="n">
        <f aca="false">Cleaned_Data!F250</f>
        <v>8733</v>
      </c>
      <c r="G249" s="3" t="n">
        <f aca="false">Cleaned_Data!G250</f>
        <v>0</v>
      </c>
      <c r="H249" s="3" t="n">
        <f aca="false">Cleaned_Data!H250</f>
        <v>20</v>
      </c>
      <c r="I249" s="3" t="n">
        <f aca="false">Cleaned_Data!I250</f>
        <v>89.9</v>
      </c>
      <c r="J249" s="3" t="n">
        <f aca="false">Cleaned_Data!J250</f>
        <v>0.8</v>
      </c>
      <c r="K249" s="3" t="n">
        <f aca="false">Cleaned_Data!K250</f>
        <v>0</v>
      </c>
      <c r="L249" s="3" t="n">
        <f aca="false">Cleaned_Data!L250</f>
        <v>3.4</v>
      </c>
      <c r="M249" s="3" t="n">
        <f aca="false">Dummy_Variables!E250</f>
        <v>0</v>
      </c>
      <c r="N249" s="3" t="n">
        <f aca="false">Dummy_Variables!F250</f>
        <v>0</v>
      </c>
      <c r="O249" s="3" t="n">
        <f aca="false">Dummy_Variables!G250</f>
        <v>0</v>
      </c>
      <c r="P249" s="3" t="n">
        <f aca="false">Dummy_Variables!H250</f>
        <v>0</v>
      </c>
      <c r="Q249" s="3" t="n">
        <f aca="false">Dummy_Variables!I250</f>
        <v>0</v>
      </c>
      <c r="R249" s="3" t="n">
        <f aca="false">Dummy_Variables!J250</f>
        <v>0</v>
      </c>
      <c r="S249" s="3" t="n">
        <f aca="false">Cleaned_Data!M250</f>
        <v>750471.34</v>
      </c>
    </row>
    <row r="250" customFormat="false" ht="15" hidden="false" customHeight="true" outlineLevel="0" collapsed="false">
      <c r="A250" s="3" t="str">
        <f aca="false">Cleaned_Data!A251</f>
        <v>STR-1062</v>
      </c>
      <c r="B250" s="4" t="n">
        <f aca="false">Cleaned_Data!B251</f>
        <v>45717</v>
      </c>
      <c r="C250" s="3" t="str">
        <f aca="false">Cleaned_Data!C251</f>
        <v>East</v>
      </c>
      <c r="D250" s="3" t="str">
        <f aca="false">Cleaned_Data!D251</f>
        <v>High Street</v>
      </c>
      <c r="E250" s="3" t="n">
        <f aca="false">Cleaned_Data!E251</f>
        <v>57390.04</v>
      </c>
      <c r="F250" s="3" t="n">
        <f aca="false">Cleaned_Data!F251</f>
        <v>7374</v>
      </c>
      <c r="G250" s="3" t="n">
        <f aca="false">Cleaned_Data!G251</f>
        <v>0.21</v>
      </c>
      <c r="H250" s="3" t="n">
        <f aca="false">Cleaned_Data!H251</f>
        <v>21</v>
      </c>
      <c r="I250" s="3" t="n">
        <f aca="false">Cleaned_Data!I251</f>
        <v>91.8</v>
      </c>
      <c r="J250" s="3" t="n">
        <f aca="false">Cleaned_Data!J251</f>
        <v>0.2</v>
      </c>
      <c r="K250" s="3" t="n">
        <f aca="false">Cleaned_Data!K251</f>
        <v>0</v>
      </c>
      <c r="L250" s="3" t="n">
        <f aca="false">Cleaned_Data!L251</f>
        <v>3.1</v>
      </c>
      <c r="M250" s="3" t="n">
        <f aca="false">Dummy_Variables!E251</f>
        <v>0</v>
      </c>
      <c r="N250" s="3" t="n">
        <f aca="false">Dummy_Variables!F251</f>
        <v>0</v>
      </c>
      <c r="O250" s="3" t="n">
        <f aca="false">Dummy_Variables!G251</f>
        <v>0</v>
      </c>
      <c r="P250" s="3" t="n">
        <f aca="false">Dummy_Variables!H251</f>
        <v>0</v>
      </c>
      <c r="Q250" s="3" t="n">
        <f aca="false">Dummy_Variables!I251</f>
        <v>0</v>
      </c>
      <c r="R250" s="3" t="n">
        <f aca="false">Dummy_Variables!J251</f>
        <v>0</v>
      </c>
      <c r="S250" s="3" t="n">
        <f aca="false">Cleaned_Data!M251</f>
        <v>679230.86</v>
      </c>
    </row>
    <row r="251" customFormat="false" ht="15" hidden="false" customHeight="true" outlineLevel="0" collapsed="false">
      <c r="A251" s="3" t="str">
        <f aca="false">Cleaned_Data!A252</f>
        <v>STR-1062</v>
      </c>
      <c r="B251" s="4" t="n">
        <f aca="false">Cleaned_Data!B252</f>
        <v>45748</v>
      </c>
      <c r="C251" s="3" t="str">
        <f aca="false">Cleaned_Data!C252</f>
        <v>East</v>
      </c>
      <c r="D251" s="3" t="str">
        <f aca="false">Cleaned_Data!D252</f>
        <v>High Street</v>
      </c>
      <c r="E251" s="3" t="n">
        <f aca="false">Cleaned_Data!E252</f>
        <v>21536.18</v>
      </c>
      <c r="F251" s="3" t="n">
        <f aca="false">Cleaned_Data!F252</f>
        <v>8119</v>
      </c>
      <c r="G251" s="3" t="n">
        <f aca="false">Cleaned_Data!G252</f>
        <v>0.227</v>
      </c>
      <c r="H251" s="3" t="n">
        <f aca="false">Cleaned_Data!H252</f>
        <v>20</v>
      </c>
      <c r="I251" s="3" t="n">
        <f aca="false">Cleaned_Data!I252</f>
        <v>90.4</v>
      </c>
      <c r="J251" s="3" t="n">
        <f aca="false">Cleaned_Data!J252</f>
        <v>1.7</v>
      </c>
      <c r="K251" s="3" t="n">
        <f aca="false">Cleaned_Data!K252</f>
        <v>0</v>
      </c>
      <c r="L251" s="3" t="n">
        <f aca="false">Cleaned_Data!L252</f>
        <v>3.3</v>
      </c>
      <c r="M251" s="3" t="n">
        <f aca="false">Dummy_Variables!E252</f>
        <v>0</v>
      </c>
      <c r="N251" s="3" t="n">
        <f aca="false">Dummy_Variables!F252</f>
        <v>0</v>
      </c>
      <c r="O251" s="3" t="n">
        <f aca="false">Dummy_Variables!G252</f>
        <v>0</v>
      </c>
      <c r="P251" s="3" t="n">
        <f aca="false">Dummy_Variables!H252</f>
        <v>0</v>
      </c>
      <c r="Q251" s="3" t="n">
        <f aca="false">Dummy_Variables!I252</f>
        <v>0</v>
      </c>
      <c r="R251" s="3" t="n">
        <f aca="false">Dummy_Variables!J252</f>
        <v>0</v>
      </c>
      <c r="S251" s="3" t="n">
        <f aca="false">Cleaned_Data!M252</f>
        <v>679888.74</v>
      </c>
    </row>
    <row r="252" customFormat="false" ht="15" hidden="false" customHeight="true" outlineLevel="0" collapsed="false">
      <c r="A252" s="3" t="str">
        <f aca="false">Cleaned_Data!A253</f>
        <v>STR-1063</v>
      </c>
      <c r="B252" s="4" t="n">
        <f aca="false">Cleaned_Data!B253</f>
        <v>45658</v>
      </c>
      <c r="C252" s="3" t="str">
        <f aca="false">Cleaned_Data!C253</f>
        <v>North</v>
      </c>
      <c r="D252" s="3" t="str">
        <f aca="false">Cleaned_Data!D253</f>
        <v>High Street</v>
      </c>
      <c r="E252" s="3" t="n">
        <f aca="false">Cleaned_Data!E253</f>
        <v>40923.67</v>
      </c>
      <c r="F252" s="3" t="n">
        <f aca="false">Cleaned_Data!F253</f>
        <v>3875</v>
      </c>
      <c r="G252" s="3" t="n">
        <f aca="false">Cleaned_Data!G253</f>
        <v>0.15</v>
      </c>
      <c r="H252" s="3" t="n">
        <f aca="false">Cleaned_Data!H253</f>
        <v>10</v>
      </c>
      <c r="I252" s="3" t="n">
        <f aca="false">Cleaned_Data!I253</f>
        <v>96.1</v>
      </c>
      <c r="J252" s="3" t="n">
        <f aca="false">Cleaned_Data!J253</f>
        <v>3.365</v>
      </c>
      <c r="K252" s="3" t="n">
        <f aca="false">Cleaned_Data!K253</f>
        <v>0</v>
      </c>
      <c r="L252" s="3" t="n">
        <f aca="false">Cleaned_Data!L253</f>
        <v>3.8</v>
      </c>
      <c r="M252" s="3" t="n">
        <f aca="false">Dummy_Variables!E253</f>
        <v>0</v>
      </c>
      <c r="N252" s="3" t="n">
        <f aca="false">Dummy_Variables!F253</f>
        <v>0</v>
      </c>
      <c r="O252" s="3" t="n">
        <f aca="false">Dummy_Variables!G253</f>
        <v>0</v>
      </c>
      <c r="P252" s="3" t="n">
        <f aca="false">Dummy_Variables!H253</f>
        <v>1</v>
      </c>
      <c r="Q252" s="3" t="n">
        <f aca="false">Dummy_Variables!I253</f>
        <v>0</v>
      </c>
      <c r="R252" s="3" t="n">
        <f aca="false">Dummy_Variables!J253</f>
        <v>0</v>
      </c>
      <c r="S252" s="3" t="n">
        <f aca="false">Cleaned_Data!M253</f>
        <v>606783.67</v>
      </c>
    </row>
    <row r="253" customFormat="false" ht="15" hidden="false" customHeight="true" outlineLevel="0" collapsed="false">
      <c r="A253" s="3" t="str">
        <f aca="false">Cleaned_Data!A254</f>
        <v>STR-1063</v>
      </c>
      <c r="B253" s="4" t="n">
        <f aca="false">Cleaned_Data!B254</f>
        <v>45689</v>
      </c>
      <c r="C253" s="3" t="str">
        <f aca="false">Cleaned_Data!C254</f>
        <v>North</v>
      </c>
      <c r="D253" s="3" t="str">
        <f aca="false">Cleaned_Data!D254</f>
        <v>High Street</v>
      </c>
      <c r="E253" s="3" t="n">
        <f aca="false">Cleaned_Data!E254</f>
        <v>72932.55</v>
      </c>
      <c r="F253" s="3" t="n">
        <f aca="false">Cleaned_Data!F254</f>
        <v>5765</v>
      </c>
      <c r="G253" s="3" t="n">
        <f aca="false">Cleaned_Data!G254</f>
        <v>0.026</v>
      </c>
      <c r="H253" s="3" t="n">
        <f aca="false">Cleaned_Data!H254</f>
        <v>17</v>
      </c>
      <c r="I253" s="3" t="n">
        <f aca="false">Cleaned_Data!I254</f>
        <v>81.8</v>
      </c>
      <c r="J253" s="3" t="n">
        <f aca="false">Cleaned_Data!J254</f>
        <v>5.1</v>
      </c>
      <c r="K253" s="3" t="n">
        <f aca="false">Cleaned_Data!K254</f>
        <v>0</v>
      </c>
      <c r="L253" s="3" t="n">
        <f aca="false">Cleaned_Data!L254</f>
        <v>3.6</v>
      </c>
      <c r="M253" s="3" t="n">
        <f aca="false">Dummy_Variables!E254</f>
        <v>0</v>
      </c>
      <c r="N253" s="3" t="n">
        <f aca="false">Dummy_Variables!F254</f>
        <v>0</v>
      </c>
      <c r="O253" s="3" t="n">
        <f aca="false">Dummy_Variables!G254</f>
        <v>0</v>
      </c>
      <c r="P253" s="3" t="n">
        <f aca="false">Dummy_Variables!H254</f>
        <v>1</v>
      </c>
      <c r="Q253" s="3" t="n">
        <f aca="false">Dummy_Variables!I254</f>
        <v>0</v>
      </c>
      <c r="R253" s="3" t="n">
        <f aca="false">Dummy_Variables!J254</f>
        <v>0</v>
      </c>
      <c r="S253" s="3" t="n">
        <f aca="false">Cleaned_Data!M254</f>
        <v>642751.42</v>
      </c>
    </row>
    <row r="254" customFormat="false" ht="15" hidden="false" customHeight="true" outlineLevel="0" collapsed="false">
      <c r="A254" s="3" t="str">
        <f aca="false">Cleaned_Data!A255</f>
        <v>STR-1063</v>
      </c>
      <c r="B254" s="4" t="n">
        <f aca="false">Cleaned_Data!B255</f>
        <v>45717</v>
      </c>
      <c r="C254" s="3" t="str">
        <f aca="false">Cleaned_Data!C255</f>
        <v>North</v>
      </c>
      <c r="D254" s="3" t="str">
        <f aca="false">Cleaned_Data!D255</f>
        <v>High Street</v>
      </c>
      <c r="E254" s="3" t="n">
        <f aca="false">Cleaned_Data!E255</f>
        <v>38361.93</v>
      </c>
      <c r="F254" s="3" t="n">
        <f aca="false">Cleaned_Data!F255</f>
        <v>6322</v>
      </c>
      <c r="G254" s="3" t="n">
        <f aca="false">Cleaned_Data!G255</f>
        <v>0.273</v>
      </c>
      <c r="H254" s="3" t="n">
        <f aca="false">Cleaned_Data!H255</f>
        <v>15</v>
      </c>
      <c r="I254" s="3" t="n">
        <f aca="false">Cleaned_Data!I255</f>
        <v>88.4</v>
      </c>
      <c r="J254" s="3" t="n">
        <f aca="false">Cleaned_Data!J255</f>
        <v>0.83</v>
      </c>
      <c r="K254" s="3" t="n">
        <f aca="false">Cleaned_Data!K255</f>
        <v>0</v>
      </c>
      <c r="L254" s="3" t="n">
        <f aca="false">Cleaned_Data!L255</f>
        <v>4</v>
      </c>
      <c r="M254" s="3" t="n">
        <f aca="false">Dummy_Variables!E255</f>
        <v>0</v>
      </c>
      <c r="N254" s="3" t="n">
        <f aca="false">Dummy_Variables!F255</f>
        <v>0</v>
      </c>
      <c r="O254" s="3" t="n">
        <f aca="false">Dummy_Variables!G255</f>
        <v>0</v>
      </c>
      <c r="P254" s="3" t="n">
        <f aca="false">Dummy_Variables!H255</f>
        <v>1</v>
      </c>
      <c r="Q254" s="3" t="n">
        <f aca="false">Dummy_Variables!I255</f>
        <v>0</v>
      </c>
      <c r="R254" s="3" t="n">
        <f aca="false">Dummy_Variables!J255</f>
        <v>0</v>
      </c>
      <c r="S254" s="3" t="n">
        <f aca="false">Cleaned_Data!M255</f>
        <v>647953.78</v>
      </c>
    </row>
    <row r="255" customFormat="false" ht="15" hidden="false" customHeight="true" outlineLevel="0" collapsed="false">
      <c r="A255" s="3" t="str">
        <f aca="false">Cleaned_Data!A256</f>
        <v>STR-1063</v>
      </c>
      <c r="B255" s="4" t="n">
        <f aca="false">Cleaned_Data!B256</f>
        <v>45748</v>
      </c>
      <c r="C255" s="3" t="str">
        <f aca="false">Cleaned_Data!C256</f>
        <v>North</v>
      </c>
      <c r="D255" s="3" t="str">
        <f aca="false">Cleaned_Data!D256</f>
        <v>High Street</v>
      </c>
      <c r="E255" s="3" t="n">
        <f aca="false">Cleaned_Data!E256</f>
        <v>97480.94</v>
      </c>
      <c r="F255" s="3" t="n">
        <f aca="false">Cleaned_Data!F256</f>
        <v>6840</v>
      </c>
      <c r="G255" s="3" t="n">
        <f aca="false">Cleaned_Data!G256</f>
        <v>0.087</v>
      </c>
      <c r="H255" s="3" t="n">
        <f aca="false">Cleaned_Data!H256</f>
        <v>14</v>
      </c>
      <c r="I255" s="3" t="n">
        <f aca="false">Cleaned_Data!I256</f>
        <v>79.2</v>
      </c>
      <c r="J255" s="3" t="n">
        <f aca="false">Cleaned_Data!J256</f>
        <v>1.14</v>
      </c>
      <c r="K255" s="3" t="n">
        <f aca="false">Cleaned_Data!K256</f>
        <v>0</v>
      </c>
      <c r="L255" s="3" t="n">
        <f aca="false">Cleaned_Data!L256</f>
        <v>4</v>
      </c>
      <c r="M255" s="3" t="n">
        <f aca="false">Dummy_Variables!E256</f>
        <v>0</v>
      </c>
      <c r="N255" s="3" t="n">
        <f aca="false">Dummy_Variables!F256</f>
        <v>0</v>
      </c>
      <c r="O255" s="3" t="n">
        <f aca="false">Dummy_Variables!G256</f>
        <v>0</v>
      </c>
      <c r="P255" s="3" t="n">
        <f aca="false">Dummy_Variables!H256</f>
        <v>1</v>
      </c>
      <c r="Q255" s="3" t="n">
        <f aca="false">Dummy_Variables!I256</f>
        <v>0</v>
      </c>
      <c r="R255" s="3" t="n">
        <f aca="false">Dummy_Variables!J256</f>
        <v>0</v>
      </c>
      <c r="S255" s="3" t="n">
        <f aca="false">Cleaned_Data!M256</f>
        <v>729440.45</v>
      </c>
    </row>
    <row r="256" customFormat="false" ht="15" hidden="false" customHeight="true" outlineLevel="0" collapsed="false">
      <c r="A256" s="3" t="str">
        <f aca="false">Cleaned_Data!A257</f>
        <v>STR-1064</v>
      </c>
      <c r="B256" s="4" t="n">
        <f aca="false">Cleaned_Data!B257</f>
        <v>45658</v>
      </c>
      <c r="C256" s="3" t="str">
        <f aca="false">Cleaned_Data!C257</f>
        <v>South</v>
      </c>
      <c r="D256" s="3" t="str">
        <f aca="false">Cleaned_Data!D257</f>
        <v>Airport</v>
      </c>
      <c r="E256" s="3" t="n">
        <f aca="false">Cleaned_Data!E257</f>
        <v>81801.8</v>
      </c>
      <c r="F256" s="3" t="n">
        <f aca="false">Cleaned_Data!F257</f>
        <v>6782</v>
      </c>
      <c r="G256" s="3" t="n">
        <f aca="false">Cleaned_Data!G257</f>
        <v>0.05</v>
      </c>
      <c r="H256" s="3" t="n">
        <f aca="false">Cleaned_Data!H257</f>
        <v>16</v>
      </c>
      <c r="I256" s="3" t="n">
        <f aca="false">Cleaned_Data!I257</f>
        <v>99</v>
      </c>
      <c r="J256" s="3" t="n">
        <f aca="false">Cleaned_Data!J257</f>
        <v>9.54</v>
      </c>
      <c r="K256" s="3" t="n">
        <f aca="false">Cleaned_Data!K257</f>
        <v>0</v>
      </c>
      <c r="L256" s="3" t="n">
        <f aca="false">Cleaned_Data!L257</f>
        <v>3.7</v>
      </c>
      <c r="M256" s="3" t="n">
        <f aca="false">Dummy_Variables!E257</f>
        <v>1</v>
      </c>
      <c r="N256" s="3" t="n">
        <f aca="false">Dummy_Variables!F257</f>
        <v>0</v>
      </c>
      <c r="O256" s="3" t="n">
        <f aca="false">Dummy_Variables!G257</f>
        <v>0</v>
      </c>
      <c r="P256" s="3" t="n">
        <f aca="false">Dummy_Variables!H257</f>
        <v>0</v>
      </c>
      <c r="Q256" s="3" t="n">
        <f aca="false">Dummy_Variables!I257</f>
        <v>1</v>
      </c>
      <c r="R256" s="3" t="n">
        <f aca="false">Dummy_Variables!J257</f>
        <v>0</v>
      </c>
      <c r="S256" s="3" t="n">
        <f aca="false">Cleaned_Data!M257</f>
        <v>764949</v>
      </c>
    </row>
    <row r="257" customFormat="false" ht="15" hidden="false" customHeight="true" outlineLevel="0" collapsed="false">
      <c r="A257" s="3" t="str">
        <f aca="false">Cleaned_Data!A258</f>
        <v>STR-1064</v>
      </c>
      <c r="B257" s="4" t="n">
        <f aca="false">Cleaned_Data!B258</f>
        <v>45689</v>
      </c>
      <c r="C257" s="3" t="str">
        <f aca="false">Cleaned_Data!C258</f>
        <v>South</v>
      </c>
      <c r="D257" s="3" t="str">
        <f aca="false">Cleaned_Data!D258</f>
        <v>Airport</v>
      </c>
      <c r="E257" s="3" t="n">
        <f aca="false">Cleaned_Data!E258</f>
        <v>63582.11</v>
      </c>
      <c r="F257" s="3" t="n">
        <f aca="false">Cleaned_Data!F258</f>
        <v>6856</v>
      </c>
      <c r="G257" s="3" t="n">
        <f aca="false">Cleaned_Data!G258</f>
        <v>0.074</v>
      </c>
      <c r="H257" s="3" t="n">
        <f aca="false">Cleaned_Data!H258</f>
        <v>17</v>
      </c>
      <c r="I257" s="3" t="n">
        <f aca="false">Cleaned_Data!I258</f>
        <v>89.5</v>
      </c>
      <c r="J257" s="3" t="n">
        <f aca="false">Cleaned_Data!J258</f>
        <v>5.48</v>
      </c>
      <c r="K257" s="3" t="n">
        <f aca="false">Cleaned_Data!K258</f>
        <v>0</v>
      </c>
      <c r="L257" s="3" t="n">
        <f aca="false">Cleaned_Data!L258</f>
        <v>3.2</v>
      </c>
      <c r="M257" s="3" t="n">
        <f aca="false">Dummy_Variables!E258</f>
        <v>1</v>
      </c>
      <c r="N257" s="3" t="n">
        <f aca="false">Dummy_Variables!F258</f>
        <v>0</v>
      </c>
      <c r="O257" s="3" t="n">
        <f aca="false">Dummy_Variables!G258</f>
        <v>0</v>
      </c>
      <c r="P257" s="3" t="n">
        <f aca="false">Dummy_Variables!H258</f>
        <v>0</v>
      </c>
      <c r="Q257" s="3" t="n">
        <f aca="false">Dummy_Variables!I258</f>
        <v>1</v>
      </c>
      <c r="R257" s="3" t="n">
        <f aca="false">Dummy_Variables!J258</f>
        <v>0</v>
      </c>
      <c r="S257" s="3" t="n">
        <f aca="false">Cleaned_Data!M258</f>
        <v>799046.94</v>
      </c>
    </row>
    <row r="258" customFormat="false" ht="15" hidden="false" customHeight="true" outlineLevel="0" collapsed="false">
      <c r="A258" s="3" t="str">
        <f aca="false">Cleaned_Data!A259</f>
        <v>STR-1064</v>
      </c>
      <c r="B258" s="4" t="n">
        <f aca="false">Cleaned_Data!B259</f>
        <v>45717</v>
      </c>
      <c r="C258" s="3" t="str">
        <f aca="false">Cleaned_Data!C259</f>
        <v>South</v>
      </c>
      <c r="D258" s="3" t="str">
        <f aca="false">Cleaned_Data!D259</f>
        <v>Airport</v>
      </c>
      <c r="E258" s="3" t="n">
        <f aca="false">Cleaned_Data!E259</f>
        <v>75412.74</v>
      </c>
      <c r="F258" s="3" t="n">
        <f aca="false">Cleaned_Data!F259</f>
        <v>5641</v>
      </c>
      <c r="G258" s="3" t="n">
        <f aca="false">Cleaned_Data!G259</f>
        <v>0.059</v>
      </c>
      <c r="H258" s="3" t="n">
        <f aca="false">Cleaned_Data!H259</f>
        <v>13</v>
      </c>
      <c r="I258" s="3" t="n">
        <f aca="false">Cleaned_Data!I259</f>
        <v>87.9</v>
      </c>
      <c r="J258" s="3" t="n">
        <f aca="false">Cleaned_Data!J259</f>
        <v>0.84</v>
      </c>
      <c r="K258" s="3" t="n">
        <f aca="false">Cleaned_Data!K259</f>
        <v>0</v>
      </c>
      <c r="L258" s="3" t="n">
        <f aca="false">Cleaned_Data!L259</f>
        <v>3.6</v>
      </c>
      <c r="M258" s="3" t="n">
        <f aca="false">Dummy_Variables!E259</f>
        <v>1</v>
      </c>
      <c r="N258" s="3" t="n">
        <f aca="false">Dummy_Variables!F259</f>
        <v>0</v>
      </c>
      <c r="O258" s="3" t="n">
        <f aca="false">Dummy_Variables!G259</f>
        <v>0</v>
      </c>
      <c r="P258" s="3" t="n">
        <f aca="false">Dummy_Variables!H259</f>
        <v>0</v>
      </c>
      <c r="Q258" s="3" t="n">
        <f aca="false">Dummy_Variables!I259</f>
        <v>1</v>
      </c>
      <c r="R258" s="3" t="n">
        <f aca="false">Dummy_Variables!J259</f>
        <v>0</v>
      </c>
      <c r="S258" s="3" t="n">
        <f aca="false">Cleaned_Data!M259</f>
        <v>720079.54</v>
      </c>
    </row>
    <row r="259" customFormat="false" ht="15" hidden="false" customHeight="true" outlineLevel="0" collapsed="false">
      <c r="A259" s="3" t="str">
        <f aca="false">Cleaned_Data!A260</f>
        <v>STR-1064</v>
      </c>
      <c r="B259" s="4" t="n">
        <f aca="false">Cleaned_Data!B260</f>
        <v>45748</v>
      </c>
      <c r="C259" s="3" t="str">
        <f aca="false">Cleaned_Data!C260</f>
        <v>South</v>
      </c>
      <c r="D259" s="3" t="str">
        <f aca="false">Cleaned_Data!D260</f>
        <v>Airport</v>
      </c>
      <c r="E259" s="3" t="n">
        <f aca="false">Cleaned_Data!E260</f>
        <v>36290.08</v>
      </c>
      <c r="F259" s="3" t="n">
        <f aca="false">Cleaned_Data!F260</f>
        <v>5787</v>
      </c>
      <c r="G259" s="3" t="n">
        <f aca="false">Cleaned_Data!G260</f>
        <v>0</v>
      </c>
      <c r="H259" s="3" t="n">
        <f aca="false">Cleaned_Data!H260</f>
        <v>17</v>
      </c>
      <c r="I259" s="3" t="n">
        <f aca="false">Cleaned_Data!I260</f>
        <v>88.3</v>
      </c>
      <c r="J259" s="3" t="n">
        <f aca="false">Cleaned_Data!J260</f>
        <v>4.19</v>
      </c>
      <c r="K259" s="3" t="n">
        <f aca="false">Cleaned_Data!K260</f>
        <v>0</v>
      </c>
      <c r="L259" s="3" t="n">
        <f aca="false">Cleaned_Data!L260</f>
        <v>4.1</v>
      </c>
      <c r="M259" s="3" t="n">
        <f aca="false">Dummy_Variables!E260</f>
        <v>1</v>
      </c>
      <c r="N259" s="3" t="n">
        <f aca="false">Dummy_Variables!F260</f>
        <v>0</v>
      </c>
      <c r="O259" s="3" t="n">
        <f aca="false">Dummy_Variables!G260</f>
        <v>0</v>
      </c>
      <c r="P259" s="3" t="n">
        <f aca="false">Dummy_Variables!H260</f>
        <v>0</v>
      </c>
      <c r="Q259" s="3" t="n">
        <f aca="false">Dummy_Variables!I260</f>
        <v>1</v>
      </c>
      <c r="R259" s="3" t="n">
        <f aca="false">Dummy_Variables!J260</f>
        <v>0</v>
      </c>
      <c r="S259" s="3" t="n">
        <f aca="false">Cleaned_Data!M260</f>
        <v>612390.14</v>
      </c>
    </row>
    <row r="260" customFormat="false" ht="15" hidden="false" customHeight="true" outlineLevel="0" collapsed="false">
      <c r="A260" s="3" t="str">
        <f aca="false">Cleaned_Data!A261</f>
        <v>STR-1065</v>
      </c>
      <c r="B260" s="4" t="n">
        <f aca="false">Cleaned_Data!B261</f>
        <v>45658</v>
      </c>
      <c r="C260" s="3" t="str">
        <f aca="false">Cleaned_Data!C261</f>
        <v>South</v>
      </c>
      <c r="D260" s="3" t="str">
        <f aca="false">Cleaned_Data!D261</f>
        <v>Mall</v>
      </c>
      <c r="E260" s="3" t="n">
        <f aca="false">Cleaned_Data!E261</f>
        <v>65272.58</v>
      </c>
      <c r="F260" s="3" t="n">
        <f aca="false">Cleaned_Data!F261</f>
        <v>8165</v>
      </c>
      <c r="G260" s="3" t="n">
        <f aca="false">Cleaned_Data!G261</f>
        <v>0.051</v>
      </c>
      <c r="H260" s="3" t="n">
        <f aca="false">Cleaned_Data!H261</f>
        <v>19</v>
      </c>
      <c r="I260" s="3" t="n">
        <f aca="false">Cleaned_Data!I261</f>
        <v>87.8</v>
      </c>
      <c r="J260" s="3" t="n">
        <f aca="false">Cleaned_Data!J261</f>
        <v>1.26</v>
      </c>
      <c r="K260" s="3" t="n">
        <f aca="false">Cleaned_Data!K261</f>
        <v>1</v>
      </c>
      <c r="L260" s="3" t="n">
        <f aca="false">Cleaned_Data!L261</f>
        <v>4.3</v>
      </c>
      <c r="M260" s="3" t="n">
        <f aca="false">Dummy_Variables!E261</f>
        <v>0</v>
      </c>
      <c r="N260" s="3" t="n">
        <f aca="false">Dummy_Variables!F261</f>
        <v>1</v>
      </c>
      <c r="O260" s="3" t="n">
        <f aca="false">Dummy_Variables!G261</f>
        <v>0</v>
      </c>
      <c r="P260" s="3" t="n">
        <f aca="false">Dummy_Variables!H261</f>
        <v>0</v>
      </c>
      <c r="Q260" s="3" t="n">
        <f aca="false">Dummy_Variables!I261</f>
        <v>1</v>
      </c>
      <c r="R260" s="3" t="n">
        <f aca="false">Dummy_Variables!J261</f>
        <v>0</v>
      </c>
      <c r="S260" s="3" t="n">
        <f aca="false">Cleaned_Data!M261</f>
        <v>840108.12</v>
      </c>
    </row>
    <row r="261" customFormat="false" ht="15" hidden="false" customHeight="true" outlineLevel="0" collapsed="false">
      <c r="A261" s="3" t="str">
        <f aca="false">Cleaned_Data!A262</f>
        <v>STR-1065</v>
      </c>
      <c r="B261" s="4" t="n">
        <f aca="false">Cleaned_Data!B262</f>
        <v>45689</v>
      </c>
      <c r="C261" s="3" t="str">
        <f aca="false">Cleaned_Data!C262</f>
        <v>South</v>
      </c>
      <c r="D261" s="3" t="str">
        <f aca="false">Cleaned_Data!D262</f>
        <v>Mall</v>
      </c>
      <c r="E261" s="3" t="n">
        <f aca="false">Cleaned_Data!E262</f>
        <v>28670.43</v>
      </c>
      <c r="F261" s="3" t="n">
        <f aca="false">Cleaned_Data!F262</f>
        <v>7574</v>
      </c>
      <c r="G261" s="3" t="n">
        <f aca="false">Cleaned_Data!G262</f>
        <v>0.114</v>
      </c>
      <c r="H261" s="3" t="n">
        <f aca="false">Cleaned_Data!H262</f>
        <v>19</v>
      </c>
      <c r="I261" s="3" t="n">
        <f aca="false">Cleaned_Data!I262</f>
        <v>82.7</v>
      </c>
      <c r="J261" s="3" t="n">
        <f aca="false">Cleaned_Data!J262</f>
        <v>2.74</v>
      </c>
      <c r="K261" s="3" t="n">
        <f aca="false">Cleaned_Data!K262</f>
        <v>0</v>
      </c>
      <c r="L261" s="3" t="n">
        <f aca="false">Cleaned_Data!L262</f>
        <v>4.6</v>
      </c>
      <c r="M261" s="3" t="n">
        <f aca="false">Dummy_Variables!E262</f>
        <v>0</v>
      </c>
      <c r="N261" s="3" t="n">
        <f aca="false">Dummy_Variables!F262</f>
        <v>1</v>
      </c>
      <c r="O261" s="3" t="n">
        <f aca="false">Dummy_Variables!G262</f>
        <v>0</v>
      </c>
      <c r="P261" s="3" t="n">
        <f aca="false">Dummy_Variables!H262</f>
        <v>0</v>
      </c>
      <c r="Q261" s="3" t="n">
        <f aca="false">Dummy_Variables!I262</f>
        <v>1</v>
      </c>
      <c r="R261" s="3" t="n">
        <f aca="false">Dummy_Variables!J262</f>
        <v>0</v>
      </c>
      <c r="S261" s="3" t="n">
        <f aca="false">Cleaned_Data!M262</f>
        <v>697888.09</v>
      </c>
    </row>
    <row r="262" customFormat="false" ht="15" hidden="false" customHeight="true" outlineLevel="0" collapsed="false">
      <c r="A262" s="3" t="str">
        <f aca="false">Cleaned_Data!A263</f>
        <v>STR-1065</v>
      </c>
      <c r="B262" s="4" t="n">
        <f aca="false">Cleaned_Data!B263</f>
        <v>45717</v>
      </c>
      <c r="C262" s="3" t="str">
        <f aca="false">Cleaned_Data!C263</f>
        <v>South</v>
      </c>
      <c r="D262" s="3" t="str">
        <f aca="false">Cleaned_Data!D263</f>
        <v>Mall</v>
      </c>
      <c r="E262" s="3" t="n">
        <f aca="false">Cleaned_Data!E263</f>
        <v>44189.34</v>
      </c>
      <c r="F262" s="3" t="n">
        <f aca="false">Cleaned_Data!F263</f>
        <v>8634</v>
      </c>
      <c r="G262" s="3" t="n">
        <f aca="false">Cleaned_Data!G263</f>
        <v>0.143</v>
      </c>
      <c r="H262" s="3" t="n">
        <f aca="false">Cleaned_Data!H263</f>
        <v>19</v>
      </c>
      <c r="I262" s="3" t="n">
        <f aca="false">Cleaned_Data!I263</f>
        <v>87.5</v>
      </c>
      <c r="J262" s="3" t="n">
        <f aca="false">Cleaned_Data!J263</f>
        <v>3.69</v>
      </c>
      <c r="K262" s="3" t="n">
        <f aca="false">Cleaned_Data!K263</f>
        <v>0</v>
      </c>
      <c r="L262" s="3" t="n">
        <f aca="false">Cleaned_Data!L263</f>
        <v>4.4</v>
      </c>
      <c r="M262" s="3" t="n">
        <f aca="false">Dummy_Variables!E263</f>
        <v>0</v>
      </c>
      <c r="N262" s="3" t="n">
        <f aca="false">Dummy_Variables!F263</f>
        <v>1</v>
      </c>
      <c r="O262" s="3" t="n">
        <f aca="false">Dummy_Variables!G263</f>
        <v>0</v>
      </c>
      <c r="P262" s="3" t="n">
        <f aca="false">Dummy_Variables!H263</f>
        <v>0</v>
      </c>
      <c r="Q262" s="3" t="n">
        <f aca="false">Dummy_Variables!I263</f>
        <v>1</v>
      </c>
      <c r="R262" s="3" t="n">
        <f aca="false">Dummy_Variables!J263</f>
        <v>0</v>
      </c>
      <c r="S262" s="3" t="n">
        <f aca="false">Cleaned_Data!M263</f>
        <v>746115.59</v>
      </c>
    </row>
    <row r="263" customFormat="false" ht="15" hidden="false" customHeight="true" outlineLevel="0" collapsed="false">
      <c r="A263" s="3" t="str">
        <f aca="false">Cleaned_Data!A264</f>
        <v>STR-1065</v>
      </c>
      <c r="B263" s="4" t="n">
        <f aca="false">Cleaned_Data!B264</f>
        <v>45748</v>
      </c>
      <c r="C263" s="3" t="str">
        <f aca="false">Cleaned_Data!C264</f>
        <v>South</v>
      </c>
      <c r="D263" s="3" t="str">
        <f aca="false">Cleaned_Data!D264</f>
        <v>Mall</v>
      </c>
      <c r="E263" s="3" t="n">
        <f aca="false">Cleaned_Data!E264</f>
        <v>38397.82</v>
      </c>
      <c r="F263" s="3" t="n">
        <f aca="false">Cleaned_Data!F264</f>
        <v>7836</v>
      </c>
      <c r="G263" s="3" t="n">
        <f aca="false">Cleaned_Data!G264</f>
        <v>0.007</v>
      </c>
      <c r="H263" s="3" t="n">
        <f aca="false">Cleaned_Data!H264</f>
        <v>21</v>
      </c>
      <c r="I263" s="3" t="n">
        <f aca="false">Cleaned_Data!I264</f>
        <v>92.2</v>
      </c>
      <c r="J263" s="3" t="n">
        <f aca="false">Cleaned_Data!J264</f>
        <v>1.82</v>
      </c>
      <c r="K263" s="3" t="n">
        <f aca="false">Cleaned_Data!K264</f>
        <v>0</v>
      </c>
      <c r="L263" s="3" t="n">
        <f aca="false">Cleaned_Data!L264</f>
        <v>3.6</v>
      </c>
      <c r="M263" s="3" t="n">
        <f aca="false">Dummy_Variables!E264</f>
        <v>0</v>
      </c>
      <c r="N263" s="3" t="n">
        <f aca="false">Dummy_Variables!F264</f>
        <v>1</v>
      </c>
      <c r="O263" s="3" t="n">
        <f aca="false">Dummy_Variables!G264</f>
        <v>0</v>
      </c>
      <c r="P263" s="3" t="n">
        <f aca="false">Dummy_Variables!H264</f>
        <v>0</v>
      </c>
      <c r="Q263" s="3" t="n">
        <f aca="false">Dummy_Variables!I264</f>
        <v>1</v>
      </c>
      <c r="R263" s="3" t="n">
        <f aca="false">Dummy_Variables!J264</f>
        <v>0</v>
      </c>
      <c r="S263" s="3" t="n">
        <f aca="false">Cleaned_Data!M264</f>
        <v>776110.32</v>
      </c>
    </row>
    <row r="264" customFormat="false" ht="15" hidden="false" customHeight="true" outlineLevel="0" collapsed="false">
      <c r="A264" s="3" t="str">
        <f aca="false">Cleaned_Data!A265</f>
        <v>STR-1066</v>
      </c>
      <c r="B264" s="4" t="n">
        <f aca="false">Cleaned_Data!B265</f>
        <v>45658</v>
      </c>
      <c r="C264" s="3" t="str">
        <f aca="false">Cleaned_Data!C265</f>
        <v>West</v>
      </c>
      <c r="D264" s="3" t="str">
        <f aca="false">Cleaned_Data!D265</f>
        <v>High Street</v>
      </c>
      <c r="E264" s="3" t="n">
        <f aca="false">Cleaned_Data!E265</f>
        <v>14519.37</v>
      </c>
      <c r="F264" s="3" t="n">
        <f aca="false">Cleaned_Data!F265</f>
        <v>3047</v>
      </c>
      <c r="G264" s="3" t="n">
        <f aca="false">Cleaned_Data!G265</f>
        <v>0.135</v>
      </c>
      <c r="H264" s="3" t="n">
        <f aca="false">Cleaned_Data!H265</f>
        <v>10</v>
      </c>
      <c r="I264" s="3" t="n">
        <f aca="false">Cleaned_Data!I265</f>
        <v>90.3</v>
      </c>
      <c r="J264" s="3" t="n">
        <f aca="false">Cleaned_Data!J265</f>
        <v>6.62</v>
      </c>
      <c r="K264" s="3" t="n">
        <f aca="false">Cleaned_Data!K265</f>
        <v>0</v>
      </c>
      <c r="L264" s="3" t="n">
        <f aca="false">Cleaned_Data!L265</f>
        <v>4.2</v>
      </c>
      <c r="M264" s="3" t="n">
        <f aca="false">Dummy_Variables!E265</f>
        <v>0</v>
      </c>
      <c r="N264" s="3" t="n">
        <f aca="false">Dummy_Variables!F265</f>
        <v>0</v>
      </c>
      <c r="O264" s="3" t="n">
        <f aca="false">Dummy_Variables!G265</f>
        <v>0</v>
      </c>
      <c r="P264" s="3" t="n">
        <f aca="false">Dummy_Variables!H265</f>
        <v>0</v>
      </c>
      <c r="Q264" s="3" t="n">
        <f aca="false">Dummy_Variables!I265</f>
        <v>0</v>
      </c>
      <c r="R264" s="3" t="n">
        <f aca="false">Dummy_Variables!J265</f>
        <v>1</v>
      </c>
      <c r="S264" s="3" t="n">
        <f aca="false">Cleaned_Data!M265</f>
        <v>528852.62</v>
      </c>
    </row>
    <row r="265" customFormat="false" ht="15" hidden="false" customHeight="true" outlineLevel="0" collapsed="false">
      <c r="A265" s="3" t="str">
        <f aca="false">Cleaned_Data!A266</f>
        <v>STR-1066</v>
      </c>
      <c r="B265" s="4" t="n">
        <f aca="false">Cleaned_Data!B266</f>
        <v>45689</v>
      </c>
      <c r="C265" s="3" t="str">
        <f aca="false">Cleaned_Data!C266</f>
        <v>West</v>
      </c>
      <c r="D265" s="3" t="str">
        <f aca="false">Cleaned_Data!D266</f>
        <v>High Street</v>
      </c>
      <c r="E265" s="3" t="n">
        <f aca="false">Cleaned_Data!E266</f>
        <v>43288.2</v>
      </c>
      <c r="F265" s="3" t="n">
        <f aca="false">Cleaned_Data!F266</f>
        <v>4783</v>
      </c>
      <c r="G265" s="3" t="n">
        <f aca="false">Cleaned_Data!G266</f>
        <v>0.169</v>
      </c>
      <c r="H265" s="3" t="n">
        <f aca="false">Cleaned_Data!H266</f>
        <v>13</v>
      </c>
      <c r="I265" s="3" t="n">
        <f aca="false">Cleaned_Data!I266</f>
        <v>87.3</v>
      </c>
      <c r="J265" s="3" t="n">
        <f aca="false">Cleaned_Data!J266</f>
        <v>3.365</v>
      </c>
      <c r="K265" s="3" t="n">
        <f aca="false">Cleaned_Data!K266</f>
        <v>0</v>
      </c>
      <c r="L265" s="3" t="n">
        <f aca="false">Cleaned_Data!L266</f>
        <v>4.2</v>
      </c>
      <c r="M265" s="3" t="n">
        <f aca="false">Dummy_Variables!E266</f>
        <v>0</v>
      </c>
      <c r="N265" s="3" t="n">
        <f aca="false">Dummy_Variables!F266</f>
        <v>0</v>
      </c>
      <c r="O265" s="3" t="n">
        <f aca="false">Dummy_Variables!G266</f>
        <v>0</v>
      </c>
      <c r="P265" s="3" t="n">
        <f aca="false">Dummy_Variables!H266</f>
        <v>0</v>
      </c>
      <c r="Q265" s="3" t="n">
        <f aca="false">Dummy_Variables!I266</f>
        <v>0</v>
      </c>
      <c r="R265" s="3" t="n">
        <f aca="false">Dummy_Variables!J266</f>
        <v>1</v>
      </c>
      <c r="S265" s="3" t="n">
        <f aca="false">Cleaned_Data!M266</f>
        <v>605751.33</v>
      </c>
    </row>
    <row r="266" customFormat="false" ht="15" hidden="false" customHeight="true" outlineLevel="0" collapsed="false">
      <c r="A266" s="3" t="str">
        <f aca="false">Cleaned_Data!A267</f>
        <v>STR-1066</v>
      </c>
      <c r="B266" s="4" t="n">
        <f aca="false">Cleaned_Data!B267</f>
        <v>45717</v>
      </c>
      <c r="C266" s="3" t="str">
        <f aca="false">Cleaned_Data!C267</f>
        <v>West</v>
      </c>
      <c r="D266" s="3" t="str">
        <f aca="false">Cleaned_Data!D267</f>
        <v>High Street</v>
      </c>
      <c r="E266" s="3" t="n">
        <f aca="false">Cleaned_Data!E267</f>
        <v>51450.55</v>
      </c>
      <c r="F266" s="3" t="n">
        <f aca="false">Cleaned_Data!F267</f>
        <v>4902</v>
      </c>
      <c r="G266" s="3" t="n">
        <f aca="false">Cleaned_Data!G267</f>
        <v>0.086</v>
      </c>
      <c r="H266" s="3" t="n">
        <f aca="false">Cleaned_Data!H267</f>
        <v>11</v>
      </c>
      <c r="I266" s="3" t="n">
        <f aca="false">Cleaned_Data!I267</f>
        <v>83.7</v>
      </c>
      <c r="J266" s="3" t="n">
        <f aca="false">Cleaned_Data!J267</f>
        <v>6.92</v>
      </c>
      <c r="K266" s="3" t="n">
        <f aca="false">Cleaned_Data!K267</f>
        <v>1</v>
      </c>
      <c r="L266" s="3" t="n">
        <f aca="false">Cleaned_Data!L267</f>
        <v>4.2</v>
      </c>
      <c r="M266" s="3" t="n">
        <f aca="false">Dummy_Variables!E267</f>
        <v>0</v>
      </c>
      <c r="N266" s="3" t="n">
        <f aca="false">Dummy_Variables!F267</f>
        <v>0</v>
      </c>
      <c r="O266" s="3" t="n">
        <f aca="false">Dummy_Variables!G267</f>
        <v>0</v>
      </c>
      <c r="P266" s="3" t="n">
        <f aca="false">Dummy_Variables!H267</f>
        <v>0</v>
      </c>
      <c r="Q266" s="3" t="n">
        <f aca="false">Dummy_Variables!I267</f>
        <v>0</v>
      </c>
      <c r="R266" s="3" t="n">
        <f aca="false">Dummy_Variables!J267</f>
        <v>1</v>
      </c>
      <c r="S266" s="3" t="n">
        <f aca="false">Cleaned_Data!M267</f>
        <v>677640.65</v>
      </c>
    </row>
    <row r="267" customFormat="false" ht="15" hidden="false" customHeight="true" outlineLevel="0" collapsed="false">
      <c r="A267" s="3" t="str">
        <f aca="false">Cleaned_Data!A268</f>
        <v>STR-1066</v>
      </c>
      <c r="B267" s="4" t="n">
        <f aca="false">Cleaned_Data!B268</f>
        <v>45748</v>
      </c>
      <c r="C267" s="3" t="str">
        <f aca="false">Cleaned_Data!C268</f>
        <v>West</v>
      </c>
      <c r="D267" s="3" t="str">
        <f aca="false">Cleaned_Data!D268</f>
        <v>High Street</v>
      </c>
      <c r="E267" s="3" t="n">
        <f aca="false">Cleaned_Data!E268</f>
        <v>58688.26</v>
      </c>
      <c r="F267" s="3" t="n">
        <f aca="false">Cleaned_Data!F268</f>
        <v>4022</v>
      </c>
      <c r="G267" s="3" t="n">
        <f aca="false">Cleaned_Data!G268</f>
        <v>0.217</v>
      </c>
      <c r="H267" s="3" t="n">
        <f aca="false">Cleaned_Data!H268</f>
        <v>12</v>
      </c>
      <c r="I267" s="3" t="n">
        <f aca="false">Cleaned_Data!I268</f>
        <v>93.8</v>
      </c>
      <c r="J267" s="3" t="n">
        <f aca="false">Cleaned_Data!J268</f>
        <v>11.78</v>
      </c>
      <c r="K267" s="3" t="n">
        <f aca="false">Cleaned_Data!K268</f>
        <v>0</v>
      </c>
      <c r="L267" s="3" t="n">
        <f aca="false">Cleaned_Data!L268</f>
        <v>3.7</v>
      </c>
      <c r="M267" s="3" t="n">
        <f aca="false">Dummy_Variables!E268</f>
        <v>0</v>
      </c>
      <c r="N267" s="3" t="n">
        <f aca="false">Dummy_Variables!F268</f>
        <v>0</v>
      </c>
      <c r="O267" s="3" t="n">
        <f aca="false">Dummy_Variables!G268</f>
        <v>0</v>
      </c>
      <c r="P267" s="3" t="n">
        <f aca="false">Dummy_Variables!H268</f>
        <v>0</v>
      </c>
      <c r="Q267" s="3" t="n">
        <f aca="false">Dummy_Variables!I268</f>
        <v>0</v>
      </c>
      <c r="R267" s="3" t="n">
        <f aca="false">Dummy_Variables!J268</f>
        <v>1</v>
      </c>
      <c r="S267" s="3" t="n">
        <f aca="false">Cleaned_Data!M268</f>
        <v>636613.23</v>
      </c>
    </row>
    <row r="268" customFormat="false" ht="15" hidden="false" customHeight="true" outlineLevel="0" collapsed="false">
      <c r="A268" s="3" t="str">
        <f aca="false">Cleaned_Data!A269</f>
        <v>STR-1067</v>
      </c>
      <c r="B268" s="4" t="n">
        <f aca="false">Cleaned_Data!B269</f>
        <v>45658</v>
      </c>
      <c r="C268" s="3" t="str">
        <f aca="false">Cleaned_Data!C269</f>
        <v>East</v>
      </c>
      <c r="D268" s="3" t="str">
        <f aca="false">Cleaned_Data!D269</f>
        <v>High Street</v>
      </c>
      <c r="E268" s="3" t="n">
        <f aca="false">Cleaned_Data!E269</f>
        <v>58981.91</v>
      </c>
      <c r="F268" s="3" t="n">
        <f aca="false">Cleaned_Data!F269</f>
        <v>7324</v>
      </c>
      <c r="G268" s="3" t="n">
        <f aca="false">Cleaned_Data!G269</f>
        <v>0.094</v>
      </c>
      <c r="H268" s="3" t="n">
        <f aca="false">Cleaned_Data!H269</f>
        <v>15</v>
      </c>
      <c r="I268" s="3" t="n">
        <f aca="false">Cleaned_Data!I269</f>
        <v>95.8</v>
      </c>
      <c r="J268" s="3" t="n">
        <f aca="false">Cleaned_Data!J269</f>
        <v>0.5</v>
      </c>
      <c r="K268" s="3" t="n">
        <f aca="false">Cleaned_Data!K269</f>
        <v>0</v>
      </c>
      <c r="L268" s="3" t="n">
        <f aca="false">Cleaned_Data!L269</f>
        <v>3.5</v>
      </c>
      <c r="M268" s="3" t="n">
        <f aca="false">Dummy_Variables!E269</f>
        <v>0</v>
      </c>
      <c r="N268" s="3" t="n">
        <f aca="false">Dummy_Variables!F269</f>
        <v>0</v>
      </c>
      <c r="O268" s="3" t="n">
        <f aca="false">Dummy_Variables!G269</f>
        <v>0</v>
      </c>
      <c r="P268" s="3" t="n">
        <f aca="false">Dummy_Variables!H269</f>
        <v>0</v>
      </c>
      <c r="Q268" s="3" t="n">
        <f aca="false">Dummy_Variables!I269</f>
        <v>0</v>
      </c>
      <c r="R268" s="3" t="n">
        <f aca="false">Dummy_Variables!J269</f>
        <v>0</v>
      </c>
      <c r="S268" s="3" t="n">
        <f aca="false">Cleaned_Data!M269</f>
        <v>708985.19</v>
      </c>
    </row>
    <row r="269" customFormat="false" ht="15" hidden="false" customHeight="true" outlineLevel="0" collapsed="false">
      <c r="A269" s="3" t="str">
        <f aca="false">Cleaned_Data!A270</f>
        <v>STR-1067</v>
      </c>
      <c r="B269" s="4" t="n">
        <f aca="false">Cleaned_Data!B270</f>
        <v>45689</v>
      </c>
      <c r="C269" s="3" t="str">
        <f aca="false">Cleaned_Data!C270</f>
        <v>East</v>
      </c>
      <c r="D269" s="3" t="str">
        <f aca="false">Cleaned_Data!D270</f>
        <v>High Street</v>
      </c>
      <c r="E269" s="3" t="n">
        <f aca="false">Cleaned_Data!E270</f>
        <v>73454.54</v>
      </c>
      <c r="F269" s="3" t="n">
        <f aca="false">Cleaned_Data!F270</f>
        <v>8129</v>
      </c>
      <c r="G269" s="3" t="n">
        <f aca="false">Cleaned_Data!G270</f>
        <v>0.211</v>
      </c>
      <c r="H269" s="3" t="n">
        <f aca="false">Cleaned_Data!H270</f>
        <v>20</v>
      </c>
      <c r="I269" s="3" t="n">
        <f aca="false">Cleaned_Data!I270</f>
        <v>85.2</v>
      </c>
      <c r="J269" s="3" t="n">
        <f aca="false">Cleaned_Data!J270</f>
        <v>0.88</v>
      </c>
      <c r="K269" s="3" t="n">
        <f aca="false">Cleaned_Data!K270</f>
        <v>0</v>
      </c>
      <c r="L269" s="3" t="n">
        <f aca="false">Cleaned_Data!L270</f>
        <v>3.7</v>
      </c>
      <c r="M269" s="3" t="n">
        <f aca="false">Dummy_Variables!E270</f>
        <v>0</v>
      </c>
      <c r="N269" s="3" t="n">
        <f aca="false">Dummy_Variables!F270</f>
        <v>0</v>
      </c>
      <c r="O269" s="3" t="n">
        <f aca="false">Dummy_Variables!G270</f>
        <v>0</v>
      </c>
      <c r="P269" s="3" t="n">
        <f aca="false">Dummy_Variables!H270</f>
        <v>0</v>
      </c>
      <c r="Q269" s="3" t="n">
        <f aca="false">Dummy_Variables!I270</f>
        <v>0</v>
      </c>
      <c r="R269" s="3" t="n">
        <f aca="false">Dummy_Variables!J270</f>
        <v>0</v>
      </c>
      <c r="S269" s="3" t="n">
        <f aca="false">Cleaned_Data!M270</f>
        <v>767792.94</v>
      </c>
    </row>
    <row r="270" customFormat="false" ht="15" hidden="false" customHeight="true" outlineLevel="0" collapsed="false">
      <c r="A270" s="3" t="str">
        <f aca="false">Cleaned_Data!A271</f>
        <v>STR-1067</v>
      </c>
      <c r="B270" s="4" t="n">
        <f aca="false">Cleaned_Data!B271</f>
        <v>45717</v>
      </c>
      <c r="C270" s="3" t="str">
        <f aca="false">Cleaned_Data!C271</f>
        <v>East</v>
      </c>
      <c r="D270" s="3" t="str">
        <f aca="false">Cleaned_Data!D271</f>
        <v>High Street</v>
      </c>
      <c r="E270" s="3" t="n">
        <f aca="false">Cleaned_Data!E271</f>
        <v>56602.39</v>
      </c>
      <c r="F270" s="3" t="n">
        <f aca="false">Cleaned_Data!F271</f>
        <v>7969</v>
      </c>
      <c r="G270" s="3" t="n">
        <f aca="false">Cleaned_Data!G271</f>
        <v>0.17</v>
      </c>
      <c r="H270" s="3" t="n">
        <f aca="false">Cleaned_Data!H271</f>
        <v>21</v>
      </c>
      <c r="I270" s="3" t="n">
        <f aca="false">Cleaned_Data!I271</f>
        <v>88.3</v>
      </c>
      <c r="J270" s="3" t="n">
        <f aca="false">Cleaned_Data!J271</f>
        <v>2.25</v>
      </c>
      <c r="K270" s="3" t="n">
        <f aca="false">Cleaned_Data!K271</f>
        <v>0</v>
      </c>
      <c r="L270" s="3" t="n">
        <f aca="false">Cleaned_Data!L271</f>
        <v>3.7</v>
      </c>
      <c r="M270" s="3" t="n">
        <f aca="false">Dummy_Variables!E271</f>
        <v>0</v>
      </c>
      <c r="N270" s="3" t="n">
        <f aca="false">Dummy_Variables!F271</f>
        <v>0</v>
      </c>
      <c r="O270" s="3" t="n">
        <f aca="false">Dummy_Variables!G271</f>
        <v>0</v>
      </c>
      <c r="P270" s="3" t="n">
        <f aca="false">Dummy_Variables!H271</f>
        <v>0</v>
      </c>
      <c r="Q270" s="3" t="n">
        <f aca="false">Dummy_Variables!I271</f>
        <v>0</v>
      </c>
      <c r="R270" s="3" t="n">
        <f aca="false">Dummy_Variables!J271</f>
        <v>0</v>
      </c>
      <c r="S270" s="3" t="n">
        <f aca="false">Cleaned_Data!M271</f>
        <v>745580.51</v>
      </c>
    </row>
    <row r="271" customFormat="false" ht="15" hidden="false" customHeight="true" outlineLevel="0" collapsed="false">
      <c r="A271" s="3" t="str">
        <f aca="false">Cleaned_Data!A272</f>
        <v>STR-1067</v>
      </c>
      <c r="B271" s="4" t="n">
        <f aca="false">Cleaned_Data!B272</f>
        <v>45748</v>
      </c>
      <c r="C271" s="3" t="str">
        <f aca="false">Cleaned_Data!C272</f>
        <v>East</v>
      </c>
      <c r="D271" s="3" t="str">
        <f aca="false">Cleaned_Data!D272</f>
        <v>High Street</v>
      </c>
      <c r="E271" s="3" t="n">
        <f aca="false">Cleaned_Data!E272</f>
        <v>67722.29</v>
      </c>
      <c r="F271" s="3" t="n">
        <f aca="false">Cleaned_Data!F272</f>
        <v>7240</v>
      </c>
      <c r="G271" s="3" t="n">
        <f aca="false">Cleaned_Data!G272</f>
        <v>0.026</v>
      </c>
      <c r="H271" s="3" t="n">
        <f aca="false">Cleaned_Data!H272</f>
        <v>15</v>
      </c>
      <c r="I271" s="3" t="n">
        <f aca="false">Cleaned_Data!I272</f>
        <v>92.9</v>
      </c>
      <c r="J271" s="3" t="n">
        <f aca="false">Cleaned_Data!J272</f>
        <v>0.29</v>
      </c>
      <c r="K271" s="3" t="n">
        <f aca="false">Cleaned_Data!K272</f>
        <v>0</v>
      </c>
      <c r="L271" s="3" t="n">
        <f aca="false">Cleaned_Data!L272</f>
        <v>3.5</v>
      </c>
      <c r="M271" s="3" t="n">
        <f aca="false">Dummy_Variables!E272</f>
        <v>0</v>
      </c>
      <c r="N271" s="3" t="n">
        <f aca="false">Dummy_Variables!F272</f>
        <v>0</v>
      </c>
      <c r="O271" s="3" t="n">
        <f aca="false">Dummy_Variables!G272</f>
        <v>0</v>
      </c>
      <c r="P271" s="3" t="n">
        <f aca="false">Dummy_Variables!H272</f>
        <v>0</v>
      </c>
      <c r="Q271" s="3" t="n">
        <f aca="false">Dummy_Variables!I272</f>
        <v>0</v>
      </c>
      <c r="R271" s="3" t="n">
        <f aca="false">Dummy_Variables!J272</f>
        <v>0</v>
      </c>
      <c r="S271" s="3" t="n">
        <f aca="false">Cleaned_Data!M272</f>
        <v>762328.31</v>
      </c>
    </row>
    <row r="272" customFormat="false" ht="15" hidden="false" customHeight="true" outlineLevel="0" collapsed="false">
      <c r="A272" s="3" t="str">
        <f aca="false">Cleaned_Data!A273</f>
        <v>STR-1068</v>
      </c>
      <c r="B272" s="4" t="n">
        <f aca="false">Cleaned_Data!B273</f>
        <v>45658</v>
      </c>
      <c r="C272" s="3" t="str">
        <f aca="false">Cleaned_Data!C273</f>
        <v>East</v>
      </c>
      <c r="D272" s="3" t="str">
        <f aca="false">Cleaned_Data!D273</f>
        <v>Mall</v>
      </c>
      <c r="E272" s="3" t="n">
        <f aca="false">Cleaned_Data!E273</f>
        <v>48752.92</v>
      </c>
      <c r="F272" s="3" t="n">
        <f aca="false">Cleaned_Data!F273</f>
        <v>8052</v>
      </c>
      <c r="G272" s="3" t="n">
        <f aca="false">Cleaned_Data!G273</f>
        <v>0.106</v>
      </c>
      <c r="H272" s="3" t="n">
        <f aca="false">Cleaned_Data!H273</f>
        <v>16</v>
      </c>
      <c r="I272" s="3" t="n">
        <f aca="false">Cleaned_Data!I273</f>
        <v>94.9</v>
      </c>
      <c r="J272" s="3" t="n">
        <f aca="false">Cleaned_Data!J273</f>
        <v>0.65</v>
      </c>
      <c r="K272" s="3" t="n">
        <f aca="false">Cleaned_Data!K273</f>
        <v>0</v>
      </c>
      <c r="L272" s="3" t="n">
        <f aca="false">Cleaned_Data!L273</f>
        <v>3.6</v>
      </c>
      <c r="M272" s="3" t="n">
        <f aca="false">Dummy_Variables!E273</f>
        <v>0</v>
      </c>
      <c r="N272" s="3" t="n">
        <f aca="false">Dummy_Variables!F273</f>
        <v>1</v>
      </c>
      <c r="O272" s="3" t="n">
        <f aca="false">Dummy_Variables!G273</f>
        <v>0</v>
      </c>
      <c r="P272" s="3" t="n">
        <f aca="false">Dummy_Variables!H273</f>
        <v>0</v>
      </c>
      <c r="Q272" s="3" t="n">
        <f aca="false">Dummy_Variables!I273</f>
        <v>0</v>
      </c>
      <c r="R272" s="3" t="n">
        <f aca="false">Dummy_Variables!J273</f>
        <v>0</v>
      </c>
      <c r="S272" s="3" t="n">
        <f aca="false">Cleaned_Data!M273</f>
        <v>660633.99</v>
      </c>
    </row>
    <row r="273" customFormat="false" ht="15" hidden="false" customHeight="true" outlineLevel="0" collapsed="false">
      <c r="A273" s="3" t="str">
        <f aca="false">Cleaned_Data!A274</f>
        <v>STR-1068</v>
      </c>
      <c r="B273" s="4" t="n">
        <f aca="false">Cleaned_Data!B274</f>
        <v>45689</v>
      </c>
      <c r="C273" s="3" t="str">
        <f aca="false">Cleaned_Data!C274</f>
        <v>East</v>
      </c>
      <c r="D273" s="3" t="str">
        <f aca="false">Cleaned_Data!D274</f>
        <v>Mall</v>
      </c>
      <c r="E273" s="3" t="n">
        <f aca="false">Cleaned_Data!E274</f>
        <v>23914.97</v>
      </c>
      <c r="F273" s="3" t="n">
        <f aca="false">Cleaned_Data!F274</f>
        <v>8018</v>
      </c>
      <c r="G273" s="3" t="n">
        <f aca="false">Cleaned_Data!G274</f>
        <v>0.139</v>
      </c>
      <c r="H273" s="3" t="n">
        <f aca="false">Cleaned_Data!H274</f>
        <v>20</v>
      </c>
      <c r="I273" s="3" t="n">
        <f aca="false">Cleaned_Data!I274</f>
        <v>89</v>
      </c>
      <c r="J273" s="3" t="n">
        <f aca="false">Cleaned_Data!J274</f>
        <v>0.2</v>
      </c>
      <c r="K273" s="3" t="n">
        <f aca="false">Cleaned_Data!K274</f>
        <v>0</v>
      </c>
      <c r="L273" s="3" t="n">
        <f aca="false">Cleaned_Data!L274</f>
        <v>3.5</v>
      </c>
      <c r="M273" s="3" t="n">
        <f aca="false">Dummy_Variables!E274</f>
        <v>0</v>
      </c>
      <c r="N273" s="3" t="n">
        <f aca="false">Dummy_Variables!F274</f>
        <v>1</v>
      </c>
      <c r="O273" s="3" t="n">
        <f aca="false">Dummy_Variables!G274</f>
        <v>0</v>
      </c>
      <c r="P273" s="3" t="n">
        <f aca="false">Dummy_Variables!H274</f>
        <v>0</v>
      </c>
      <c r="Q273" s="3" t="n">
        <f aca="false">Dummy_Variables!I274</f>
        <v>0</v>
      </c>
      <c r="R273" s="3" t="n">
        <f aca="false">Dummy_Variables!J274</f>
        <v>0</v>
      </c>
      <c r="S273" s="3" t="n">
        <f aca="false">Cleaned_Data!M274</f>
        <v>739374.56</v>
      </c>
    </row>
    <row r="274" customFormat="false" ht="15" hidden="false" customHeight="true" outlineLevel="0" collapsed="false">
      <c r="A274" s="3" t="str">
        <f aca="false">Cleaned_Data!A275</f>
        <v>STR-1068</v>
      </c>
      <c r="B274" s="4" t="n">
        <f aca="false">Cleaned_Data!B275</f>
        <v>45717</v>
      </c>
      <c r="C274" s="3" t="str">
        <f aca="false">Cleaned_Data!C275</f>
        <v>East</v>
      </c>
      <c r="D274" s="3" t="str">
        <f aca="false">Cleaned_Data!D275</f>
        <v>Mall</v>
      </c>
      <c r="E274" s="3" t="n">
        <f aca="false">Cleaned_Data!E275</f>
        <v>61995.3</v>
      </c>
      <c r="F274" s="3" t="n">
        <f aca="false">Cleaned_Data!F275</f>
        <v>10192</v>
      </c>
      <c r="G274" s="3" t="n">
        <f aca="false">Cleaned_Data!G275</f>
        <v>0.198</v>
      </c>
      <c r="H274" s="3" t="n">
        <f aca="false">Cleaned_Data!H275</f>
        <v>21</v>
      </c>
      <c r="I274" s="3" t="n">
        <f aca="false">Cleaned_Data!I275</f>
        <v>87.6</v>
      </c>
      <c r="J274" s="3" t="n">
        <f aca="false">Cleaned_Data!J275</f>
        <v>3.63</v>
      </c>
      <c r="K274" s="3" t="n">
        <f aca="false">Cleaned_Data!K275</f>
        <v>1</v>
      </c>
      <c r="L274" s="3" t="n">
        <f aca="false">Cleaned_Data!L275</f>
        <v>3.8</v>
      </c>
      <c r="M274" s="3" t="n">
        <f aca="false">Dummy_Variables!E275</f>
        <v>0</v>
      </c>
      <c r="N274" s="3" t="n">
        <f aca="false">Dummy_Variables!F275</f>
        <v>1</v>
      </c>
      <c r="O274" s="3" t="n">
        <f aca="false">Dummy_Variables!G275</f>
        <v>0</v>
      </c>
      <c r="P274" s="3" t="n">
        <f aca="false">Dummy_Variables!H275</f>
        <v>0</v>
      </c>
      <c r="Q274" s="3" t="n">
        <f aca="false">Dummy_Variables!I275</f>
        <v>0</v>
      </c>
      <c r="R274" s="3" t="n">
        <f aca="false">Dummy_Variables!J275</f>
        <v>0</v>
      </c>
      <c r="S274" s="3" t="n">
        <f aca="false">Cleaned_Data!M275</f>
        <v>799756.46</v>
      </c>
    </row>
    <row r="275" customFormat="false" ht="15" hidden="false" customHeight="true" outlineLevel="0" collapsed="false">
      <c r="A275" s="3" t="str">
        <f aca="false">Cleaned_Data!A276</f>
        <v>STR-1068</v>
      </c>
      <c r="B275" s="4" t="n">
        <f aca="false">Cleaned_Data!B276</f>
        <v>45748</v>
      </c>
      <c r="C275" s="3" t="str">
        <f aca="false">Cleaned_Data!C276</f>
        <v>East</v>
      </c>
      <c r="D275" s="3" t="str">
        <f aca="false">Cleaned_Data!D276</f>
        <v>Mall</v>
      </c>
      <c r="E275" s="3" t="n">
        <f aca="false">Cleaned_Data!E276</f>
        <v>29344.93</v>
      </c>
      <c r="F275" s="3" t="n">
        <f aca="false">Cleaned_Data!F276</f>
        <v>7446</v>
      </c>
      <c r="G275" s="3" t="n">
        <f aca="false">Cleaned_Data!G276</f>
        <v>0.111</v>
      </c>
      <c r="H275" s="3" t="n">
        <f aca="false">Cleaned_Data!H276</f>
        <v>15</v>
      </c>
      <c r="I275" s="3" t="n">
        <f aca="false">Cleaned_Data!I276</f>
        <v>86.2</v>
      </c>
      <c r="J275" s="3" t="n">
        <f aca="false">Cleaned_Data!J276</f>
        <v>0.2</v>
      </c>
      <c r="K275" s="3" t="n">
        <f aca="false">Cleaned_Data!K276</f>
        <v>0</v>
      </c>
      <c r="L275" s="3" t="n">
        <f aca="false">Cleaned_Data!L276</f>
        <v>3.2</v>
      </c>
      <c r="M275" s="3" t="n">
        <f aca="false">Dummy_Variables!E276</f>
        <v>0</v>
      </c>
      <c r="N275" s="3" t="n">
        <f aca="false">Dummy_Variables!F276</f>
        <v>1</v>
      </c>
      <c r="O275" s="3" t="n">
        <f aca="false">Dummy_Variables!G276</f>
        <v>0</v>
      </c>
      <c r="P275" s="3" t="n">
        <f aca="false">Dummy_Variables!H276</f>
        <v>0</v>
      </c>
      <c r="Q275" s="3" t="n">
        <f aca="false">Dummy_Variables!I276</f>
        <v>0</v>
      </c>
      <c r="R275" s="3" t="n">
        <f aca="false">Dummy_Variables!J276</f>
        <v>0</v>
      </c>
      <c r="S275" s="3" t="n">
        <f aca="false">Cleaned_Data!M276</f>
        <v>593343</v>
      </c>
    </row>
    <row r="276" customFormat="false" ht="15" hidden="false" customHeight="true" outlineLevel="0" collapsed="false">
      <c r="A276" s="3" t="str">
        <f aca="false">Cleaned_Data!A277</f>
        <v>STR-1069</v>
      </c>
      <c r="B276" s="4" t="n">
        <f aca="false">Cleaned_Data!B277</f>
        <v>45658</v>
      </c>
      <c r="C276" s="3" t="str">
        <f aca="false">Cleaned_Data!C277</f>
        <v>West</v>
      </c>
      <c r="D276" s="3" t="str">
        <f aca="false">Cleaned_Data!D277</f>
        <v>High Street</v>
      </c>
      <c r="E276" s="3" t="n">
        <f aca="false">Cleaned_Data!E277</f>
        <v>50532.17</v>
      </c>
      <c r="F276" s="3" t="n">
        <f aca="false">Cleaned_Data!F277</f>
        <v>5689</v>
      </c>
      <c r="G276" s="3" t="n">
        <f aca="false">Cleaned_Data!G277</f>
        <v>0.052</v>
      </c>
      <c r="H276" s="3" t="n">
        <f aca="false">Cleaned_Data!H277</f>
        <v>17</v>
      </c>
      <c r="I276" s="3" t="n">
        <f aca="false">Cleaned_Data!I277</f>
        <v>85.6</v>
      </c>
      <c r="J276" s="3" t="n">
        <f aca="false">Cleaned_Data!J277</f>
        <v>6.23</v>
      </c>
      <c r="K276" s="3" t="n">
        <f aca="false">Cleaned_Data!K277</f>
        <v>0</v>
      </c>
      <c r="L276" s="3" t="n">
        <f aca="false">Cleaned_Data!L277</f>
        <v>3.3</v>
      </c>
      <c r="M276" s="3" t="n">
        <f aca="false">Dummy_Variables!E277</f>
        <v>0</v>
      </c>
      <c r="N276" s="3" t="n">
        <f aca="false">Dummy_Variables!F277</f>
        <v>0</v>
      </c>
      <c r="O276" s="3" t="n">
        <f aca="false">Dummy_Variables!G277</f>
        <v>0</v>
      </c>
      <c r="P276" s="3" t="n">
        <f aca="false">Dummy_Variables!H277</f>
        <v>0</v>
      </c>
      <c r="Q276" s="3" t="n">
        <f aca="false">Dummy_Variables!I277</f>
        <v>0</v>
      </c>
      <c r="R276" s="3" t="n">
        <f aca="false">Dummy_Variables!J277</f>
        <v>1</v>
      </c>
      <c r="S276" s="3" t="n">
        <f aca="false">Cleaned_Data!M277</f>
        <v>645039.97</v>
      </c>
    </row>
    <row r="277" customFormat="false" ht="15" hidden="false" customHeight="true" outlineLevel="0" collapsed="false">
      <c r="A277" s="3" t="str">
        <f aca="false">Cleaned_Data!A278</f>
        <v>STR-1069</v>
      </c>
      <c r="B277" s="4" t="n">
        <f aca="false">Cleaned_Data!B278</f>
        <v>45689</v>
      </c>
      <c r="C277" s="3" t="str">
        <f aca="false">Cleaned_Data!C278</f>
        <v>West</v>
      </c>
      <c r="D277" s="3" t="str">
        <f aca="false">Cleaned_Data!D278</f>
        <v>High Street</v>
      </c>
      <c r="E277" s="3" t="n">
        <f aca="false">Cleaned_Data!E278</f>
        <v>17562.57</v>
      </c>
      <c r="F277" s="3" t="n">
        <f aca="false">Cleaned_Data!F278</f>
        <v>3326</v>
      </c>
      <c r="G277" s="3" t="n">
        <f aca="false">Cleaned_Data!G278</f>
        <v>0.153</v>
      </c>
      <c r="H277" s="3" t="n">
        <f aca="false">Cleaned_Data!H278</f>
        <v>14</v>
      </c>
      <c r="I277" s="3" t="n">
        <f aca="false">Cleaned_Data!I278</f>
        <v>88.1</v>
      </c>
      <c r="J277" s="3" t="n">
        <f aca="false">Cleaned_Data!J278</f>
        <v>1.04</v>
      </c>
      <c r="K277" s="3" t="n">
        <f aca="false">Cleaned_Data!K278</f>
        <v>0</v>
      </c>
      <c r="L277" s="3" t="n">
        <f aca="false">Cleaned_Data!L278</f>
        <v>3.1</v>
      </c>
      <c r="M277" s="3" t="n">
        <f aca="false">Dummy_Variables!E278</f>
        <v>0</v>
      </c>
      <c r="N277" s="3" t="n">
        <f aca="false">Dummy_Variables!F278</f>
        <v>0</v>
      </c>
      <c r="O277" s="3" t="n">
        <f aca="false">Dummy_Variables!G278</f>
        <v>0</v>
      </c>
      <c r="P277" s="3" t="n">
        <f aca="false">Dummy_Variables!H278</f>
        <v>0</v>
      </c>
      <c r="Q277" s="3" t="n">
        <f aca="false">Dummy_Variables!I278</f>
        <v>0</v>
      </c>
      <c r="R277" s="3" t="n">
        <f aca="false">Dummy_Variables!J278</f>
        <v>1</v>
      </c>
      <c r="S277" s="3" t="n">
        <f aca="false">Cleaned_Data!M278</f>
        <v>561597.33</v>
      </c>
    </row>
    <row r="278" customFormat="false" ht="15" hidden="false" customHeight="true" outlineLevel="0" collapsed="false">
      <c r="A278" s="3" t="str">
        <f aca="false">Cleaned_Data!A279</f>
        <v>STR-1069</v>
      </c>
      <c r="B278" s="4" t="n">
        <f aca="false">Cleaned_Data!B279</f>
        <v>45717</v>
      </c>
      <c r="C278" s="3" t="str">
        <f aca="false">Cleaned_Data!C279</f>
        <v>West</v>
      </c>
      <c r="D278" s="3" t="str">
        <f aca="false">Cleaned_Data!D279</f>
        <v>High Street</v>
      </c>
      <c r="E278" s="3" t="n">
        <f aca="false">Cleaned_Data!E279</f>
        <v>47648.71</v>
      </c>
      <c r="F278" s="3" t="n">
        <f aca="false">Cleaned_Data!F279</f>
        <v>5767</v>
      </c>
      <c r="G278" s="3" t="n">
        <f aca="false">Cleaned_Data!G279</f>
        <v>0.141</v>
      </c>
      <c r="H278" s="3" t="n">
        <f aca="false">Cleaned_Data!H279</f>
        <v>17</v>
      </c>
      <c r="I278" s="3" t="n">
        <f aca="false">Cleaned_Data!I279</f>
        <v>89.8</v>
      </c>
      <c r="J278" s="3" t="n">
        <f aca="false">Cleaned_Data!J279</f>
        <v>1.76</v>
      </c>
      <c r="K278" s="3" t="n">
        <f aca="false">Cleaned_Data!K279</f>
        <v>0</v>
      </c>
      <c r="L278" s="3" t="n">
        <f aca="false">Cleaned_Data!L279</f>
        <v>3.1</v>
      </c>
      <c r="M278" s="3" t="n">
        <f aca="false">Dummy_Variables!E279</f>
        <v>0</v>
      </c>
      <c r="N278" s="3" t="n">
        <f aca="false">Dummy_Variables!F279</f>
        <v>0</v>
      </c>
      <c r="O278" s="3" t="n">
        <f aca="false">Dummy_Variables!G279</f>
        <v>0</v>
      </c>
      <c r="P278" s="3" t="n">
        <f aca="false">Dummy_Variables!H279</f>
        <v>0</v>
      </c>
      <c r="Q278" s="3" t="n">
        <f aca="false">Dummy_Variables!I279</f>
        <v>0</v>
      </c>
      <c r="R278" s="3" t="n">
        <f aca="false">Dummy_Variables!J279</f>
        <v>1</v>
      </c>
      <c r="S278" s="3" t="n">
        <f aca="false">Cleaned_Data!M279</f>
        <v>635837.74</v>
      </c>
    </row>
    <row r="279" customFormat="false" ht="15" hidden="false" customHeight="true" outlineLevel="0" collapsed="false">
      <c r="A279" s="3" t="str">
        <f aca="false">Cleaned_Data!A280</f>
        <v>STR-1069</v>
      </c>
      <c r="B279" s="4" t="n">
        <f aca="false">Cleaned_Data!B280</f>
        <v>45748</v>
      </c>
      <c r="C279" s="3" t="str">
        <f aca="false">Cleaned_Data!C280</f>
        <v>West</v>
      </c>
      <c r="D279" s="3" t="str">
        <f aca="false">Cleaned_Data!D280</f>
        <v>High Street</v>
      </c>
      <c r="E279" s="3" t="n">
        <f aca="false">Cleaned_Data!E280</f>
        <v>38297.58</v>
      </c>
      <c r="F279" s="3" t="n">
        <f aca="false">Cleaned_Data!F280</f>
        <v>5893</v>
      </c>
      <c r="G279" s="3" t="n">
        <f aca="false">Cleaned_Data!G280</f>
        <v>0.247</v>
      </c>
      <c r="H279" s="3" t="n">
        <f aca="false">Cleaned_Data!H280</f>
        <v>18</v>
      </c>
      <c r="I279" s="3" t="n">
        <f aca="false">Cleaned_Data!I280</f>
        <v>77.6</v>
      </c>
      <c r="J279" s="3" t="n">
        <f aca="false">Cleaned_Data!J280</f>
        <v>2.86</v>
      </c>
      <c r="K279" s="3" t="n">
        <f aca="false">Cleaned_Data!K280</f>
        <v>0</v>
      </c>
      <c r="L279" s="3" t="n">
        <f aca="false">Cleaned_Data!L280</f>
        <v>3</v>
      </c>
      <c r="M279" s="3" t="n">
        <f aca="false">Dummy_Variables!E280</f>
        <v>0</v>
      </c>
      <c r="N279" s="3" t="n">
        <f aca="false">Dummy_Variables!F280</f>
        <v>0</v>
      </c>
      <c r="O279" s="3" t="n">
        <f aca="false">Dummy_Variables!G280</f>
        <v>0</v>
      </c>
      <c r="P279" s="3" t="n">
        <f aca="false">Dummy_Variables!H280</f>
        <v>0</v>
      </c>
      <c r="Q279" s="3" t="n">
        <f aca="false">Dummy_Variables!I280</f>
        <v>0</v>
      </c>
      <c r="R279" s="3" t="n">
        <f aca="false">Dummy_Variables!J280</f>
        <v>1</v>
      </c>
      <c r="S279" s="3" t="n">
        <f aca="false">Cleaned_Data!M280</f>
        <v>686737.87</v>
      </c>
    </row>
    <row r="280" customFormat="false" ht="15" hidden="false" customHeight="true" outlineLevel="0" collapsed="false">
      <c r="A280" s="3" t="str">
        <f aca="false">Cleaned_Data!A281</f>
        <v>STR-1070</v>
      </c>
      <c r="B280" s="4" t="n">
        <f aca="false">Cleaned_Data!B281</f>
        <v>45658</v>
      </c>
      <c r="C280" s="3" t="str">
        <f aca="false">Cleaned_Data!C281</f>
        <v>South</v>
      </c>
      <c r="D280" s="3" t="str">
        <f aca="false">Cleaned_Data!D281</f>
        <v>Residential</v>
      </c>
      <c r="E280" s="3" t="n">
        <f aca="false">Cleaned_Data!E281</f>
        <v>61784.11</v>
      </c>
      <c r="F280" s="3" t="n">
        <f aca="false">Cleaned_Data!F281</f>
        <v>8564</v>
      </c>
      <c r="G280" s="3" t="n">
        <f aca="false">Cleaned_Data!G281</f>
        <v>0.13</v>
      </c>
      <c r="H280" s="3" t="n">
        <f aca="false">Cleaned_Data!H281</f>
        <v>17</v>
      </c>
      <c r="I280" s="3" t="n">
        <f aca="false">Cleaned_Data!I281</f>
        <v>87.4</v>
      </c>
      <c r="J280" s="3" t="n">
        <f aca="false">Cleaned_Data!J281</f>
        <v>18.14</v>
      </c>
      <c r="K280" s="3" t="n">
        <f aca="false">Cleaned_Data!K281</f>
        <v>1</v>
      </c>
      <c r="L280" s="3" t="n">
        <f aca="false">Cleaned_Data!L281</f>
        <v>3.4</v>
      </c>
      <c r="M280" s="3" t="n">
        <f aca="false">Dummy_Variables!E281</f>
        <v>0</v>
      </c>
      <c r="N280" s="3" t="n">
        <f aca="false">Dummy_Variables!F281</f>
        <v>0</v>
      </c>
      <c r="O280" s="3" t="n">
        <f aca="false">Dummy_Variables!G281</f>
        <v>1</v>
      </c>
      <c r="P280" s="3" t="n">
        <f aca="false">Dummy_Variables!H281</f>
        <v>0</v>
      </c>
      <c r="Q280" s="3" t="n">
        <f aca="false">Dummy_Variables!I281</f>
        <v>1</v>
      </c>
      <c r="R280" s="3" t="n">
        <f aca="false">Dummy_Variables!J281</f>
        <v>0</v>
      </c>
      <c r="S280" s="3" t="n">
        <f aca="false">Cleaned_Data!M281</f>
        <v>673076.34</v>
      </c>
    </row>
    <row r="281" customFormat="false" ht="15" hidden="false" customHeight="true" outlineLevel="0" collapsed="false">
      <c r="A281" s="3" t="str">
        <f aca="false">Cleaned_Data!A282</f>
        <v>STR-1070</v>
      </c>
      <c r="B281" s="4" t="n">
        <f aca="false">Cleaned_Data!B282</f>
        <v>45689</v>
      </c>
      <c r="C281" s="3" t="str">
        <f aca="false">Cleaned_Data!C282</f>
        <v>South</v>
      </c>
      <c r="D281" s="3" t="str">
        <f aca="false">Cleaned_Data!D282</f>
        <v>Residential</v>
      </c>
      <c r="E281" s="3" t="n">
        <f aca="false">Cleaned_Data!E282</f>
        <v>36832.33</v>
      </c>
      <c r="F281" s="3" t="n">
        <f aca="false">Cleaned_Data!F282</f>
        <v>8001</v>
      </c>
      <c r="G281" s="3" t="n">
        <f aca="false">Cleaned_Data!G282</f>
        <v>0</v>
      </c>
      <c r="H281" s="3" t="n">
        <f aca="false">Cleaned_Data!H282</f>
        <v>19</v>
      </c>
      <c r="I281" s="3" t="n">
        <f aca="false">Cleaned_Data!I282</f>
        <v>88.7</v>
      </c>
      <c r="J281" s="3" t="n">
        <f aca="false">Cleaned_Data!J282</f>
        <v>3.39</v>
      </c>
      <c r="K281" s="3" t="n">
        <f aca="false">Cleaned_Data!K282</f>
        <v>0</v>
      </c>
      <c r="L281" s="3" t="n">
        <f aca="false">Cleaned_Data!L282</f>
        <v>4</v>
      </c>
      <c r="M281" s="3" t="n">
        <f aca="false">Dummy_Variables!E282</f>
        <v>0</v>
      </c>
      <c r="N281" s="3" t="n">
        <f aca="false">Dummy_Variables!F282</f>
        <v>0</v>
      </c>
      <c r="O281" s="3" t="n">
        <f aca="false">Dummy_Variables!G282</f>
        <v>1</v>
      </c>
      <c r="P281" s="3" t="n">
        <f aca="false">Dummy_Variables!H282</f>
        <v>0</v>
      </c>
      <c r="Q281" s="3" t="n">
        <f aca="false">Dummy_Variables!I282</f>
        <v>1</v>
      </c>
      <c r="R281" s="3" t="n">
        <f aca="false">Dummy_Variables!J282</f>
        <v>0</v>
      </c>
      <c r="S281" s="3" t="n">
        <f aca="false">Cleaned_Data!M282</f>
        <v>738548.42</v>
      </c>
    </row>
    <row r="282" customFormat="false" ht="15" hidden="false" customHeight="true" outlineLevel="0" collapsed="false">
      <c r="A282" s="3" t="str">
        <f aca="false">Cleaned_Data!A283</f>
        <v>STR-1070</v>
      </c>
      <c r="B282" s="4" t="n">
        <f aca="false">Cleaned_Data!B283</f>
        <v>45717</v>
      </c>
      <c r="C282" s="3" t="str">
        <f aca="false">Cleaned_Data!C283</f>
        <v>South</v>
      </c>
      <c r="D282" s="3" t="str">
        <f aca="false">Cleaned_Data!D283</f>
        <v>Residential</v>
      </c>
      <c r="E282" s="3" t="n">
        <f aca="false">Cleaned_Data!E283</f>
        <v>48609.41</v>
      </c>
      <c r="F282" s="3" t="n">
        <f aca="false">Cleaned_Data!F283</f>
        <v>9324</v>
      </c>
      <c r="G282" s="3" t="n">
        <f aca="false">Cleaned_Data!G283</f>
        <v>0.213</v>
      </c>
      <c r="H282" s="3" t="n">
        <f aca="false">Cleaned_Data!H283</f>
        <v>18</v>
      </c>
      <c r="I282" s="3" t="n">
        <f aca="false">Cleaned_Data!I283</f>
        <v>86.5</v>
      </c>
      <c r="J282" s="3" t="n">
        <f aca="false">Cleaned_Data!J283</f>
        <v>1.44</v>
      </c>
      <c r="K282" s="3" t="n">
        <f aca="false">Cleaned_Data!K283</f>
        <v>0</v>
      </c>
      <c r="L282" s="3" t="n">
        <f aca="false">Cleaned_Data!L283</f>
        <v>3.9</v>
      </c>
      <c r="M282" s="3" t="n">
        <f aca="false">Dummy_Variables!E283</f>
        <v>0</v>
      </c>
      <c r="N282" s="3" t="n">
        <f aca="false">Dummy_Variables!F283</f>
        <v>0</v>
      </c>
      <c r="O282" s="3" t="n">
        <f aca="false">Dummy_Variables!G283</f>
        <v>1</v>
      </c>
      <c r="P282" s="3" t="n">
        <f aca="false">Dummy_Variables!H283</f>
        <v>0</v>
      </c>
      <c r="Q282" s="3" t="n">
        <f aca="false">Dummy_Variables!I283</f>
        <v>1</v>
      </c>
      <c r="R282" s="3" t="n">
        <f aca="false">Dummy_Variables!J283</f>
        <v>0</v>
      </c>
      <c r="S282" s="3" t="n">
        <f aca="false">Cleaned_Data!M283</f>
        <v>756619.77</v>
      </c>
    </row>
    <row r="283" customFormat="false" ht="15" hidden="false" customHeight="true" outlineLevel="0" collapsed="false">
      <c r="A283" s="3" t="str">
        <f aca="false">Cleaned_Data!A284</f>
        <v>STR-1070</v>
      </c>
      <c r="B283" s="4" t="n">
        <f aca="false">Cleaned_Data!B284</f>
        <v>45748</v>
      </c>
      <c r="C283" s="3" t="str">
        <f aca="false">Cleaned_Data!C284</f>
        <v>South</v>
      </c>
      <c r="D283" s="3" t="str">
        <f aca="false">Cleaned_Data!D284</f>
        <v>Residential</v>
      </c>
      <c r="E283" s="3" t="n">
        <f aca="false">Cleaned_Data!E284</f>
        <v>70284.06</v>
      </c>
      <c r="F283" s="3" t="n">
        <f aca="false">Cleaned_Data!F284</f>
        <v>9109</v>
      </c>
      <c r="G283" s="3" t="n">
        <f aca="false">Cleaned_Data!G284</f>
        <v>0.004</v>
      </c>
      <c r="H283" s="3" t="n">
        <f aca="false">Cleaned_Data!H284</f>
        <v>23</v>
      </c>
      <c r="I283" s="3" t="n">
        <f aca="false">Cleaned_Data!I284</f>
        <v>87</v>
      </c>
      <c r="J283" s="3" t="n">
        <f aca="false">Cleaned_Data!J284</f>
        <v>3.65</v>
      </c>
      <c r="K283" s="3" t="n">
        <f aca="false">Cleaned_Data!K284</f>
        <v>0</v>
      </c>
      <c r="L283" s="3" t="n">
        <f aca="false">Cleaned_Data!L284</f>
        <v>3.7</v>
      </c>
      <c r="M283" s="3" t="n">
        <f aca="false">Dummy_Variables!E284</f>
        <v>0</v>
      </c>
      <c r="N283" s="3" t="n">
        <f aca="false">Dummy_Variables!F284</f>
        <v>0</v>
      </c>
      <c r="O283" s="3" t="n">
        <f aca="false">Dummy_Variables!G284</f>
        <v>1</v>
      </c>
      <c r="P283" s="3" t="n">
        <f aca="false">Dummy_Variables!H284</f>
        <v>0</v>
      </c>
      <c r="Q283" s="3" t="n">
        <f aca="false">Dummy_Variables!I284</f>
        <v>1</v>
      </c>
      <c r="R283" s="3" t="n">
        <f aca="false">Dummy_Variables!J284</f>
        <v>0</v>
      </c>
      <c r="S283" s="3" t="n">
        <f aca="false">Cleaned_Data!M284</f>
        <v>761122.42</v>
      </c>
    </row>
    <row r="284" customFormat="false" ht="15" hidden="false" customHeight="true" outlineLevel="0" collapsed="false">
      <c r="A284" s="3" t="str">
        <f aca="false">Cleaned_Data!A285</f>
        <v>STR-1071</v>
      </c>
      <c r="B284" s="4" t="n">
        <f aca="false">Cleaned_Data!B285</f>
        <v>45658</v>
      </c>
      <c r="C284" s="3" t="str">
        <f aca="false">Cleaned_Data!C285</f>
        <v>South</v>
      </c>
      <c r="D284" s="3" t="str">
        <f aca="false">Cleaned_Data!D285</f>
        <v>High Street</v>
      </c>
      <c r="E284" s="3" t="n">
        <f aca="false">Cleaned_Data!E285</f>
        <v>45940.39</v>
      </c>
      <c r="F284" s="3" t="n">
        <f aca="false">Cleaned_Data!F285</f>
        <v>4022</v>
      </c>
      <c r="G284" s="3" t="n">
        <f aca="false">Cleaned_Data!G285</f>
        <v>0.069</v>
      </c>
      <c r="H284" s="3" t="n">
        <f aca="false">Cleaned_Data!H285</f>
        <v>10</v>
      </c>
      <c r="I284" s="3" t="n">
        <f aca="false">Cleaned_Data!I285</f>
        <v>83</v>
      </c>
      <c r="J284" s="3" t="n">
        <f aca="false">Cleaned_Data!J285</f>
        <v>1.23</v>
      </c>
      <c r="K284" s="3" t="n">
        <f aca="false">Cleaned_Data!K285</f>
        <v>1</v>
      </c>
      <c r="L284" s="3" t="n">
        <f aca="false">Cleaned_Data!L285</f>
        <v>3.8</v>
      </c>
      <c r="M284" s="3" t="n">
        <f aca="false">Dummy_Variables!E285</f>
        <v>0</v>
      </c>
      <c r="N284" s="3" t="n">
        <f aca="false">Dummy_Variables!F285</f>
        <v>0</v>
      </c>
      <c r="O284" s="3" t="n">
        <f aca="false">Dummy_Variables!G285</f>
        <v>0</v>
      </c>
      <c r="P284" s="3" t="n">
        <f aca="false">Dummy_Variables!H285</f>
        <v>0</v>
      </c>
      <c r="Q284" s="3" t="n">
        <f aca="false">Dummy_Variables!I285</f>
        <v>1</v>
      </c>
      <c r="R284" s="3" t="n">
        <f aca="false">Dummy_Variables!J285</f>
        <v>0</v>
      </c>
      <c r="S284" s="3" t="n">
        <f aca="false">Cleaned_Data!M285</f>
        <v>524899.57</v>
      </c>
    </row>
    <row r="285" customFormat="false" ht="15" hidden="false" customHeight="true" outlineLevel="0" collapsed="false">
      <c r="A285" s="3" t="str">
        <f aca="false">Cleaned_Data!A286</f>
        <v>STR-1071</v>
      </c>
      <c r="B285" s="4" t="n">
        <f aca="false">Cleaned_Data!B286</f>
        <v>45689</v>
      </c>
      <c r="C285" s="3" t="str">
        <f aca="false">Cleaned_Data!C286</f>
        <v>South</v>
      </c>
      <c r="D285" s="3" t="str">
        <f aca="false">Cleaned_Data!D286</f>
        <v>High Street</v>
      </c>
      <c r="E285" s="3" t="n">
        <f aca="false">Cleaned_Data!E286</f>
        <v>34771.26</v>
      </c>
      <c r="F285" s="3" t="n">
        <f aca="false">Cleaned_Data!F286</f>
        <v>4355</v>
      </c>
      <c r="G285" s="3" t="n">
        <f aca="false">Cleaned_Data!G286</f>
        <v>0.051</v>
      </c>
      <c r="H285" s="3" t="n">
        <f aca="false">Cleaned_Data!H286</f>
        <v>15</v>
      </c>
      <c r="I285" s="3" t="n">
        <f aca="false">Cleaned_Data!I286</f>
        <v>87.9</v>
      </c>
      <c r="J285" s="3" t="n">
        <f aca="false">Cleaned_Data!J286</f>
        <v>3.09</v>
      </c>
      <c r="K285" s="3" t="n">
        <f aca="false">Cleaned_Data!K286</f>
        <v>0</v>
      </c>
      <c r="L285" s="3" t="n">
        <f aca="false">Cleaned_Data!L286</f>
        <v>4</v>
      </c>
      <c r="M285" s="3" t="n">
        <f aca="false">Dummy_Variables!E286</f>
        <v>0</v>
      </c>
      <c r="N285" s="3" t="n">
        <f aca="false">Dummy_Variables!F286</f>
        <v>0</v>
      </c>
      <c r="O285" s="3" t="n">
        <f aca="false">Dummy_Variables!G286</f>
        <v>0</v>
      </c>
      <c r="P285" s="3" t="n">
        <f aca="false">Dummy_Variables!H286</f>
        <v>0</v>
      </c>
      <c r="Q285" s="3" t="n">
        <f aca="false">Dummy_Variables!I286</f>
        <v>1</v>
      </c>
      <c r="R285" s="3" t="n">
        <f aca="false">Dummy_Variables!J286</f>
        <v>0</v>
      </c>
      <c r="S285" s="3" t="n">
        <f aca="false">Cleaned_Data!M286</f>
        <v>555557.77</v>
      </c>
    </row>
    <row r="286" customFormat="false" ht="15" hidden="false" customHeight="true" outlineLevel="0" collapsed="false">
      <c r="A286" s="3" t="str">
        <f aca="false">Cleaned_Data!A287</f>
        <v>STR-1071</v>
      </c>
      <c r="B286" s="4" t="n">
        <f aca="false">Cleaned_Data!B287</f>
        <v>45717</v>
      </c>
      <c r="C286" s="3" t="str">
        <f aca="false">Cleaned_Data!C287</f>
        <v>South</v>
      </c>
      <c r="D286" s="3" t="str">
        <f aca="false">Cleaned_Data!D287</f>
        <v>High Street</v>
      </c>
      <c r="E286" s="3" t="n">
        <f aca="false">Cleaned_Data!E287</f>
        <v>66104.19</v>
      </c>
      <c r="F286" s="3" t="n">
        <f aca="false">Cleaned_Data!F287</f>
        <v>5745</v>
      </c>
      <c r="G286" s="3" t="n">
        <f aca="false">Cleaned_Data!G287</f>
        <v>0.07</v>
      </c>
      <c r="H286" s="3" t="n">
        <f aca="false">Cleaned_Data!H287</f>
        <v>17</v>
      </c>
      <c r="I286" s="3" t="n">
        <f aca="false">Cleaned_Data!I287</f>
        <v>95.8</v>
      </c>
      <c r="J286" s="3" t="n">
        <f aca="false">Cleaned_Data!J287</f>
        <v>3.15</v>
      </c>
      <c r="K286" s="3" t="n">
        <f aca="false">Cleaned_Data!K287</f>
        <v>0</v>
      </c>
      <c r="L286" s="3" t="n">
        <f aca="false">Cleaned_Data!L287</f>
        <v>4</v>
      </c>
      <c r="M286" s="3" t="n">
        <f aca="false">Dummy_Variables!E287</f>
        <v>0</v>
      </c>
      <c r="N286" s="3" t="n">
        <f aca="false">Dummy_Variables!F287</f>
        <v>0</v>
      </c>
      <c r="O286" s="3" t="n">
        <f aca="false">Dummy_Variables!G287</f>
        <v>0</v>
      </c>
      <c r="P286" s="3" t="n">
        <f aca="false">Dummy_Variables!H287</f>
        <v>0</v>
      </c>
      <c r="Q286" s="3" t="n">
        <f aca="false">Dummy_Variables!I287</f>
        <v>1</v>
      </c>
      <c r="R286" s="3" t="n">
        <f aca="false">Dummy_Variables!J287</f>
        <v>0</v>
      </c>
      <c r="S286" s="3" t="n">
        <f aca="false">Cleaned_Data!M287</f>
        <v>714083.68</v>
      </c>
    </row>
    <row r="287" customFormat="false" ht="15" hidden="false" customHeight="true" outlineLevel="0" collapsed="false">
      <c r="A287" s="3" t="str">
        <f aca="false">Cleaned_Data!A288</f>
        <v>STR-1071</v>
      </c>
      <c r="B287" s="4" t="n">
        <f aca="false">Cleaned_Data!B288</f>
        <v>45748</v>
      </c>
      <c r="C287" s="3" t="str">
        <f aca="false">Cleaned_Data!C288</f>
        <v>South</v>
      </c>
      <c r="D287" s="3" t="str">
        <f aca="false">Cleaned_Data!D288</f>
        <v>High Street</v>
      </c>
      <c r="E287" s="3" t="n">
        <f aca="false">Cleaned_Data!E288</f>
        <v>18599.21</v>
      </c>
      <c r="F287" s="3" t="n">
        <f aca="false">Cleaned_Data!F288</f>
        <v>3027</v>
      </c>
      <c r="G287" s="3" t="n">
        <f aca="false">Cleaned_Data!G288</f>
        <v>0.122</v>
      </c>
      <c r="H287" s="3" t="n">
        <f aca="false">Cleaned_Data!H288</f>
        <v>11</v>
      </c>
      <c r="I287" s="3" t="n">
        <f aca="false">Cleaned_Data!I288</f>
        <v>80.9</v>
      </c>
      <c r="J287" s="3" t="n">
        <f aca="false">Cleaned_Data!J288</f>
        <v>6.44</v>
      </c>
      <c r="K287" s="3" t="n">
        <f aca="false">Cleaned_Data!K288</f>
        <v>0</v>
      </c>
      <c r="L287" s="3" t="n">
        <f aca="false">Cleaned_Data!L288</f>
        <v>4.2</v>
      </c>
      <c r="M287" s="3" t="n">
        <f aca="false">Dummy_Variables!E288</f>
        <v>0</v>
      </c>
      <c r="N287" s="3" t="n">
        <f aca="false">Dummy_Variables!F288</f>
        <v>0</v>
      </c>
      <c r="O287" s="3" t="n">
        <f aca="false">Dummy_Variables!G288</f>
        <v>0</v>
      </c>
      <c r="P287" s="3" t="n">
        <f aca="false">Dummy_Variables!H288</f>
        <v>0</v>
      </c>
      <c r="Q287" s="3" t="n">
        <f aca="false">Dummy_Variables!I288</f>
        <v>1</v>
      </c>
      <c r="R287" s="3" t="n">
        <f aca="false">Dummy_Variables!J288</f>
        <v>0</v>
      </c>
      <c r="S287" s="3" t="n">
        <f aca="false">Cleaned_Data!M288</f>
        <v>497439.82</v>
      </c>
    </row>
    <row r="288" customFormat="false" ht="15" hidden="false" customHeight="true" outlineLevel="0" collapsed="false">
      <c r="A288" s="3" t="str">
        <f aca="false">Cleaned_Data!A289</f>
        <v>STR-1072</v>
      </c>
      <c r="B288" s="4" t="n">
        <f aca="false">Cleaned_Data!B289</f>
        <v>45658</v>
      </c>
      <c r="C288" s="3" t="str">
        <f aca="false">Cleaned_Data!C289</f>
        <v>West</v>
      </c>
      <c r="D288" s="3" t="str">
        <f aca="false">Cleaned_Data!D289</f>
        <v>Residential</v>
      </c>
      <c r="E288" s="3" t="n">
        <f aca="false">Cleaned_Data!E289</f>
        <v>60183.06</v>
      </c>
      <c r="F288" s="3" t="n">
        <f aca="false">Cleaned_Data!F289</f>
        <v>5562</v>
      </c>
      <c r="G288" s="3" t="n">
        <f aca="false">Cleaned_Data!G289</f>
        <v>0.009</v>
      </c>
      <c r="H288" s="3" t="n">
        <f aca="false">Cleaned_Data!H289</f>
        <v>13</v>
      </c>
      <c r="I288" s="3" t="n">
        <f aca="false">Cleaned_Data!I289</f>
        <v>86.3</v>
      </c>
      <c r="J288" s="3" t="n">
        <f aca="false">Cleaned_Data!J289</f>
        <v>0.2</v>
      </c>
      <c r="K288" s="3" t="n">
        <f aca="false">Cleaned_Data!K289</f>
        <v>1</v>
      </c>
      <c r="L288" s="3" t="n">
        <f aca="false">Cleaned_Data!L289</f>
        <v>4.5</v>
      </c>
      <c r="M288" s="3" t="n">
        <f aca="false">Dummy_Variables!E289</f>
        <v>0</v>
      </c>
      <c r="N288" s="3" t="n">
        <f aca="false">Dummy_Variables!F289</f>
        <v>0</v>
      </c>
      <c r="O288" s="3" t="n">
        <f aca="false">Dummy_Variables!G289</f>
        <v>1</v>
      </c>
      <c r="P288" s="3" t="n">
        <f aca="false">Dummy_Variables!H289</f>
        <v>0</v>
      </c>
      <c r="Q288" s="3" t="n">
        <f aca="false">Dummy_Variables!I289</f>
        <v>0</v>
      </c>
      <c r="R288" s="3" t="n">
        <f aca="false">Dummy_Variables!J289</f>
        <v>1</v>
      </c>
      <c r="S288" s="3" t="n">
        <f aca="false">Cleaned_Data!M289</f>
        <v>636775.66</v>
      </c>
    </row>
    <row r="289" customFormat="false" ht="15" hidden="false" customHeight="true" outlineLevel="0" collapsed="false">
      <c r="A289" s="3" t="str">
        <f aca="false">Cleaned_Data!A290</f>
        <v>STR-1072</v>
      </c>
      <c r="B289" s="4" t="n">
        <f aca="false">Cleaned_Data!B290</f>
        <v>45689</v>
      </c>
      <c r="C289" s="3" t="str">
        <f aca="false">Cleaned_Data!C290</f>
        <v>West</v>
      </c>
      <c r="D289" s="3" t="str">
        <f aca="false">Cleaned_Data!D290</f>
        <v>Residential</v>
      </c>
      <c r="E289" s="3" t="n">
        <f aca="false">Cleaned_Data!E290</f>
        <v>74539.14</v>
      </c>
      <c r="F289" s="3" t="n">
        <f aca="false">Cleaned_Data!F290</f>
        <v>4487</v>
      </c>
      <c r="G289" s="3" t="n">
        <f aca="false">Cleaned_Data!G290</f>
        <v>0.14</v>
      </c>
      <c r="H289" s="3" t="n">
        <f aca="false">Cleaned_Data!H290</f>
        <v>10</v>
      </c>
      <c r="I289" s="3" t="n">
        <f aca="false">Cleaned_Data!I290</f>
        <v>90.4</v>
      </c>
      <c r="J289" s="3" t="n">
        <f aca="false">Cleaned_Data!J290</f>
        <v>0.59</v>
      </c>
      <c r="K289" s="3" t="n">
        <f aca="false">Cleaned_Data!K290</f>
        <v>0</v>
      </c>
      <c r="L289" s="3" t="n">
        <f aca="false">Cleaned_Data!L290</f>
        <v>4.5</v>
      </c>
      <c r="M289" s="3" t="n">
        <f aca="false">Dummy_Variables!E290</f>
        <v>0</v>
      </c>
      <c r="N289" s="3" t="n">
        <f aca="false">Dummy_Variables!F290</f>
        <v>0</v>
      </c>
      <c r="O289" s="3" t="n">
        <f aca="false">Dummy_Variables!G290</f>
        <v>1</v>
      </c>
      <c r="P289" s="3" t="n">
        <f aca="false">Dummy_Variables!H290</f>
        <v>0</v>
      </c>
      <c r="Q289" s="3" t="n">
        <f aca="false">Dummy_Variables!I290</f>
        <v>0</v>
      </c>
      <c r="R289" s="3" t="n">
        <f aca="false">Dummy_Variables!J290</f>
        <v>1</v>
      </c>
      <c r="S289" s="3" t="n">
        <f aca="false">Cleaned_Data!M290</f>
        <v>633009.53</v>
      </c>
    </row>
    <row r="290" customFormat="false" ht="15" hidden="false" customHeight="true" outlineLevel="0" collapsed="false">
      <c r="A290" s="3" t="str">
        <f aca="false">Cleaned_Data!A291</f>
        <v>STR-1072</v>
      </c>
      <c r="B290" s="4" t="n">
        <f aca="false">Cleaned_Data!B291</f>
        <v>45717</v>
      </c>
      <c r="C290" s="3" t="str">
        <f aca="false">Cleaned_Data!C291</f>
        <v>West</v>
      </c>
      <c r="D290" s="3" t="str">
        <f aca="false">Cleaned_Data!D291</f>
        <v>Residential</v>
      </c>
      <c r="E290" s="3" t="n">
        <f aca="false">Cleaned_Data!E291</f>
        <v>55371.97</v>
      </c>
      <c r="F290" s="3" t="n">
        <f aca="false">Cleaned_Data!F291</f>
        <v>4162</v>
      </c>
      <c r="G290" s="3" t="n">
        <f aca="false">Cleaned_Data!G291</f>
        <v>0.183</v>
      </c>
      <c r="H290" s="3" t="n">
        <f aca="false">Cleaned_Data!H291</f>
        <v>11</v>
      </c>
      <c r="I290" s="3" t="n">
        <f aca="false">Cleaned_Data!I291</f>
        <v>92</v>
      </c>
      <c r="J290" s="3" t="n">
        <f aca="false">Cleaned_Data!J291</f>
        <v>0.2</v>
      </c>
      <c r="K290" s="3" t="n">
        <f aca="false">Cleaned_Data!K291</f>
        <v>1</v>
      </c>
      <c r="L290" s="3" t="n">
        <f aca="false">Cleaned_Data!L291</f>
        <v>4.2</v>
      </c>
      <c r="M290" s="3" t="n">
        <f aca="false">Dummy_Variables!E291</f>
        <v>0</v>
      </c>
      <c r="N290" s="3" t="n">
        <f aca="false">Dummy_Variables!F291</f>
        <v>0</v>
      </c>
      <c r="O290" s="3" t="n">
        <f aca="false">Dummy_Variables!G291</f>
        <v>1</v>
      </c>
      <c r="P290" s="3" t="n">
        <f aca="false">Dummy_Variables!H291</f>
        <v>0</v>
      </c>
      <c r="Q290" s="3" t="n">
        <f aca="false">Dummy_Variables!I291</f>
        <v>0</v>
      </c>
      <c r="R290" s="3" t="n">
        <f aca="false">Dummy_Variables!J291</f>
        <v>1</v>
      </c>
      <c r="S290" s="3" t="n">
        <f aca="false">Cleaned_Data!M291</f>
        <v>609949</v>
      </c>
    </row>
    <row r="291" customFormat="false" ht="15" hidden="false" customHeight="true" outlineLevel="0" collapsed="false">
      <c r="A291" s="3" t="str">
        <f aca="false">Cleaned_Data!A292</f>
        <v>STR-1072</v>
      </c>
      <c r="B291" s="4" t="n">
        <f aca="false">Cleaned_Data!B292</f>
        <v>45748</v>
      </c>
      <c r="C291" s="3" t="str">
        <f aca="false">Cleaned_Data!C292</f>
        <v>West</v>
      </c>
      <c r="D291" s="3" t="str">
        <f aca="false">Cleaned_Data!D292</f>
        <v>Residential</v>
      </c>
      <c r="E291" s="3" t="n">
        <f aca="false">Cleaned_Data!E292</f>
        <v>40928.69</v>
      </c>
      <c r="F291" s="3" t="n">
        <f aca="false">Cleaned_Data!F292</f>
        <v>4094</v>
      </c>
      <c r="G291" s="3" t="n">
        <f aca="false">Cleaned_Data!G292</f>
        <v>0.174</v>
      </c>
      <c r="H291" s="3" t="n">
        <f aca="false">Cleaned_Data!H292</f>
        <v>13</v>
      </c>
      <c r="I291" s="3" t="n">
        <f aca="false">Cleaned_Data!I292</f>
        <v>82.4</v>
      </c>
      <c r="J291" s="3" t="n">
        <f aca="false">Cleaned_Data!J292</f>
        <v>1.36</v>
      </c>
      <c r="K291" s="3" t="n">
        <f aca="false">Cleaned_Data!K292</f>
        <v>0</v>
      </c>
      <c r="L291" s="3" t="n">
        <f aca="false">Cleaned_Data!L292</f>
        <v>4.8</v>
      </c>
      <c r="M291" s="3" t="n">
        <f aca="false">Dummy_Variables!E292</f>
        <v>0</v>
      </c>
      <c r="N291" s="3" t="n">
        <f aca="false">Dummy_Variables!F292</f>
        <v>0</v>
      </c>
      <c r="O291" s="3" t="n">
        <f aca="false">Dummy_Variables!G292</f>
        <v>1</v>
      </c>
      <c r="P291" s="3" t="n">
        <f aca="false">Dummy_Variables!H292</f>
        <v>0</v>
      </c>
      <c r="Q291" s="3" t="n">
        <f aca="false">Dummy_Variables!I292</f>
        <v>0</v>
      </c>
      <c r="R291" s="3" t="n">
        <f aca="false">Dummy_Variables!J292</f>
        <v>1</v>
      </c>
      <c r="S291" s="3" t="n">
        <f aca="false">Cleaned_Data!M292</f>
        <v>548103.7</v>
      </c>
    </row>
    <row r="292" customFormat="false" ht="15" hidden="false" customHeight="true" outlineLevel="0" collapsed="false">
      <c r="A292" s="3" t="str">
        <f aca="false">Cleaned_Data!A293</f>
        <v>STR-1073</v>
      </c>
      <c r="B292" s="4" t="n">
        <f aca="false">Cleaned_Data!B293</f>
        <v>45658</v>
      </c>
      <c r="C292" s="3" t="str">
        <f aca="false">Cleaned_Data!C293</f>
        <v>East</v>
      </c>
      <c r="D292" s="3" t="str">
        <f aca="false">Cleaned_Data!D293</f>
        <v>Residential</v>
      </c>
      <c r="E292" s="3" t="n">
        <f aca="false">Cleaned_Data!E293</f>
        <v>70012.41</v>
      </c>
      <c r="F292" s="3" t="n">
        <f aca="false">Cleaned_Data!F293</f>
        <v>8484</v>
      </c>
      <c r="G292" s="3" t="n">
        <f aca="false">Cleaned_Data!G293</f>
        <v>0.273</v>
      </c>
      <c r="H292" s="3" t="n">
        <f aca="false">Cleaned_Data!H293</f>
        <v>23</v>
      </c>
      <c r="I292" s="3" t="n">
        <f aca="false">Cleaned_Data!I293</f>
        <v>72.9</v>
      </c>
      <c r="J292" s="3" t="n">
        <f aca="false">Cleaned_Data!J293</f>
        <v>3.34</v>
      </c>
      <c r="K292" s="3" t="n">
        <f aca="false">Cleaned_Data!K293</f>
        <v>0</v>
      </c>
      <c r="L292" s="3" t="n">
        <f aca="false">Cleaned_Data!L293</f>
        <v>3.7</v>
      </c>
      <c r="M292" s="3" t="n">
        <f aca="false">Dummy_Variables!E293</f>
        <v>0</v>
      </c>
      <c r="N292" s="3" t="n">
        <f aca="false">Dummy_Variables!F293</f>
        <v>0</v>
      </c>
      <c r="O292" s="3" t="n">
        <f aca="false">Dummy_Variables!G293</f>
        <v>1</v>
      </c>
      <c r="P292" s="3" t="n">
        <f aca="false">Dummy_Variables!H293</f>
        <v>0</v>
      </c>
      <c r="Q292" s="3" t="n">
        <f aca="false">Dummy_Variables!I293</f>
        <v>0</v>
      </c>
      <c r="R292" s="3" t="n">
        <f aca="false">Dummy_Variables!J293</f>
        <v>0</v>
      </c>
      <c r="S292" s="3" t="n">
        <f aca="false">Cleaned_Data!M293</f>
        <v>729424.42</v>
      </c>
    </row>
    <row r="293" customFormat="false" ht="15" hidden="false" customHeight="true" outlineLevel="0" collapsed="false">
      <c r="A293" s="3" t="str">
        <f aca="false">Cleaned_Data!A294</f>
        <v>STR-1073</v>
      </c>
      <c r="B293" s="4" t="n">
        <f aca="false">Cleaned_Data!B294</f>
        <v>45689</v>
      </c>
      <c r="C293" s="3" t="str">
        <f aca="false">Cleaned_Data!C294</f>
        <v>East</v>
      </c>
      <c r="D293" s="3" t="str">
        <f aca="false">Cleaned_Data!D294</f>
        <v>Residential</v>
      </c>
      <c r="E293" s="3" t="n">
        <f aca="false">Cleaned_Data!E294</f>
        <v>68909.26</v>
      </c>
      <c r="F293" s="3" t="n">
        <f aca="false">Cleaned_Data!F294</f>
        <v>7794</v>
      </c>
      <c r="G293" s="3" t="n">
        <f aca="false">Cleaned_Data!G294</f>
        <v>0.284</v>
      </c>
      <c r="H293" s="3" t="n">
        <f aca="false">Cleaned_Data!H294</f>
        <v>22</v>
      </c>
      <c r="I293" s="3" t="n">
        <f aca="false">Cleaned_Data!I294</f>
        <v>89</v>
      </c>
      <c r="J293" s="3" t="n">
        <f aca="false">Cleaned_Data!J294</f>
        <v>0.33</v>
      </c>
      <c r="K293" s="3" t="n">
        <f aca="false">Cleaned_Data!K294</f>
        <v>0</v>
      </c>
      <c r="L293" s="3" t="n">
        <f aca="false">Cleaned_Data!L294</f>
        <v>4</v>
      </c>
      <c r="M293" s="3" t="n">
        <f aca="false">Dummy_Variables!E294</f>
        <v>0</v>
      </c>
      <c r="N293" s="3" t="n">
        <f aca="false">Dummy_Variables!F294</f>
        <v>0</v>
      </c>
      <c r="O293" s="3" t="n">
        <f aca="false">Dummy_Variables!G294</f>
        <v>1</v>
      </c>
      <c r="P293" s="3" t="n">
        <f aca="false">Dummy_Variables!H294</f>
        <v>0</v>
      </c>
      <c r="Q293" s="3" t="n">
        <f aca="false">Dummy_Variables!I294</f>
        <v>0</v>
      </c>
      <c r="R293" s="3" t="n">
        <f aca="false">Dummy_Variables!J294</f>
        <v>0</v>
      </c>
      <c r="S293" s="3" t="n">
        <f aca="false">Cleaned_Data!M294</f>
        <v>696261.49</v>
      </c>
    </row>
    <row r="294" customFormat="false" ht="15" hidden="false" customHeight="true" outlineLevel="0" collapsed="false">
      <c r="A294" s="3" t="str">
        <f aca="false">Cleaned_Data!A295</f>
        <v>STR-1073</v>
      </c>
      <c r="B294" s="4" t="n">
        <f aca="false">Cleaned_Data!B295</f>
        <v>45717</v>
      </c>
      <c r="C294" s="3" t="str">
        <f aca="false">Cleaned_Data!C295</f>
        <v>East</v>
      </c>
      <c r="D294" s="3" t="str">
        <f aca="false">Cleaned_Data!D295</f>
        <v>Residential</v>
      </c>
      <c r="E294" s="3" t="n">
        <f aca="false">Cleaned_Data!E295</f>
        <v>56737.3</v>
      </c>
      <c r="F294" s="3" t="n">
        <f aca="false">Cleaned_Data!F295</f>
        <v>8300</v>
      </c>
      <c r="G294" s="3" t="n">
        <f aca="false">Cleaned_Data!G295</f>
        <v>0.032</v>
      </c>
      <c r="H294" s="3" t="n">
        <f aca="false">Cleaned_Data!H295</f>
        <v>21</v>
      </c>
      <c r="I294" s="3" t="n">
        <f aca="false">Cleaned_Data!I295</f>
        <v>83.2</v>
      </c>
      <c r="J294" s="3" t="n">
        <f aca="false">Cleaned_Data!J295</f>
        <v>3.44</v>
      </c>
      <c r="K294" s="3" t="n">
        <f aca="false">Cleaned_Data!K295</f>
        <v>1</v>
      </c>
      <c r="L294" s="3" t="n">
        <f aca="false">Cleaned_Data!L295</f>
        <v>4.3</v>
      </c>
      <c r="M294" s="3" t="n">
        <f aca="false">Dummy_Variables!E295</f>
        <v>0</v>
      </c>
      <c r="N294" s="3" t="n">
        <f aca="false">Dummy_Variables!F295</f>
        <v>0</v>
      </c>
      <c r="O294" s="3" t="n">
        <f aca="false">Dummy_Variables!G295</f>
        <v>1</v>
      </c>
      <c r="P294" s="3" t="n">
        <f aca="false">Dummy_Variables!H295</f>
        <v>0</v>
      </c>
      <c r="Q294" s="3" t="n">
        <f aca="false">Dummy_Variables!I295</f>
        <v>0</v>
      </c>
      <c r="R294" s="3" t="n">
        <f aca="false">Dummy_Variables!J295</f>
        <v>0</v>
      </c>
      <c r="S294" s="3" t="n">
        <f aca="false">Cleaned_Data!M295</f>
        <v>813316.71</v>
      </c>
    </row>
    <row r="295" customFormat="false" ht="15" hidden="false" customHeight="true" outlineLevel="0" collapsed="false">
      <c r="A295" s="3" t="str">
        <f aca="false">Cleaned_Data!A296</f>
        <v>STR-1073</v>
      </c>
      <c r="B295" s="4" t="n">
        <f aca="false">Cleaned_Data!B296</f>
        <v>45748</v>
      </c>
      <c r="C295" s="3" t="str">
        <f aca="false">Cleaned_Data!C296</f>
        <v>East</v>
      </c>
      <c r="D295" s="3" t="str">
        <f aca="false">Cleaned_Data!D296</f>
        <v>Residential</v>
      </c>
      <c r="E295" s="3" t="n">
        <f aca="false">Cleaned_Data!E296</f>
        <v>54080.91</v>
      </c>
      <c r="F295" s="3" t="n">
        <f aca="false">Cleaned_Data!F296</f>
        <v>7083</v>
      </c>
      <c r="G295" s="3" t="n">
        <f aca="false">Cleaned_Data!G296</f>
        <v>0</v>
      </c>
      <c r="H295" s="3" t="n">
        <f aca="false">Cleaned_Data!H296</f>
        <v>15</v>
      </c>
      <c r="I295" s="3" t="n">
        <f aca="false">Cleaned_Data!I296</f>
        <v>97</v>
      </c>
      <c r="J295" s="3" t="n">
        <f aca="false">Cleaned_Data!J296</f>
        <v>5.33</v>
      </c>
      <c r="K295" s="3" t="n">
        <f aca="false">Cleaned_Data!K296</f>
        <v>0</v>
      </c>
      <c r="L295" s="3" t="n">
        <f aca="false">Cleaned_Data!L296</f>
        <v>4.1</v>
      </c>
      <c r="M295" s="3" t="n">
        <f aca="false">Dummy_Variables!E296</f>
        <v>0</v>
      </c>
      <c r="N295" s="3" t="n">
        <f aca="false">Dummy_Variables!F296</f>
        <v>0</v>
      </c>
      <c r="O295" s="3" t="n">
        <f aca="false">Dummy_Variables!G296</f>
        <v>1</v>
      </c>
      <c r="P295" s="3" t="n">
        <f aca="false">Dummy_Variables!H296</f>
        <v>0</v>
      </c>
      <c r="Q295" s="3" t="n">
        <f aca="false">Dummy_Variables!I296</f>
        <v>0</v>
      </c>
      <c r="R295" s="3" t="n">
        <f aca="false">Dummy_Variables!J296</f>
        <v>0</v>
      </c>
      <c r="S295" s="3" t="n">
        <f aca="false">Cleaned_Data!M296</f>
        <v>702068.92</v>
      </c>
    </row>
    <row r="296" customFormat="false" ht="15" hidden="false" customHeight="true" outlineLevel="0" collapsed="false">
      <c r="A296" s="3" t="str">
        <f aca="false">Cleaned_Data!A297</f>
        <v>STR-1074</v>
      </c>
      <c r="B296" s="4" t="n">
        <f aca="false">Cleaned_Data!B297</f>
        <v>45658</v>
      </c>
      <c r="C296" s="3" t="str">
        <f aca="false">Cleaned_Data!C297</f>
        <v>West</v>
      </c>
      <c r="D296" s="3" t="str">
        <f aca="false">Cleaned_Data!D297</f>
        <v>High Street</v>
      </c>
      <c r="E296" s="3" t="n">
        <f aca="false">Cleaned_Data!E297</f>
        <v>51996.32</v>
      </c>
      <c r="F296" s="3" t="n">
        <f aca="false">Cleaned_Data!F297</f>
        <v>3834</v>
      </c>
      <c r="G296" s="3" t="n">
        <f aca="false">Cleaned_Data!G297</f>
        <v>0.096</v>
      </c>
      <c r="H296" s="3" t="n">
        <f aca="false">Cleaned_Data!H297</f>
        <v>8</v>
      </c>
      <c r="I296" s="3" t="n">
        <f aca="false">Cleaned_Data!I297</f>
        <v>86.7</v>
      </c>
      <c r="J296" s="3" t="n">
        <f aca="false">Cleaned_Data!J297</f>
        <v>6.04</v>
      </c>
      <c r="K296" s="3" t="n">
        <f aca="false">Cleaned_Data!K297</f>
        <v>0</v>
      </c>
      <c r="L296" s="3" t="n">
        <f aca="false">Cleaned_Data!L297</f>
        <v>4.5</v>
      </c>
      <c r="M296" s="3" t="n">
        <f aca="false">Dummy_Variables!E297</f>
        <v>0</v>
      </c>
      <c r="N296" s="3" t="n">
        <f aca="false">Dummy_Variables!F297</f>
        <v>0</v>
      </c>
      <c r="O296" s="3" t="n">
        <f aca="false">Dummy_Variables!G297</f>
        <v>0</v>
      </c>
      <c r="P296" s="3" t="n">
        <f aca="false">Dummy_Variables!H297</f>
        <v>0</v>
      </c>
      <c r="Q296" s="3" t="n">
        <f aca="false">Dummy_Variables!I297</f>
        <v>0</v>
      </c>
      <c r="R296" s="3" t="n">
        <f aca="false">Dummy_Variables!J297</f>
        <v>1</v>
      </c>
      <c r="S296" s="3" t="n">
        <f aca="false">Cleaned_Data!M297</f>
        <v>546223.7</v>
      </c>
    </row>
    <row r="297" customFormat="false" ht="15" hidden="false" customHeight="true" outlineLevel="0" collapsed="false">
      <c r="A297" s="3" t="str">
        <f aca="false">Cleaned_Data!A298</f>
        <v>STR-1074</v>
      </c>
      <c r="B297" s="4" t="n">
        <f aca="false">Cleaned_Data!B298</f>
        <v>45689</v>
      </c>
      <c r="C297" s="3" t="str">
        <f aca="false">Cleaned_Data!C298</f>
        <v>West</v>
      </c>
      <c r="D297" s="3" t="str">
        <f aca="false">Cleaned_Data!D298</f>
        <v>High Street</v>
      </c>
      <c r="E297" s="3" t="n">
        <f aca="false">Cleaned_Data!E298</f>
        <v>40102.88</v>
      </c>
      <c r="F297" s="3" t="n">
        <f aca="false">Cleaned_Data!F298</f>
        <v>2358</v>
      </c>
      <c r="G297" s="3" t="n">
        <f aca="false">Cleaned_Data!G298</f>
        <v>0.119</v>
      </c>
      <c r="H297" s="3" t="n">
        <f aca="false">Cleaned_Data!H298</f>
        <v>9</v>
      </c>
      <c r="I297" s="3" t="n">
        <f aca="false">Cleaned_Data!I298</f>
        <v>88.7</v>
      </c>
      <c r="J297" s="3" t="n">
        <f aca="false">Cleaned_Data!J298</f>
        <v>1.6</v>
      </c>
      <c r="K297" s="3" t="n">
        <f aca="false">Cleaned_Data!K298</f>
        <v>0</v>
      </c>
      <c r="L297" s="3" t="n">
        <f aca="false">Cleaned_Data!L298</f>
        <v>4.2</v>
      </c>
      <c r="M297" s="3" t="n">
        <f aca="false">Dummy_Variables!E298</f>
        <v>0</v>
      </c>
      <c r="N297" s="3" t="n">
        <f aca="false">Dummy_Variables!F298</f>
        <v>0</v>
      </c>
      <c r="O297" s="3" t="n">
        <f aca="false">Dummy_Variables!G298</f>
        <v>0</v>
      </c>
      <c r="P297" s="3" t="n">
        <f aca="false">Dummy_Variables!H298</f>
        <v>0</v>
      </c>
      <c r="Q297" s="3" t="n">
        <f aca="false">Dummy_Variables!I298</f>
        <v>0</v>
      </c>
      <c r="R297" s="3" t="n">
        <f aca="false">Dummy_Variables!J298</f>
        <v>1</v>
      </c>
      <c r="S297" s="3" t="n">
        <f aca="false">Cleaned_Data!M298</f>
        <v>533121.26</v>
      </c>
    </row>
    <row r="298" customFormat="false" ht="15" hidden="false" customHeight="true" outlineLevel="0" collapsed="false">
      <c r="A298" s="3" t="str">
        <f aca="false">Cleaned_Data!A299</f>
        <v>STR-1074</v>
      </c>
      <c r="B298" s="4" t="n">
        <f aca="false">Cleaned_Data!B299</f>
        <v>45717</v>
      </c>
      <c r="C298" s="3" t="str">
        <f aca="false">Cleaned_Data!C299</f>
        <v>West</v>
      </c>
      <c r="D298" s="3" t="str">
        <f aca="false">Cleaned_Data!D299</f>
        <v>High Street</v>
      </c>
      <c r="E298" s="3" t="n">
        <f aca="false">Cleaned_Data!E299</f>
        <v>59825.51</v>
      </c>
      <c r="F298" s="3" t="n">
        <f aca="false">Cleaned_Data!F299</f>
        <v>1231</v>
      </c>
      <c r="G298" s="3" t="n">
        <f aca="false">Cleaned_Data!G299</f>
        <v>0.214</v>
      </c>
      <c r="H298" s="3" t="n">
        <f aca="false">Cleaned_Data!H299</f>
        <v>10</v>
      </c>
      <c r="I298" s="3" t="n">
        <f aca="false">Cleaned_Data!I299</f>
        <v>84.8</v>
      </c>
      <c r="J298" s="3" t="n">
        <f aca="false">Cleaned_Data!J299</f>
        <v>8.96</v>
      </c>
      <c r="K298" s="3" t="n">
        <f aca="false">Cleaned_Data!K299</f>
        <v>0</v>
      </c>
      <c r="L298" s="3" t="n">
        <f aca="false">Cleaned_Data!L299</f>
        <v>4.7</v>
      </c>
      <c r="M298" s="3" t="n">
        <f aca="false">Dummy_Variables!E299</f>
        <v>0</v>
      </c>
      <c r="N298" s="3" t="n">
        <f aca="false">Dummy_Variables!F299</f>
        <v>0</v>
      </c>
      <c r="O298" s="3" t="n">
        <f aca="false">Dummy_Variables!G299</f>
        <v>0</v>
      </c>
      <c r="P298" s="3" t="n">
        <f aca="false">Dummy_Variables!H299</f>
        <v>0</v>
      </c>
      <c r="Q298" s="3" t="n">
        <f aca="false">Dummy_Variables!I299</f>
        <v>0</v>
      </c>
      <c r="R298" s="3" t="n">
        <f aca="false">Dummy_Variables!J299</f>
        <v>1</v>
      </c>
      <c r="S298" s="3" t="n">
        <f aca="false">Cleaned_Data!M299</f>
        <v>498970.32</v>
      </c>
    </row>
    <row r="299" customFormat="false" ht="15" hidden="false" customHeight="true" outlineLevel="0" collapsed="false">
      <c r="A299" s="3" t="str">
        <f aca="false">Cleaned_Data!A300</f>
        <v>STR-1074</v>
      </c>
      <c r="B299" s="4" t="n">
        <f aca="false">Cleaned_Data!B300</f>
        <v>45748</v>
      </c>
      <c r="C299" s="3" t="str">
        <f aca="false">Cleaned_Data!C300</f>
        <v>West</v>
      </c>
      <c r="D299" s="3" t="str">
        <f aca="false">Cleaned_Data!D300</f>
        <v>High Street</v>
      </c>
      <c r="E299" s="3" t="n">
        <f aca="false">Cleaned_Data!E300</f>
        <v>27398.28</v>
      </c>
      <c r="F299" s="3" t="n">
        <f aca="false">Cleaned_Data!F300</f>
        <v>1723</v>
      </c>
      <c r="G299" s="3" t="n">
        <f aca="false">Cleaned_Data!G300</f>
        <v>0.171</v>
      </c>
      <c r="H299" s="3" t="n">
        <f aca="false">Cleaned_Data!H300</f>
        <v>9</v>
      </c>
      <c r="I299" s="3" t="n">
        <f aca="false">Cleaned_Data!I300</f>
        <v>81</v>
      </c>
      <c r="J299" s="3" t="n">
        <f aca="false">Cleaned_Data!J300</f>
        <v>0.74</v>
      </c>
      <c r="K299" s="3" t="n">
        <f aca="false">Cleaned_Data!K300</f>
        <v>0</v>
      </c>
      <c r="L299" s="3" t="n">
        <f aca="false">Cleaned_Data!L300</f>
        <v>4.6</v>
      </c>
      <c r="M299" s="3" t="n">
        <f aca="false">Dummy_Variables!E300</f>
        <v>0</v>
      </c>
      <c r="N299" s="3" t="n">
        <f aca="false">Dummy_Variables!F300</f>
        <v>0</v>
      </c>
      <c r="O299" s="3" t="n">
        <f aca="false">Dummy_Variables!G300</f>
        <v>0</v>
      </c>
      <c r="P299" s="3" t="n">
        <f aca="false">Dummy_Variables!H300</f>
        <v>0</v>
      </c>
      <c r="Q299" s="3" t="n">
        <f aca="false">Dummy_Variables!I300</f>
        <v>0</v>
      </c>
      <c r="R299" s="3" t="n">
        <f aca="false">Dummy_Variables!J300</f>
        <v>1</v>
      </c>
      <c r="S299" s="3" t="n">
        <f aca="false">Cleaned_Data!M300</f>
        <v>487738.26</v>
      </c>
    </row>
    <row r="300" customFormat="false" ht="15" hidden="false" customHeight="true" outlineLevel="0" collapsed="false">
      <c r="A300" s="3" t="str">
        <f aca="false">Cleaned_Data!A301</f>
        <v>STR-1075</v>
      </c>
      <c r="B300" s="4" t="n">
        <f aca="false">Cleaned_Data!B301</f>
        <v>45658</v>
      </c>
      <c r="C300" s="3" t="str">
        <f aca="false">Cleaned_Data!C301</f>
        <v>West</v>
      </c>
      <c r="D300" s="3" t="str">
        <f aca="false">Cleaned_Data!D301</f>
        <v>High Street</v>
      </c>
      <c r="E300" s="3" t="n">
        <f aca="false">Cleaned_Data!E301</f>
        <v>55599.56</v>
      </c>
      <c r="F300" s="3" t="n">
        <f aca="false">Cleaned_Data!F301</f>
        <v>5896</v>
      </c>
      <c r="G300" s="3" t="n">
        <f aca="false">Cleaned_Data!G301</f>
        <v>0.036</v>
      </c>
      <c r="H300" s="3" t="n">
        <f aca="false">Cleaned_Data!H301</f>
        <v>12</v>
      </c>
      <c r="I300" s="3" t="n">
        <f aca="false">Cleaned_Data!I301</f>
        <v>93.1</v>
      </c>
      <c r="J300" s="3" t="n">
        <f aca="false">Cleaned_Data!J301</f>
        <v>6.13</v>
      </c>
      <c r="K300" s="3" t="n">
        <f aca="false">Cleaned_Data!K301</f>
        <v>0</v>
      </c>
      <c r="L300" s="3" t="n">
        <f aca="false">Cleaned_Data!L301</f>
        <v>3.3</v>
      </c>
      <c r="M300" s="3" t="n">
        <f aca="false">Dummy_Variables!E301</f>
        <v>0</v>
      </c>
      <c r="N300" s="3" t="n">
        <f aca="false">Dummy_Variables!F301</f>
        <v>0</v>
      </c>
      <c r="O300" s="3" t="n">
        <f aca="false">Dummy_Variables!G301</f>
        <v>0</v>
      </c>
      <c r="P300" s="3" t="n">
        <f aca="false">Dummy_Variables!H301</f>
        <v>0</v>
      </c>
      <c r="Q300" s="3" t="n">
        <f aca="false">Dummy_Variables!I301</f>
        <v>0</v>
      </c>
      <c r="R300" s="3" t="n">
        <f aca="false">Dummy_Variables!J301</f>
        <v>1</v>
      </c>
      <c r="S300" s="3" t="n">
        <f aca="false">Cleaned_Data!M301</f>
        <v>668459.37</v>
      </c>
    </row>
    <row r="301" customFormat="false" ht="15" hidden="false" customHeight="true" outlineLevel="0" collapsed="false">
      <c r="A301" s="3" t="str">
        <f aca="false">Cleaned_Data!A302</f>
        <v>STR-1075</v>
      </c>
      <c r="B301" s="4" t="n">
        <f aca="false">Cleaned_Data!B302</f>
        <v>45689</v>
      </c>
      <c r="C301" s="3" t="str">
        <f aca="false">Cleaned_Data!C302</f>
        <v>West</v>
      </c>
      <c r="D301" s="3" t="str">
        <f aca="false">Cleaned_Data!D302</f>
        <v>High Street</v>
      </c>
      <c r="E301" s="3" t="n">
        <f aca="false">Cleaned_Data!E302</f>
        <v>55477.61</v>
      </c>
      <c r="F301" s="3" t="n">
        <f aca="false">Cleaned_Data!F302</f>
        <v>5903</v>
      </c>
      <c r="G301" s="3" t="n">
        <f aca="false">Cleaned_Data!G302</f>
        <v>0.102</v>
      </c>
      <c r="H301" s="3" t="n">
        <f aca="false">Cleaned_Data!H302</f>
        <v>14</v>
      </c>
      <c r="I301" s="3" t="n">
        <f aca="false">Cleaned_Data!I302</f>
        <v>96.2</v>
      </c>
      <c r="J301" s="3" t="n">
        <f aca="false">Cleaned_Data!J302</f>
        <v>1.41</v>
      </c>
      <c r="K301" s="3" t="n">
        <f aca="false">Cleaned_Data!K302</f>
        <v>0</v>
      </c>
      <c r="L301" s="3" t="n">
        <f aca="false">Cleaned_Data!L302</f>
        <v>3.3</v>
      </c>
      <c r="M301" s="3" t="n">
        <f aca="false">Dummy_Variables!E302</f>
        <v>0</v>
      </c>
      <c r="N301" s="3" t="n">
        <f aca="false">Dummy_Variables!F302</f>
        <v>0</v>
      </c>
      <c r="O301" s="3" t="n">
        <f aca="false">Dummy_Variables!G302</f>
        <v>0</v>
      </c>
      <c r="P301" s="3" t="n">
        <f aca="false">Dummy_Variables!H302</f>
        <v>0</v>
      </c>
      <c r="Q301" s="3" t="n">
        <f aca="false">Dummy_Variables!I302</f>
        <v>0</v>
      </c>
      <c r="R301" s="3" t="n">
        <f aca="false">Dummy_Variables!J302</f>
        <v>1</v>
      </c>
      <c r="S301" s="3" t="n">
        <f aca="false">Cleaned_Data!M302</f>
        <v>763162.45</v>
      </c>
    </row>
    <row r="302" customFormat="false" ht="15" hidden="false" customHeight="true" outlineLevel="0" collapsed="false">
      <c r="A302" s="3" t="str">
        <f aca="false">Cleaned_Data!A303</f>
        <v>STR-1075</v>
      </c>
      <c r="B302" s="4" t="n">
        <f aca="false">Cleaned_Data!B303</f>
        <v>45717</v>
      </c>
      <c r="C302" s="3" t="str">
        <f aca="false">Cleaned_Data!C303</f>
        <v>West</v>
      </c>
      <c r="D302" s="3" t="str">
        <f aca="false">Cleaned_Data!D303</f>
        <v>High Street</v>
      </c>
      <c r="E302" s="3" t="n">
        <f aca="false">Cleaned_Data!E303</f>
        <v>46174.7</v>
      </c>
      <c r="F302" s="3" t="n">
        <f aca="false">Cleaned_Data!F303</f>
        <v>4898</v>
      </c>
      <c r="G302" s="3" t="n">
        <f aca="false">Cleaned_Data!G303</f>
        <v>0.114</v>
      </c>
      <c r="H302" s="3" t="n">
        <f aca="false">Cleaned_Data!H303</f>
        <v>11</v>
      </c>
      <c r="I302" s="3" t="n">
        <f aca="false">Cleaned_Data!I303</f>
        <v>91.7</v>
      </c>
      <c r="J302" s="3" t="n">
        <f aca="false">Cleaned_Data!J303</f>
        <v>3.75</v>
      </c>
      <c r="K302" s="3" t="n">
        <f aca="false">Cleaned_Data!K303</f>
        <v>0</v>
      </c>
      <c r="L302" s="3" t="n">
        <f aca="false">Cleaned_Data!L303</f>
        <v>3.1</v>
      </c>
      <c r="M302" s="3" t="n">
        <f aca="false">Dummy_Variables!E303</f>
        <v>0</v>
      </c>
      <c r="N302" s="3" t="n">
        <f aca="false">Dummy_Variables!F303</f>
        <v>0</v>
      </c>
      <c r="O302" s="3" t="n">
        <f aca="false">Dummy_Variables!G303</f>
        <v>0</v>
      </c>
      <c r="P302" s="3" t="n">
        <f aca="false">Dummy_Variables!H303</f>
        <v>0</v>
      </c>
      <c r="Q302" s="3" t="n">
        <f aca="false">Dummy_Variables!I303</f>
        <v>0</v>
      </c>
      <c r="R302" s="3" t="n">
        <f aca="false">Dummy_Variables!J303</f>
        <v>1</v>
      </c>
      <c r="S302" s="3" t="n">
        <f aca="false">Cleaned_Data!M303</f>
        <v>599017.33</v>
      </c>
    </row>
    <row r="303" customFormat="false" ht="15" hidden="false" customHeight="true" outlineLevel="0" collapsed="false">
      <c r="A303" s="3" t="str">
        <f aca="false">Cleaned_Data!A304</f>
        <v>STR-1075</v>
      </c>
      <c r="B303" s="4" t="n">
        <f aca="false">Cleaned_Data!B304</f>
        <v>45748</v>
      </c>
      <c r="C303" s="3" t="str">
        <f aca="false">Cleaned_Data!C304</f>
        <v>West</v>
      </c>
      <c r="D303" s="3" t="str">
        <f aca="false">Cleaned_Data!D304</f>
        <v>High Street</v>
      </c>
      <c r="E303" s="3" t="n">
        <f aca="false">Cleaned_Data!E304</f>
        <v>24362.98</v>
      </c>
      <c r="F303" s="3" t="n">
        <f aca="false">Cleaned_Data!F304</f>
        <v>1462</v>
      </c>
      <c r="G303" s="3" t="n">
        <f aca="false">Cleaned_Data!G304</f>
        <v>0.117</v>
      </c>
      <c r="H303" s="3" t="n">
        <f aca="false">Cleaned_Data!H304</f>
        <v>6</v>
      </c>
      <c r="I303" s="3" t="n">
        <f aca="false">Cleaned_Data!I304</f>
        <v>89.3</v>
      </c>
      <c r="J303" s="3" t="n">
        <f aca="false">Cleaned_Data!J304</f>
        <v>15.06</v>
      </c>
      <c r="K303" s="3" t="n">
        <f aca="false">Cleaned_Data!K304</f>
        <v>0</v>
      </c>
      <c r="L303" s="3" t="n">
        <f aca="false">Cleaned_Data!L304</f>
        <v>3.2</v>
      </c>
      <c r="M303" s="3" t="n">
        <f aca="false">Dummy_Variables!E304</f>
        <v>0</v>
      </c>
      <c r="N303" s="3" t="n">
        <f aca="false">Dummy_Variables!F304</f>
        <v>0</v>
      </c>
      <c r="O303" s="3" t="n">
        <f aca="false">Dummy_Variables!G304</f>
        <v>0</v>
      </c>
      <c r="P303" s="3" t="n">
        <f aca="false">Dummy_Variables!H304</f>
        <v>0</v>
      </c>
      <c r="Q303" s="3" t="n">
        <f aca="false">Dummy_Variables!I304</f>
        <v>0</v>
      </c>
      <c r="R303" s="3" t="n">
        <f aca="false">Dummy_Variables!J304</f>
        <v>1</v>
      </c>
      <c r="S303" s="3" t="n">
        <f aca="false">Cleaned_Data!M304</f>
        <v>401582.58</v>
      </c>
    </row>
    <row r="304" customFormat="false" ht="15" hidden="false" customHeight="true" outlineLevel="0" collapsed="false">
      <c r="A304" s="3" t="str">
        <f aca="false">Cleaned_Data!A305</f>
        <v>STR-1076</v>
      </c>
      <c r="B304" s="4" t="n">
        <f aca="false">Cleaned_Data!B305</f>
        <v>45658</v>
      </c>
      <c r="C304" s="3" t="str">
        <f aca="false">Cleaned_Data!C305</f>
        <v>North</v>
      </c>
      <c r="D304" s="3" t="str">
        <f aca="false">Cleaned_Data!D305</f>
        <v>Mall</v>
      </c>
      <c r="E304" s="3" t="n">
        <f aca="false">Cleaned_Data!E305</f>
        <v>40647.67</v>
      </c>
      <c r="F304" s="3" t="n">
        <f aca="false">Cleaned_Data!F305</f>
        <v>8252</v>
      </c>
      <c r="G304" s="3" t="n">
        <f aca="false">Cleaned_Data!G305</f>
        <v>0.141</v>
      </c>
      <c r="H304" s="3" t="n">
        <f aca="false">Cleaned_Data!H305</f>
        <v>22</v>
      </c>
      <c r="I304" s="3" t="n">
        <f aca="false">Cleaned_Data!I305</f>
        <v>88.2</v>
      </c>
      <c r="J304" s="3" t="n">
        <f aca="false">Cleaned_Data!J305</f>
        <v>5.07</v>
      </c>
      <c r="K304" s="3" t="n">
        <f aca="false">Cleaned_Data!K305</f>
        <v>1</v>
      </c>
      <c r="L304" s="3" t="n">
        <f aca="false">Cleaned_Data!L305</f>
        <v>4.1</v>
      </c>
      <c r="M304" s="3" t="n">
        <f aca="false">Dummy_Variables!E305</f>
        <v>0</v>
      </c>
      <c r="N304" s="3" t="n">
        <f aca="false">Dummy_Variables!F305</f>
        <v>1</v>
      </c>
      <c r="O304" s="3" t="n">
        <f aca="false">Dummy_Variables!G305</f>
        <v>0</v>
      </c>
      <c r="P304" s="3" t="n">
        <f aca="false">Dummy_Variables!H305</f>
        <v>1</v>
      </c>
      <c r="Q304" s="3" t="n">
        <f aca="false">Dummy_Variables!I305</f>
        <v>0</v>
      </c>
      <c r="R304" s="3" t="n">
        <f aca="false">Dummy_Variables!J305</f>
        <v>0</v>
      </c>
      <c r="S304" s="3" t="n">
        <f aca="false">Cleaned_Data!M305</f>
        <v>703812.99</v>
      </c>
    </row>
    <row r="305" customFormat="false" ht="15" hidden="false" customHeight="true" outlineLevel="0" collapsed="false">
      <c r="A305" s="3" t="str">
        <f aca="false">Cleaned_Data!A306</f>
        <v>STR-1076</v>
      </c>
      <c r="B305" s="4" t="n">
        <f aca="false">Cleaned_Data!B306</f>
        <v>45689</v>
      </c>
      <c r="C305" s="3" t="str">
        <f aca="false">Cleaned_Data!C306</f>
        <v>North</v>
      </c>
      <c r="D305" s="3" t="str">
        <f aca="false">Cleaned_Data!D306</f>
        <v>Mall</v>
      </c>
      <c r="E305" s="3" t="n">
        <f aca="false">Cleaned_Data!E306</f>
        <v>63986.98</v>
      </c>
      <c r="F305" s="3" t="n">
        <f aca="false">Cleaned_Data!F306</f>
        <v>7989</v>
      </c>
      <c r="G305" s="3" t="n">
        <f aca="false">Cleaned_Data!G306</f>
        <v>0.074</v>
      </c>
      <c r="H305" s="3" t="n">
        <f aca="false">Cleaned_Data!H306</f>
        <v>20</v>
      </c>
      <c r="I305" s="3" t="n">
        <f aca="false">Cleaned_Data!I306</f>
        <v>83.3</v>
      </c>
      <c r="J305" s="3" t="n">
        <f aca="false">Cleaned_Data!J306</f>
        <v>3.6</v>
      </c>
      <c r="K305" s="3" t="n">
        <f aca="false">Cleaned_Data!K306</f>
        <v>0</v>
      </c>
      <c r="L305" s="3" t="n">
        <f aca="false">Cleaned_Data!L306</f>
        <v>3.7</v>
      </c>
      <c r="M305" s="3" t="n">
        <f aca="false">Dummy_Variables!E306</f>
        <v>0</v>
      </c>
      <c r="N305" s="3" t="n">
        <f aca="false">Dummy_Variables!F306</f>
        <v>1</v>
      </c>
      <c r="O305" s="3" t="n">
        <f aca="false">Dummy_Variables!G306</f>
        <v>0</v>
      </c>
      <c r="P305" s="3" t="n">
        <f aca="false">Dummy_Variables!H306</f>
        <v>1</v>
      </c>
      <c r="Q305" s="3" t="n">
        <f aca="false">Dummy_Variables!I306</f>
        <v>0</v>
      </c>
      <c r="R305" s="3" t="n">
        <f aca="false">Dummy_Variables!J306</f>
        <v>0</v>
      </c>
      <c r="S305" s="3" t="n">
        <f aca="false">Cleaned_Data!M306</f>
        <v>724346.73</v>
      </c>
    </row>
    <row r="306" customFormat="false" ht="15" hidden="false" customHeight="true" outlineLevel="0" collapsed="false">
      <c r="A306" s="3" t="str">
        <f aca="false">Cleaned_Data!A307</f>
        <v>STR-1076</v>
      </c>
      <c r="B306" s="4" t="n">
        <f aca="false">Cleaned_Data!B307</f>
        <v>45717</v>
      </c>
      <c r="C306" s="3" t="str">
        <f aca="false">Cleaned_Data!C307</f>
        <v>North</v>
      </c>
      <c r="D306" s="3" t="str">
        <f aca="false">Cleaned_Data!D307</f>
        <v>Mall</v>
      </c>
      <c r="E306" s="3" t="n">
        <f aca="false">Cleaned_Data!E307</f>
        <v>52843.75</v>
      </c>
      <c r="F306" s="3" t="n">
        <f aca="false">Cleaned_Data!F307</f>
        <v>8268</v>
      </c>
      <c r="G306" s="3" t="n">
        <f aca="false">Cleaned_Data!G307</f>
        <v>0.138</v>
      </c>
      <c r="H306" s="3" t="n">
        <f aca="false">Cleaned_Data!H307</f>
        <v>19</v>
      </c>
      <c r="I306" s="3" t="n">
        <f aca="false">Cleaned_Data!I307</f>
        <v>87.3</v>
      </c>
      <c r="J306" s="3" t="n">
        <f aca="false">Cleaned_Data!J307</f>
        <v>4.39</v>
      </c>
      <c r="K306" s="3" t="n">
        <f aca="false">Cleaned_Data!K307</f>
        <v>1</v>
      </c>
      <c r="L306" s="3" t="n">
        <f aca="false">Cleaned_Data!L307</f>
        <v>4.7</v>
      </c>
      <c r="M306" s="3" t="n">
        <f aca="false">Dummy_Variables!E307</f>
        <v>0</v>
      </c>
      <c r="N306" s="3" t="n">
        <f aca="false">Dummy_Variables!F307</f>
        <v>1</v>
      </c>
      <c r="O306" s="3" t="n">
        <f aca="false">Dummy_Variables!G307</f>
        <v>0</v>
      </c>
      <c r="P306" s="3" t="n">
        <f aca="false">Dummy_Variables!H307</f>
        <v>1</v>
      </c>
      <c r="Q306" s="3" t="n">
        <f aca="false">Dummy_Variables!I307</f>
        <v>0</v>
      </c>
      <c r="R306" s="3" t="n">
        <f aca="false">Dummy_Variables!J307</f>
        <v>0</v>
      </c>
      <c r="S306" s="3" t="n">
        <f aca="false">Cleaned_Data!M307</f>
        <v>730890.01</v>
      </c>
    </row>
    <row r="307" customFormat="false" ht="15" hidden="false" customHeight="true" outlineLevel="0" collapsed="false">
      <c r="A307" s="3" t="str">
        <f aca="false">Cleaned_Data!A308</f>
        <v>STR-1076</v>
      </c>
      <c r="B307" s="4" t="n">
        <f aca="false">Cleaned_Data!B308</f>
        <v>45748</v>
      </c>
      <c r="C307" s="3" t="str">
        <f aca="false">Cleaned_Data!C308</f>
        <v>North</v>
      </c>
      <c r="D307" s="3" t="str">
        <f aca="false">Cleaned_Data!D308</f>
        <v>Mall</v>
      </c>
      <c r="E307" s="3" t="n">
        <f aca="false">Cleaned_Data!E308</f>
        <v>31997.25</v>
      </c>
      <c r="F307" s="3" t="n">
        <f aca="false">Cleaned_Data!F308</f>
        <v>8183</v>
      </c>
      <c r="G307" s="3" t="n">
        <f aca="false">Cleaned_Data!G308</f>
        <v>0.198</v>
      </c>
      <c r="H307" s="3" t="n">
        <f aca="false">Cleaned_Data!H308</f>
        <v>18</v>
      </c>
      <c r="I307" s="3" t="n">
        <f aca="false">Cleaned_Data!I308</f>
        <v>93</v>
      </c>
      <c r="J307" s="3" t="n">
        <f aca="false">Cleaned_Data!J308</f>
        <v>2.79</v>
      </c>
      <c r="K307" s="3" t="n">
        <f aca="false">Cleaned_Data!K308</f>
        <v>0</v>
      </c>
      <c r="L307" s="3" t="n">
        <f aca="false">Cleaned_Data!L308</f>
        <v>4.2</v>
      </c>
      <c r="M307" s="3" t="n">
        <f aca="false">Dummy_Variables!E308</f>
        <v>0</v>
      </c>
      <c r="N307" s="3" t="n">
        <f aca="false">Dummy_Variables!F308</f>
        <v>1</v>
      </c>
      <c r="O307" s="3" t="n">
        <f aca="false">Dummy_Variables!G308</f>
        <v>0</v>
      </c>
      <c r="P307" s="3" t="n">
        <f aca="false">Dummy_Variables!H308</f>
        <v>1</v>
      </c>
      <c r="Q307" s="3" t="n">
        <f aca="false">Dummy_Variables!I308</f>
        <v>0</v>
      </c>
      <c r="R307" s="3" t="n">
        <f aca="false">Dummy_Variables!J308</f>
        <v>0</v>
      </c>
      <c r="S307" s="3" t="n">
        <f aca="false">Cleaned_Data!M308</f>
        <v>780580.95</v>
      </c>
    </row>
    <row r="308" customFormat="false" ht="15" hidden="false" customHeight="true" outlineLevel="0" collapsed="false">
      <c r="A308" s="3" t="str">
        <f aca="false">Cleaned_Data!A309</f>
        <v>STR-1077</v>
      </c>
      <c r="B308" s="4" t="n">
        <f aca="false">Cleaned_Data!B309</f>
        <v>45658</v>
      </c>
      <c r="C308" s="3" t="str">
        <f aca="false">Cleaned_Data!C309</f>
        <v>South</v>
      </c>
      <c r="D308" s="3" t="str">
        <f aca="false">Cleaned_Data!D309</f>
        <v>Residential</v>
      </c>
      <c r="E308" s="3" t="n">
        <f aca="false">Cleaned_Data!E309</f>
        <v>54948.02</v>
      </c>
      <c r="F308" s="3" t="n">
        <f aca="false">Cleaned_Data!F309</f>
        <v>6534</v>
      </c>
      <c r="G308" s="3" t="n">
        <f aca="false">Cleaned_Data!G309</f>
        <v>0.183</v>
      </c>
      <c r="H308" s="3" t="n">
        <f aca="false">Cleaned_Data!H309</f>
        <v>14</v>
      </c>
      <c r="I308" s="3" t="n">
        <f aca="false">Cleaned_Data!I309</f>
        <v>94.5</v>
      </c>
      <c r="J308" s="3" t="n">
        <f aca="false">Cleaned_Data!J309</f>
        <v>1.56</v>
      </c>
      <c r="K308" s="3" t="n">
        <f aca="false">Cleaned_Data!K309</f>
        <v>0</v>
      </c>
      <c r="L308" s="3" t="n">
        <f aca="false">Cleaned_Data!L309</f>
        <v>4</v>
      </c>
      <c r="M308" s="3" t="n">
        <f aca="false">Dummy_Variables!E309</f>
        <v>0</v>
      </c>
      <c r="N308" s="3" t="n">
        <f aca="false">Dummy_Variables!F309</f>
        <v>0</v>
      </c>
      <c r="O308" s="3" t="n">
        <f aca="false">Dummy_Variables!G309</f>
        <v>1</v>
      </c>
      <c r="P308" s="3" t="n">
        <f aca="false">Dummy_Variables!H309</f>
        <v>0</v>
      </c>
      <c r="Q308" s="3" t="n">
        <f aca="false">Dummy_Variables!I309</f>
        <v>1</v>
      </c>
      <c r="R308" s="3" t="n">
        <f aca="false">Dummy_Variables!J309</f>
        <v>0</v>
      </c>
      <c r="S308" s="3" t="n">
        <f aca="false">Cleaned_Data!M309</f>
        <v>727957.48</v>
      </c>
    </row>
    <row r="309" customFormat="false" ht="15" hidden="false" customHeight="true" outlineLevel="0" collapsed="false">
      <c r="A309" s="3" t="str">
        <f aca="false">Cleaned_Data!A310</f>
        <v>STR-1077</v>
      </c>
      <c r="B309" s="4" t="n">
        <f aca="false">Cleaned_Data!B310</f>
        <v>45689</v>
      </c>
      <c r="C309" s="3" t="str">
        <f aca="false">Cleaned_Data!C310</f>
        <v>South</v>
      </c>
      <c r="D309" s="3" t="str">
        <f aca="false">Cleaned_Data!D310</f>
        <v>Residential</v>
      </c>
      <c r="E309" s="3" t="n">
        <f aca="false">Cleaned_Data!E310</f>
        <v>46146.24</v>
      </c>
      <c r="F309" s="3" t="n">
        <f aca="false">Cleaned_Data!F310</f>
        <v>5804</v>
      </c>
      <c r="G309" s="3" t="n">
        <f aca="false">Cleaned_Data!G310</f>
        <v>0.047</v>
      </c>
      <c r="H309" s="3" t="n">
        <f aca="false">Cleaned_Data!H310</f>
        <v>16</v>
      </c>
      <c r="I309" s="3" t="n">
        <f aca="false">Cleaned_Data!I310</f>
        <v>86.9</v>
      </c>
      <c r="J309" s="3" t="n">
        <f aca="false">Cleaned_Data!J310</f>
        <v>15.82</v>
      </c>
      <c r="K309" s="3" t="n">
        <f aca="false">Cleaned_Data!K310</f>
        <v>0</v>
      </c>
      <c r="L309" s="3" t="n">
        <f aca="false">Cleaned_Data!L310</f>
        <v>3.8</v>
      </c>
      <c r="M309" s="3" t="n">
        <f aca="false">Dummy_Variables!E310</f>
        <v>0</v>
      </c>
      <c r="N309" s="3" t="n">
        <f aca="false">Dummy_Variables!F310</f>
        <v>0</v>
      </c>
      <c r="O309" s="3" t="n">
        <f aca="false">Dummy_Variables!G310</f>
        <v>1</v>
      </c>
      <c r="P309" s="3" t="n">
        <f aca="false">Dummy_Variables!H310</f>
        <v>0</v>
      </c>
      <c r="Q309" s="3" t="n">
        <f aca="false">Dummy_Variables!I310</f>
        <v>1</v>
      </c>
      <c r="R309" s="3" t="n">
        <f aca="false">Dummy_Variables!J310</f>
        <v>0</v>
      </c>
      <c r="S309" s="3" t="n">
        <f aca="false">Cleaned_Data!M310</f>
        <v>538376</v>
      </c>
    </row>
    <row r="310" customFormat="false" ht="15" hidden="false" customHeight="true" outlineLevel="0" collapsed="false">
      <c r="A310" s="3" t="str">
        <f aca="false">Cleaned_Data!A311</f>
        <v>STR-1077</v>
      </c>
      <c r="B310" s="4" t="n">
        <f aca="false">Cleaned_Data!B311</f>
        <v>45717</v>
      </c>
      <c r="C310" s="3" t="str">
        <f aca="false">Cleaned_Data!C311</f>
        <v>South</v>
      </c>
      <c r="D310" s="3" t="str">
        <f aca="false">Cleaned_Data!D311</f>
        <v>Residential</v>
      </c>
      <c r="E310" s="3" t="n">
        <f aca="false">Cleaned_Data!E311</f>
        <v>22387.26</v>
      </c>
      <c r="F310" s="3" t="n">
        <f aca="false">Cleaned_Data!F311</f>
        <v>6301</v>
      </c>
      <c r="G310" s="3" t="n">
        <f aca="false">Cleaned_Data!G311</f>
        <v>0.146</v>
      </c>
      <c r="H310" s="3" t="n">
        <f aca="false">Cleaned_Data!H311</f>
        <v>14</v>
      </c>
      <c r="I310" s="3" t="n">
        <f aca="false">Cleaned_Data!I311</f>
        <v>85.9</v>
      </c>
      <c r="J310" s="3" t="n">
        <f aca="false">Cleaned_Data!J311</f>
        <v>1.17</v>
      </c>
      <c r="K310" s="3" t="n">
        <f aca="false">Cleaned_Data!K311</f>
        <v>1</v>
      </c>
      <c r="L310" s="3" t="n">
        <f aca="false">Cleaned_Data!L311</f>
        <v>3.7</v>
      </c>
      <c r="M310" s="3" t="n">
        <f aca="false">Dummy_Variables!E311</f>
        <v>0</v>
      </c>
      <c r="N310" s="3" t="n">
        <f aca="false">Dummy_Variables!F311</f>
        <v>0</v>
      </c>
      <c r="O310" s="3" t="n">
        <f aca="false">Dummy_Variables!G311</f>
        <v>1</v>
      </c>
      <c r="P310" s="3" t="n">
        <f aca="false">Dummy_Variables!H311</f>
        <v>0</v>
      </c>
      <c r="Q310" s="3" t="n">
        <f aca="false">Dummy_Variables!I311</f>
        <v>1</v>
      </c>
      <c r="R310" s="3" t="n">
        <f aca="false">Dummy_Variables!J311</f>
        <v>0</v>
      </c>
      <c r="S310" s="3" t="n">
        <f aca="false">Cleaned_Data!M311</f>
        <v>665342.49</v>
      </c>
    </row>
    <row r="311" customFormat="false" ht="15" hidden="false" customHeight="true" outlineLevel="0" collapsed="false">
      <c r="A311" s="3" t="str">
        <f aca="false">Cleaned_Data!A312</f>
        <v>STR-1077</v>
      </c>
      <c r="B311" s="4" t="n">
        <f aca="false">Cleaned_Data!B312</f>
        <v>45748</v>
      </c>
      <c r="C311" s="3" t="str">
        <f aca="false">Cleaned_Data!C312</f>
        <v>South</v>
      </c>
      <c r="D311" s="3" t="str">
        <f aca="false">Cleaned_Data!D312</f>
        <v>Residential</v>
      </c>
      <c r="E311" s="3" t="n">
        <f aca="false">Cleaned_Data!E312</f>
        <v>60684.05</v>
      </c>
      <c r="F311" s="3" t="n">
        <f aca="false">Cleaned_Data!F312</f>
        <v>6399</v>
      </c>
      <c r="G311" s="3" t="n">
        <f aca="false">Cleaned_Data!G312</f>
        <v>0.075</v>
      </c>
      <c r="H311" s="3" t="n">
        <f aca="false">Cleaned_Data!H312</f>
        <v>16</v>
      </c>
      <c r="I311" s="3" t="n">
        <f aca="false">Cleaned_Data!I312</f>
        <v>99</v>
      </c>
      <c r="J311" s="3" t="n">
        <f aca="false">Cleaned_Data!J312</f>
        <v>3.82</v>
      </c>
      <c r="K311" s="3" t="n">
        <f aca="false">Cleaned_Data!K312</f>
        <v>0</v>
      </c>
      <c r="L311" s="3" t="n">
        <f aca="false">Cleaned_Data!L312</f>
        <v>3.5</v>
      </c>
      <c r="M311" s="3" t="n">
        <f aca="false">Dummy_Variables!E312</f>
        <v>0</v>
      </c>
      <c r="N311" s="3" t="n">
        <f aca="false">Dummy_Variables!F312</f>
        <v>0</v>
      </c>
      <c r="O311" s="3" t="n">
        <f aca="false">Dummy_Variables!G312</f>
        <v>1</v>
      </c>
      <c r="P311" s="3" t="n">
        <f aca="false">Dummy_Variables!H312</f>
        <v>0</v>
      </c>
      <c r="Q311" s="3" t="n">
        <f aca="false">Dummy_Variables!I312</f>
        <v>1</v>
      </c>
      <c r="R311" s="3" t="n">
        <f aca="false">Dummy_Variables!J312</f>
        <v>0</v>
      </c>
      <c r="S311" s="3" t="n">
        <f aca="false">Cleaned_Data!M312</f>
        <v>651164.18</v>
      </c>
    </row>
    <row r="312" customFormat="false" ht="15" hidden="false" customHeight="true" outlineLevel="0" collapsed="false">
      <c r="A312" s="3" t="str">
        <f aca="false">Cleaned_Data!A313</f>
        <v>STR-1078</v>
      </c>
      <c r="B312" s="4" t="n">
        <f aca="false">Cleaned_Data!B313</f>
        <v>45658</v>
      </c>
      <c r="C312" s="3" t="str">
        <f aca="false">Cleaned_Data!C313</f>
        <v>South</v>
      </c>
      <c r="D312" s="3" t="str">
        <f aca="false">Cleaned_Data!D313</f>
        <v>High Street</v>
      </c>
      <c r="E312" s="3" t="n">
        <f aca="false">Cleaned_Data!E313</f>
        <v>48465.6</v>
      </c>
      <c r="F312" s="3" t="n">
        <f aca="false">Cleaned_Data!F313</f>
        <v>5759</v>
      </c>
      <c r="G312" s="3" t="n">
        <f aca="false">Cleaned_Data!G313</f>
        <v>0.154</v>
      </c>
      <c r="H312" s="3" t="n">
        <f aca="false">Cleaned_Data!H313</f>
        <v>13</v>
      </c>
      <c r="I312" s="3" t="n">
        <f aca="false">Cleaned_Data!I313</f>
        <v>87.5</v>
      </c>
      <c r="J312" s="3" t="n">
        <f aca="false">Cleaned_Data!J313</f>
        <v>4.14</v>
      </c>
      <c r="K312" s="3" t="n">
        <f aca="false">Cleaned_Data!K313</f>
        <v>0</v>
      </c>
      <c r="L312" s="3" t="n">
        <f aca="false">Cleaned_Data!L313</f>
        <v>4</v>
      </c>
      <c r="M312" s="3" t="n">
        <f aca="false">Dummy_Variables!E313</f>
        <v>0</v>
      </c>
      <c r="N312" s="3" t="n">
        <f aca="false">Dummy_Variables!F313</f>
        <v>0</v>
      </c>
      <c r="O312" s="3" t="n">
        <f aca="false">Dummy_Variables!G313</f>
        <v>0</v>
      </c>
      <c r="P312" s="3" t="n">
        <f aca="false">Dummy_Variables!H313</f>
        <v>0</v>
      </c>
      <c r="Q312" s="3" t="n">
        <f aca="false">Dummy_Variables!I313</f>
        <v>1</v>
      </c>
      <c r="R312" s="3" t="n">
        <f aca="false">Dummy_Variables!J313</f>
        <v>0</v>
      </c>
      <c r="S312" s="3" t="n">
        <f aca="false">Cleaned_Data!M313</f>
        <v>628538.3</v>
      </c>
    </row>
    <row r="313" customFormat="false" ht="15" hidden="false" customHeight="true" outlineLevel="0" collapsed="false">
      <c r="A313" s="3" t="str">
        <f aca="false">Cleaned_Data!A314</f>
        <v>STR-1078</v>
      </c>
      <c r="B313" s="4" t="n">
        <f aca="false">Cleaned_Data!B314</f>
        <v>45689</v>
      </c>
      <c r="C313" s="3" t="str">
        <f aca="false">Cleaned_Data!C314</f>
        <v>South</v>
      </c>
      <c r="D313" s="3" t="str">
        <f aca="false">Cleaned_Data!D314</f>
        <v>High Street</v>
      </c>
      <c r="E313" s="3" t="n">
        <f aca="false">Cleaned_Data!E314</f>
        <v>23702.38</v>
      </c>
      <c r="F313" s="3" t="n">
        <f aca="false">Cleaned_Data!F314</f>
        <v>5285</v>
      </c>
      <c r="G313" s="3" t="n">
        <f aca="false">Cleaned_Data!G314</f>
        <v>0.167</v>
      </c>
      <c r="H313" s="3" t="n">
        <f aca="false">Cleaned_Data!H314</f>
        <v>14</v>
      </c>
      <c r="I313" s="3" t="n">
        <f aca="false">Cleaned_Data!I314</f>
        <v>79.7</v>
      </c>
      <c r="J313" s="3" t="n">
        <f aca="false">Cleaned_Data!J314</f>
        <v>1.1</v>
      </c>
      <c r="K313" s="3" t="n">
        <f aca="false">Cleaned_Data!K314</f>
        <v>0</v>
      </c>
      <c r="L313" s="3" t="n">
        <f aca="false">Cleaned_Data!L314</f>
        <v>4.3</v>
      </c>
      <c r="M313" s="3" t="n">
        <f aca="false">Dummy_Variables!E314</f>
        <v>0</v>
      </c>
      <c r="N313" s="3" t="n">
        <f aca="false">Dummy_Variables!F314</f>
        <v>0</v>
      </c>
      <c r="O313" s="3" t="n">
        <f aca="false">Dummy_Variables!G314</f>
        <v>0</v>
      </c>
      <c r="P313" s="3" t="n">
        <f aca="false">Dummy_Variables!H314</f>
        <v>0</v>
      </c>
      <c r="Q313" s="3" t="n">
        <f aca="false">Dummy_Variables!I314</f>
        <v>1</v>
      </c>
      <c r="R313" s="3" t="n">
        <f aca="false">Dummy_Variables!J314</f>
        <v>0</v>
      </c>
      <c r="S313" s="3" t="n">
        <f aca="false">Cleaned_Data!M314</f>
        <v>536524.84</v>
      </c>
    </row>
    <row r="314" customFormat="false" ht="15" hidden="false" customHeight="true" outlineLevel="0" collapsed="false">
      <c r="A314" s="3" t="str">
        <f aca="false">Cleaned_Data!A315</f>
        <v>STR-1078</v>
      </c>
      <c r="B314" s="4" t="n">
        <f aca="false">Cleaned_Data!B315</f>
        <v>45717</v>
      </c>
      <c r="C314" s="3" t="str">
        <f aca="false">Cleaned_Data!C315</f>
        <v>South</v>
      </c>
      <c r="D314" s="3" t="str">
        <f aca="false">Cleaned_Data!D315</f>
        <v>High Street</v>
      </c>
      <c r="E314" s="3" t="n">
        <f aca="false">Cleaned_Data!E315</f>
        <v>54322.94</v>
      </c>
      <c r="F314" s="3" t="n">
        <f aca="false">Cleaned_Data!F315</f>
        <v>5434</v>
      </c>
      <c r="G314" s="3" t="n">
        <f aca="false">Cleaned_Data!G315</f>
        <v>0.2</v>
      </c>
      <c r="H314" s="3" t="n">
        <f aca="false">Cleaned_Data!H315</f>
        <v>13</v>
      </c>
      <c r="I314" s="3" t="n">
        <f aca="false">Cleaned_Data!I315</f>
        <v>85.7</v>
      </c>
      <c r="J314" s="3" t="n">
        <f aca="false">Cleaned_Data!J315</f>
        <v>10.6</v>
      </c>
      <c r="K314" s="3" t="n">
        <f aca="false">Cleaned_Data!K315</f>
        <v>0</v>
      </c>
      <c r="L314" s="3" t="n">
        <f aca="false">Cleaned_Data!L315</f>
        <v>4.2</v>
      </c>
      <c r="M314" s="3" t="n">
        <f aca="false">Dummy_Variables!E315</f>
        <v>0</v>
      </c>
      <c r="N314" s="3" t="n">
        <f aca="false">Dummy_Variables!F315</f>
        <v>0</v>
      </c>
      <c r="O314" s="3" t="n">
        <f aca="false">Dummy_Variables!G315</f>
        <v>0</v>
      </c>
      <c r="P314" s="3" t="n">
        <f aca="false">Dummy_Variables!H315</f>
        <v>0</v>
      </c>
      <c r="Q314" s="3" t="n">
        <f aca="false">Dummy_Variables!I315</f>
        <v>1</v>
      </c>
      <c r="R314" s="3" t="n">
        <f aca="false">Dummy_Variables!J315</f>
        <v>0</v>
      </c>
      <c r="S314" s="3" t="n">
        <f aca="false">Cleaned_Data!M315</f>
        <v>621677.3</v>
      </c>
    </row>
    <row r="315" customFormat="false" ht="15" hidden="false" customHeight="true" outlineLevel="0" collapsed="false">
      <c r="A315" s="3" t="str">
        <f aca="false">Cleaned_Data!A316</f>
        <v>STR-1078</v>
      </c>
      <c r="B315" s="4" t="n">
        <f aca="false">Cleaned_Data!B316</f>
        <v>45748</v>
      </c>
      <c r="C315" s="3" t="str">
        <f aca="false">Cleaned_Data!C316</f>
        <v>South</v>
      </c>
      <c r="D315" s="3" t="str">
        <f aca="false">Cleaned_Data!D316</f>
        <v>High Street</v>
      </c>
      <c r="E315" s="3" t="n">
        <f aca="false">Cleaned_Data!E316</f>
        <v>86026.58</v>
      </c>
      <c r="F315" s="3" t="n">
        <f aca="false">Cleaned_Data!F316</f>
        <v>7479</v>
      </c>
      <c r="G315" s="3" t="n">
        <f aca="false">Cleaned_Data!G316</f>
        <v>0.142</v>
      </c>
      <c r="H315" s="3" t="n">
        <f aca="false">Cleaned_Data!H316</f>
        <v>20</v>
      </c>
      <c r="I315" s="3" t="n">
        <f aca="false">Cleaned_Data!I316</f>
        <v>89</v>
      </c>
      <c r="J315" s="3" t="n">
        <f aca="false">Cleaned_Data!J316</f>
        <v>0.9</v>
      </c>
      <c r="K315" s="3" t="n">
        <f aca="false">Cleaned_Data!K316</f>
        <v>0</v>
      </c>
      <c r="L315" s="3" t="n">
        <f aca="false">Cleaned_Data!L316</f>
        <v>3.9</v>
      </c>
      <c r="M315" s="3" t="n">
        <f aca="false">Dummy_Variables!E316</f>
        <v>0</v>
      </c>
      <c r="N315" s="3" t="n">
        <f aca="false">Dummy_Variables!F316</f>
        <v>0</v>
      </c>
      <c r="O315" s="3" t="n">
        <f aca="false">Dummy_Variables!G316</f>
        <v>0</v>
      </c>
      <c r="P315" s="3" t="n">
        <f aca="false">Dummy_Variables!H316</f>
        <v>0</v>
      </c>
      <c r="Q315" s="3" t="n">
        <f aca="false">Dummy_Variables!I316</f>
        <v>1</v>
      </c>
      <c r="R315" s="3" t="n">
        <f aca="false">Dummy_Variables!J316</f>
        <v>0</v>
      </c>
      <c r="S315" s="3" t="n">
        <f aca="false">Cleaned_Data!M316</f>
        <v>771129.07</v>
      </c>
    </row>
    <row r="316" customFormat="false" ht="15" hidden="false" customHeight="true" outlineLevel="0" collapsed="false">
      <c r="A316" s="3" t="str">
        <f aca="false">Cleaned_Data!A317</f>
        <v>STR-1079</v>
      </c>
      <c r="B316" s="4" t="n">
        <f aca="false">Cleaned_Data!B317</f>
        <v>45658</v>
      </c>
      <c r="C316" s="3" t="str">
        <f aca="false">Cleaned_Data!C317</f>
        <v>North</v>
      </c>
      <c r="D316" s="3" t="str">
        <f aca="false">Cleaned_Data!D317</f>
        <v>Residential</v>
      </c>
      <c r="E316" s="3" t="n">
        <f aca="false">Cleaned_Data!E317</f>
        <v>78967.52</v>
      </c>
      <c r="F316" s="3" t="n">
        <f aca="false">Cleaned_Data!F317</f>
        <v>6164</v>
      </c>
      <c r="G316" s="3" t="n">
        <f aca="false">Cleaned_Data!G317</f>
        <v>0.021</v>
      </c>
      <c r="H316" s="3" t="n">
        <f aca="false">Cleaned_Data!H317</f>
        <v>16</v>
      </c>
      <c r="I316" s="3" t="n">
        <f aca="false">Cleaned_Data!I317</f>
        <v>85.5</v>
      </c>
      <c r="J316" s="3" t="n">
        <f aca="false">Cleaned_Data!J317</f>
        <v>0.2</v>
      </c>
      <c r="K316" s="3" t="n">
        <f aca="false">Cleaned_Data!K317</f>
        <v>0</v>
      </c>
      <c r="L316" s="3" t="n">
        <f aca="false">Cleaned_Data!L317</f>
        <v>3.4</v>
      </c>
      <c r="M316" s="3" t="n">
        <f aca="false">Dummy_Variables!E317</f>
        <v>0</v>
      </c>
      <c r="N316" s="3" t="n">
        <f aca="false">Dummy_Variables!F317</f>
        <v>0</v>
      </c>
      <c r="O316" s="3" t="n">
        <f aca="false">Dummy_Variables!G317</f>
        <v>1</v>
      </c>
      <c r="P316" s="3" t="n">
        <f aca="false">Dummy_Variables!H317</f>
        <v>1</v>
      </c>
      <c r="Q316" s="3" t="n">
        <f aca="false">Dummy_Variables!I317</f>
        <v>0</v>
      </c>
      <c r="R316" s="3" t="n">
        <f aca="false">Dummy_Variables!J317</f>
        <v>0</v>
      </c>
      <c r="S316" s="3" t="n">
        <f aca="false">Cleaned_Data!M317</f>
        <v>702052.47</v>
      </c>
    </row>
    <row r="317" customFormat="false" ht="15" hidden="false" customHeight="true" outlineLevel="0" collapsed="false">
      <c r="A317" s="3" t="str">
        <f aca="false">Cleaned_Data!A318</f>
        <v>STR-1079</v>
      </c>
      <c r="B317" s="4" t="n">
        <f aca="false">Cleaned_Data!B318</f>
        <v>45689</v>
      </c>
      <c r="C317" s="3" t="str">
        <f aca="false">Cleaned_Data!C318</f>
        <v>North</v>
      </c>
      <c r="D317" s="3" t="str">
        <f aca="false">Cleaned_Data!D318</f>
        <v>Residential</v>
      </c>
      <c r="E317" s="3" t="n">
        <f aca="false">Cleaned_Data!E318</f>
        <v>46767.99</v>
      </c>
      <c r="F317" s="3" t="n">
        <f aca="false">Cleaned_Data!F318</f>
        <v>7973</v>
      </c>
      <c r="G317" s="3" t="n">
        <f aca="false">Cleaned_Data!G318</f>
        <v>0.183</v>
      </c>
      <c r="H317" s="3" t="n">
        <f aca="false">Cleaned_Data!H318</f>
        <v>18</v>
      </c>
      <c r="I317" s="3" t="n">
        <f aca="false">Cleaned_Data!I318</f>
        <v>94.8</v>
      </c>
      <c r="J317" s="3" t="n">
        <f aca="false">Cleaned_Data!J318</f>
        <v>4.67</v>
      </c>
      <c r="K317" s="3" t="n">
        <f aca="false">Cleaned_Data!K318</f>
        <v>0</v>
      </c>
      <c r="L317" s="3" t="n">
        <f aca="false">Cleaned_Data!L318</f>
        <v>3.9</v>
      </c>
      <c r="M317" s="3" t="n">
        <f aca="false">Dummy_Variables!E318</f>
        <v>0</v>
      </c>
      <c r="N317" s="3" t="n">
        <f aca="false">Dummy_Variables!F318</f>
        <v>0</v>
      </c>
      <c r="O317" s="3" t="n">
        <f aca="false">Dummy_Variables!G318</f>
        <v>1</v>
      </c>
      <c r="P317" s="3" t="n">
        <f aca="false">Dummy_Variables!H318</f>
        <v>1</v>
      </c>
      <c r="Q317" s="3" t="n">
        <f aca="false">Dummy_Variables!I318</f>
        <v>0</v>
      </c>
      <c r="R317" s="3" t="n">
        <f aca="false">Dummy_Variables!J318</f>
        <v>0</v>
      </c>
      <c r="S317" s="3" t="n">
        <f aca="false">Cleaned_Data!M318</f>
        <v>688368.46</v>
      </c>
    </row>
    <row r="318" customFormat="false" ht="15" hidden="false" customHeight="true" outlineLevel="0" collapsed="false">
      <c r="A318" s="3" t="str">
        <f aca="false">Cleaned_Data!A319</f>
        <v>STR-1079</v>
      </c>
      <c r="B318" s="4" t="n">
        <f aca="false">Cleaned_Data!B319</f>
        <v>45717</v>
      </c>
      <c r="C318" s="3" t="str">
        <f aca="false">Cleaned_Data!C319</f>
        <v>North</v>
      </c>
      <c r="D318" s="3" t="str">
        <f aca="false">Cleaned_Data!D319</f>
        <v>Residential</v>
      </c>
      <c r="E318" s="3" t="n">
        <f aca="false">Cleaned_Data!E319</f>
        <v>62507.16</v>
      </c>
      <c r="F318" s="3" t="n">
        <f aca="false">Cleaned_Data!F319</f>
        <v>6000</v>
      </c>
      <c r="G318" s="3" t="n">
        <f aca="false">Cleaned_Data!G319</f>
        <v>0.091</v>
      </c>
      <c r="H318" s="3" t="n">
        <f aca="false">Cleaned_Data!H319</f>
        <v>14</v>
      </c>
      <c r="I318" s="3" t="n">
        <f aca="false">Cleaned_Data!I319</f>
        <v>98.2</v>
      </c>
      <c r="J318" s="3" t="n">
        <f aca="false">Cleaned_Data!J319</f>
        <v>4.38</v>
      </c>
      <c r="K318" s="3" t="n">
        <f aca="false">Cleaned_Data!K319</f>
        <v>1</v>
      </c>
      <c r="L318" s="3" t="n">
        <f aca="false">Cleaned_Data!L319</f>
        <v>3.9</v>
      </c>
      <c r="M318" s="3" t="n">
        <f aca="false">Dummy_Variables!E319</f>
        <v>0</v>
      </c>
      <c r="N318" s="3" t="n">
        <f aca="false">Dummy_Variables!F319</f>
        <v>0</v>
      </c>
      <c r="O318" s="3" t="n">
        <f aca="false">Dummy_Variables!G319</f>
        <v>1</v>
      </c>
      <c r="P318" s="3" t="n">
        <f aca="false">Dummy_Variables!H319</f>
        <v>1</v>
      </c>
      <c r="Q318" s="3" t="n">
        <f aca="false">Dummy_Variables!I319</f>
        <v>0</v>
      </c>
      <c r="R318" s="3" t="n">
        <f aca="false">Dummy_Variables!J319</f>
        <v>0</v>
      </c>
      <c r="S318" s="3" t="n">
        <f aca="false">Cleaned_Data!M319</f>
        <v>712375.77</v>
      </c>
    </row>
    <row r="319" customFormat="false" ht="15" hidden="false" customHeight="true" outlineLevel="0" collapsed="false">
      <c r="A319" s="3" t="str">
        <f aca="false">Cleaned_Data!A320</f>
        <v>STR-1079</v>
      </c>
      <c r="B319" s="4" t="n">
        <f aca="false">Cleaned_Data!B320</f>
        <v>45748</v>
      </c>
      <c r="C319" s="3" t="str">
        <f aca="false">Cleaned_Data!C320</f>
        <v>North</v>
      </c>
      <c r="D319" s="3" t="str">
        <f aca="false">Cleaned_Data!D320</f>
        <v>Residential</v>
      </c>
      <c r="E319" s="3" t="n">
        <f aca="false">Cleaned_Data!E320</f>
        <v>66456.28</v>
      </c>
      <c r="F319" s="3" t="n">
        <f aca="false">Cleaned_Data!F320</f>
        <v>9967</v>
      </c>
      <c r="G319" s="3" t="n">
        <f aca="false">Cleaned_Data!G320</f>
        <v>0.108</v>
      </c>
      <c r="H319" s="3" t="n">
        <f aca="false">Cleaned_Data!H320</f>
        <v>20</v>
      </c>
      <c r="I319" s="3" t="n">
        <f aca="false">Cleaned_Data!I320</f>
        <v>94.7</v>
      </c>
      <c r="J319" s="3" t="n">
        <f aca="false">Cleaned_Data!J320</f>
        <v>4.48</v>
      </c>
      <c r="K319" s="3" t="n">
        <f aca="false">Cleaned_Data!K320</f>
        <v>0</v>
      </c>
      <c r="L319" s="3" t="n">
        <f aca="false">Cleaned_Data!L320</f>
        <v>4.2</v>
      </c>
      <c r="M319" s="3" t="n">
        <f aca="false">Dummy_Variables!E320</f>
        <v>0</v>
      </c>
      <c r="N319" s="3" t="n">
        <f aca="false">Dummy_Variables!F320</f>
        <v>0</v>
      </c>
      <c r="O319" s="3" t="n">
        <f aca="false">Dummy_Variables!G320</f>
        <v>1</v>
      </c>
      <c r="P319" s="3" t="n">
        <f aca="false">Dummy_Variables!H320</f>
        <v>1</v>
      </c>
      <c r="Q319" s="3" t="n">
        <f aca="false">Dummy_Variables!I320</f>
        <v>0</v>
      </c>
      <c r="R319" s="3" t="n">
        <f aca="false">Dummy_Variables!J320</f>
        <v>0</v>
      </c>
      <c r="S319" s="3" t="n">
        <f aca="false">Cleaned_Data!M320</f>
        <v>844710.67</v>
      </c>
    </row>
    <row r="320" customFormat="false" ht="15" hidden="false" customHeight="true" outlineLevel="0" collapsed="false">
      <c r="A320" s="3" t="str">
        <f aca="false">Cleaned_Data!A321</f>
        <v>STR-1080</v>
      </c>
      <c r="B320" s="4" t="n">
        <f aca="false">Cleaned_Data!B321</f>
        <v>45658</v>
      </c>
      <c r="C320" s="3" t="str">
        <f aca="false">Cleaned_Data!C321</f>
        <v>East</v>
      </c>
      <c r="D320" s="3" t="str">
        <f aca="false">Cleaned_Data!D321</f>
        <v>Residential</v>
      </c>
      <c r="E320" s="3" t="n">
        <f aca="false">Cleaned_Data!E321</f>
        <v>76614.32</v>
      </c>
      <c r="F320" s="3" t="n">
        <f aca="false">Cleaned_Data!F321</f>
        <v>5639</v>
      </c>
      <c r="G320" s="3" t="n">
        <f aca="false">Cleaned_Data!G321</f>
        <v>0.174</v>
      </c>
      <c r="H320" s="3" t="n">
        <f aca="false">Cleaned_Data!H321</f>
        <v>15</v>
      </c>
      <c r="I320" s="3" t="n">
        <f aca="false">Cleaned_Data!I321</f>
        <v>92.9</v>
      </c>
      <c r="J320" s="3" t="n">
        <f aca="false">Cleaned_Data!J321</f>
        <v>1.02</v>
      </c>
      <c r="K320" s="3" t="n">
        <f aca="false">Cleaned_Data!K321</f>
        <v>1</v>
      </c>
      <c r="L320" s="3" t="n">
        <f aca="false">Cleaned_Data!L321</f>
        <v>4</v>
      </c>
      <c r="M320" s="3" t="n">
        <f aca="false">Dummy_Variables!E321</f>
        <v>0</v>
      </c>
      <c r="N320" s="3" t="n">
        <f aca="false">Dummy_Variables!F321</f>
        <v>0</v>
      </c>
      <c r="O320" s="3" t="n">
        <f aca="false">Dummy_Variables!G321</f>
        <v>1</v>
      </c>
      <c r="P320" s="3" t="n">
        <f aca="false">Dummy_Variables!H321</f>
        <v>0</v>
      </c>
      <c r="Q320" s="3" t="n">
        <f aca="false">Dummy_Variables!I321</f>
        <v>0</v>
      </c>
      <c r="R320" s="3" t="n">
        <f aca="false">Dummy_Variables!J321</f>
        <v>0</v>
      </c>
      <c r="S320" s="3" t="n">
        <f aca="false">Cleaned_Data!M321</f>
        <v>620264.2</v>
      </c>
    </row>
    <row r="321" customFormat="false" ht="15" hidden="false" customHeight="true" outlineLevel="0" collapsed="false">
      <c r="A321" s="3" t="str">
        <f aca="false">Cleaned_Data!A322</f>
        <v>STR-1080</v>
      </c>
      <c r="B321" s="4" t="n">
        <f aca="false">Cleaned_Data!B322</f>
        <v>45689</v>
      </c>
      <c r="C321" s="3" t="str">
        <f aca="false">Cleaned_Data!C322</f>
        <v>East</v>
      </c>
      <c r="D321" s="3" t="str">
        <f aca="false">Cleaned_Data!D322</f>
        <v>Residential</v>
      </c>
      <c r="E321" s="3" t="n">
        <f aca="false">Cleaned_Data!E322</f>
        <v>24088.06</v>
      </c>
      <c r="F321" s="3" t="n">
        <f aca="false">Cleaned_Data!F322</f>
        <v>3466</v>
      </c>
      <c r="G321" s="3" t="n">
        <f aca="false">Cleaned_Data!G322</f>
        <v>0</v>
      </c>
      <c r="H321" s="3" t="n">
        <f aca="false">Cleaned_Data!H322</f>
        <v>11</v>
      </c>
      <c r="I321" s="3" t="n">
        <f aca="false">Cleaned_Data!I322</f>
        <v>88</v>
      </c>
      <c r="J321" s="3" t="n">
        <f aca="false">Cleaned_Data!J322</f>
        <v>0.2</v>
      </c>
      <c r="K321" s="3" t="n">
        <f aca="false">Cleaned_Data!K322</f>
        <v>0</v>
      </c>
      <c r="L321" s="3" t="n">
        <f aca="false">Cleaned_Data!L322</f>
        <v>3.8</v>
      </c>
      <c r="M321" s="3" t="n">
        <f aca="false">Dummy_Variables!E322</f>
        <v>0</v>
      </c>
      <c r="N321" s="3" t="n">
        <f aca="false">Dummy_Variables!F322</f>
        <v>0</v>
      </c>
      <c r="O321" s="3" t="n">
        <f aca="false">Dummy_Variables!G322</f>
        <v>1</v>
      </c>
      <c r="P321" s="3" t="n">
        <f aca="false">Dummy_Variables!H322</f>
        <v>0</v>
      </c>
      <c r="Q321" s="3" t="n">
        <f aca="false">Dummy_Variables!I322</f>
        <v>0</v>
      </c>
      <c r="R321" s="3" t="n">
        <f aca="false">Dummy_Variables!J322</f>
        <v>0</v>
      </c>
      <c r="S321" s="3" t="n">
        <f aca="false">Cleaned_Data!M322</f>
        <v>536845.42</v>
      </c>
    </row>
    <row r="322" customFormat="false" ht="15" hidden="false" customHeight="true" outlineLevel="0" collapsed="false">
      <c r="A322" s="3" t="str">
        <f aca="false">Cleaned_Data!A323</f>
        <v>STR-1080</v>
      </c>
      <c r="B322" s="4" t="n">
        <f aca="false">Cleaned_Data!B323</f>
        <v>45717</v>
      </c>
      <c r="C322" s="3" t="str">
        <f aca="false">Cleaned_Data!C323</f>
        <v>East</v>
      </c>
      <c r="D322" s="3" t="str">
        <f aca="false">Cleaned_Data!D323</f>
        <v>Residential</v>
      </c>
      <c r="E322" s="3" t="n">
        <f aca="false">Cleaned_Data!E323</f>
        <v>81902.58</v>
      </c>
      <c r="F322" s="3" t="n">
        <f aca="false">Cleaned_Data!F323</f>
        <v>7775</v>
      </c>
      <c r="G322" s="3" t="n">
        <f aca="false">Cleaned_Data!G323</f>
        <v>0.215</v>
      </c>
      <c r="H322" s="3" t="n">
        <f aca="false">Cleaned_Data!H323</f>
        <v>20</v>
      </c>
      <c r="I322" s="3" t="n">
        <f aca="false">Cleaned_Data!I323</f>
        <v>85.2</v>
      </c>
      <c r="J322" s="3" t="n">
        <f aca="false">Cleaned_Data!J323</f>
        <v>4.89</v>
      </c>
      <c r="K322" s="3" t="n">
        <f aca="false">Cleaned_Data!K323</f>
        <v>1</v>
      </c>
      <c r="L322" s="3" t="n">
        <f aca="false">Cleaned_Data!L323</f>
        <v>4.2</v>
      </c>
      <c r="M322" s="3" t="n">
        <f aca="false">Dummy_Variables!E323</f>
        <v>0</v>
      </c>
      <c r="N322" s="3" t="n">
        <f aca="false">Dummy_Variables!F323</f>
        <v>0</v>
      </c>
      <c r="O322" s="3" t="n">
        <f aca="false">Dummy_Variables!G323</f>
        <v>1</v>
      </c>
      <c r="P322" s="3" t="n">
        <f aca="false">Dummy_Variables!H323</f>
        <v>0</v>
      </c>
      <c r="Q322" s="3" t="n">
        <f aca="false">Dummy_Variables!I323</f>
        <v>0</v>
      </c>
      <c r="R322" s="3" t="n">
        <f aca="false">Dummy_Variables!J323</f>
        <v>0</v>
      </c>
      <c r="S322" s="3" t="n">
        <f aca="false">Cleaned_Data!M323</f>
        <v>726776.22</v>
      </c>
    </row>
    <row r="323" customFormat="false" ht="15" hidden="false" customHeight="true" outlineLevel="0" collapsed="false">
      <c r="A323" s="3" t="str">
        <f aca="false">Cleaned_Data!A324</f>
        <v>STR-1080</v>
      </c>
      <c r="B323" s="4" t="n">
        <f aca="false">Cleaned_Data!B324</f>
        <v>45748</v>
      </c>
      <c r="C323" s="3" t="str">
        <f aca="false">Cleaned_Data!C324</f>
        <v>East</v>
      </c>
      <c r="D323" s="3" t="str">
        <f aca="false">Cleaned_Data!D324</f>
        <v>Residential</v>
      </c>
      <c r="E323" s="3" t="n">
        <f aca="false">Cleaned_Data!E324</f>
        <v>40553.11</v>
      </c>
      <c r="F323" s="3" t="n">
        <f aca="false">Cleaned_Data!F324</f>
        <v>5317</v>
      </c>
      <c r="G323" s="3" t="n">
        <f aca="false">Cleaned_Data!G324</f>
        <v>0.165</v>
      </c>
      <c r="H323" s="3" t="n">
        <f aca="false">Cleaned_Data!H324</f>
        <v>17</v>
      </c>
      <c r="I323" s="3" t="n">
        <f aca="false">Cleaned_Data!I324</f>
        <v>84.3</v>
      </c>
      <c r="J323" s="3" t="n">
        <f aca="false">Cleaned_Data!J324</f>
        <v>11.82</v>
      </c>
      <c r="K323" s="3" t="n">
        <f aca="false">Cleaned_Data!K324</f>
        <v>0</v>
      </c>
      <c r="L323" s="3" t="n">
        <f aca="false">Cleaned_Data!L324</f>
        <v>4.1</v>
      </c>
      <c r="M323" s="3" t="n">
        <f aca="false">Dummy_Variables!E324</f>
        <v>0</v>
      </c>
      <c r="N323" s="3" t="n">
        <f aca="false">Dummy_Variables!F324</f>
        <v>0</v>
      </c>
      <c r="O323" s="3" t="n">
        <f aca="false">Dummy_Variables!G324</f>
        <v>1</v>
      </c>
      <c r="P323" s="3" t="n">
        <f aca="false">Dummy_Variables!H324</f>
        <v>0</v>
      </c>
      <c r="Q323" s="3" t="n">
        <f aca="false">Dummy_Variables!I324</f>
        <v>0</v>
      </c>
      <c r="R323" s="3" t="n">
        <f aca="false">Dummy_Variables!J324</f>
        <v>0</v>
      </c>
      <c r="S323" s="3" t="n">
        <f aca="false">Cleaned_Data!M324</f>
        <v>559660.84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8" min="3" style="1" width="16"/>
  </cols>
  <sheetData>
    <row r="1" customFormat="false" ht="15.75" hidden="false" customHeight="true" outlineLevel="0" collapsed="false">
      <c r="A1" s="9" t="s">
        <v>115</v>
      </c>
      <c r="B1" s="9"/>
      <c r="C1" s="9"/>
      <c r="D1" s="9"/>
      <c r="E1" s="9"/>
      <c r="F1" s="9"/>
      <c r="G1" s="9"/>
      <c r="H1" s="9"/>
    </row>
    <row r="3" customFormat="false" ht="15" hidden="false" customHeight="true" outlineLevel="0" collapsed="false">
      <c r="A3" s="10" t="s">
        <v>116</v>
      </c>
      <c r="B3" s="10"/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6" t="s">
        <v>117</v>
      </c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B5" s="11" t="n">
        <f aca="false">INDEX(LINEST(Model_Data!S4:S323,Model_Data!E4:E323,TRUE(),TRUE()),1,1)</f>
        <v>2.12957532758983</v>
      </c>
    </row>
    <row r="11" customFormat="false" ht="15" hidden="false" customHeight="true" outlineLevel="0" collapsed="false">
      <c r="A11" s="12" t="s">
        <v>118</v>
      </c>
      <c r="B11" s="11" t="n">
        <f aca="false">INDEX(LINEST(Model_Data!S4:S323,Model_Data!E4:E323,TRUE(),TRUE()),1,1)</f>
        <v>2.12957532758983</v>
      </c>
    </row>
    <row r="12" customFormat="false" ht="15" hidden="false" customHeight="true" outlineLevel="0" collapsed="false">
      <c r="A12" s="12" t="s">
        <v>119</v>
      </c>
      <c r="B12" s="11" t="n">
        <f aca="false">INDEX(LINEST(Model_Data!S4:S323,Model_Data!E4:E323,TRUE(),TRUE()),1,2)</f>
        <v>560777.345449437</v>
      </c>
    </row>
    <row r="13" customFormat="false" ht="15" hidden="false" customHeight="true" outlineLevel="0" collapsed="false">
      <c r="A13" s="12" t="s">
        <v>120</v>
      </c>
      <c r="B13" s="11" t="n">
        <f aca="false">INDEX(LINEST(Model_Data!S4:S323,Model_Data!E4:E323,TRUE(),TRUE()),2,1)</f>
        <v>0.266478381069324</v>
      </c>
    </row>
    <row r="14" customFormat="false" ht="15" hidden="false" customHeight="true" outlineLevel="0" collapsed="false">
      <c r="A14" s="12" t="s">
        <v>121</v>
      </c>
      <c r="B14" s="13" t="n">
        <f aca="false">INDEX(LINEST(Model_Data!S4:S323,Model_Data!E4:E323,TRUE(),TRUE()),3,1)</f>
        <v>0.16724469112487</v>
      </c>
    </row>
    <row r="15" customFormat="false" ht="15" hidden="false" customHeight="true" outlineLevel="0" collapsed="false">
      <c r="A15" s="12" t="s">
        <v>122</v>
      </c>
      <c r="B15" s="13" t="n">
        <f aca="false">INDEX(LINEST(Model_Data!S4:S323,Model_Data!E4:E323,TRUE(),TRUE()),4,1)</f>
        <v>63.8648726833676</v>
      </c>
    </row>
    <row r="16" customFormat="false" ht="15" hidden="false" customHeight="true" outlineLevel="0" collapsed="false">
      <c r="A16" s="12" t="s">
        <v>123</v>
      </c>
      <c r="B16" s="13" t="n">
        <f aca="false">INDEX(LINEST(Model_Data!S4:S323,Model_Data!E4:E323,TRUE(),TRUE()),4,2)</f>
        <v>318</v>
      </c>
    </row>
    <row r="17" customFormat="false" ht="15" hidden="false" customHeight="true" outlineLevel="0" collapsed="false">
      <c r="A17" s="12" t="s">
        <v>124</v>
      </c>
      <c r="B17" s="13" t="n">
        <f aca="false">INDEX(LINEST(Model_Data!S4:S323,Model_Data!E4:E323,TRUE(),TRUE()),1,1)/INDEX(LINEST(Model_Data!S4:S323,Model_Data!E4:E323,TRUE(),TRUE()),2,1)</f>
        <v>7.99155008013887</v>
      </c>
    </row>
    <row r="18" customFormat="false" ht="15" hidden="false" customHeight="true" outlineLevel="0" collapsed="false">
      <c r="A18" s="12" t="s">
        <v>125</v>
      </c>
      <c r="B18" s="14" t="n">
        <f aca="false">TDIST(ABS(INDEX(LINEST(Model_Data!S4:S323,Model_Data!E4:E323,TRUE(),TRUE()),1,1)/INDEX(LINEST(Model_Data!S4:S323,Model_Data!E4:E323,TRUE(),TRUE()),2,1)),INDEX(LINEST(Model_Data!S4:S323,Model_Data!E4:E323,TRUE(),TRUE()),4,2),2)</f>
        <v>2.480061510136E-014</v>
      </c>
    </row>
    <row r="21" customFormat="false" ht="15" hidden="false" customHeight="true" outlineLevel="0" collapsed="false">
      <c r="A21" s="10" t="s">
        <v>126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6" t="s">
        <v>117</v>
      </c>
      <c r="B22" s="6"/>
      <c r="C22" s="6"/>
      <c r="D22" s="6"/>
      <c r="E22" s="6"/>
      <c r="F22" s="6"/>
      <c r="G22" s="6"/>
      <c r="H22" s="6"/>
    </row>
    <row r="23" customFormat="false" ht="15" hidden="false" customHeight="true" outlineLevel="0" collapsed="false">
      <c r="B23" s="11" t="n">
        <f aca="false">INDEX(LINEST(Model_Data!S4:S323,Model_Data!F4:F323,TRUE(),TRUE()),1,1)</f>
        <v>35.6780310726405</v>
      </c>
    </row>
    <row r="29" customFormat="false" ht="15" hidden="false" customHeight="true" outlineLevel="0" collapsed="false">
      <c r="A29" s="12" t="s">
        <v>118</v>
      </c>
      <c r="B29" s="11" t="n">
        <f aca="false">INDEX(LINEST(Model_Data!S4:S323,Model_Data!F4:F323,TRUE(),TRUE()),1,1)</f>
        <v>35.6780310726405</v>
      </c>
    </row>
    <row r="30" customFormat="false" ht="15" hidden="false" customHeight="true" outlineLevel="0" collapsed="false">
      <c r="A30" s="12" t="s">
        <v>119</v>
      </c>
      <c r="B30" s="11" t="n">
        <f aca="false">INDEX(LINEST(Model_Data!S4:S323,Model_Data!F4:F323,TRUE(),TRUE()),1,2)</f>
        <v>446410.582933954</v>
      </c>
    </row>
    <row r="31" customFormat="false" ht="15" hidden="false" customHeight="true" outlineLevel="0" collapsed="false">
      <c r="A31" s="12" t="s">
        <v>120</v>
      </c>
      <c r="B31" s="11" t="n">
        <f aca="false">INDEX(LINEST(Model_Data!S4:S323,Model_Data!F4:F323,TRUE(),TRUE()),2,1)</f>
        <v>1.19737828903408</v>
      </c>
    </row>
    <row r="32" customFormat="false" ht="15" hidden="false" customHeight="true" outlineLevel="0" collapsed="false">
      <c r="A32" s="12" t="s">
        <v>121</v>
      </c>
      <c r="B32" s="13" t="n">
        <f aca="false">INDEX(LINEST(Model_Data!S4:S323,Model_Data!F4:F323,TRUE(),TRUE()),3,1)</f>
        <v>0.736285340003311</v>
      </c>
    </row>
    <row r="33" customFormat="false" ht="15" hidden="false" customHeight="true" outlineLevel="0" collapsed="false">
      <c r="A33" s="12" t="s">
        <v>122</v>
      </c>
      <c r="B33" s="13" t="n">
        <f aca="false">INDEX(LINEST(Model_Data!S4:S323,Model_Data!F4:F323,TRUE(),TRUE()),4,1)</f>
        <v>887.84877611276</v>
      </c>
    </row>
    <row r="34" customFormat="false" ht="15" hidden="false" customHeight="true" outlineLevel="0" collapsed="false">
      <c r="A34" s="12" t="s">
        <v>123</v>
      </c>
      <c r="B34" s="13" t="n">
        <f aca="false">INDEX(LINEST(Model_Data!S4:S323,Model_Data!F4:F323,TRUE(),TRUE()),4,2)</f>
        <v>318</v>
      </c>
    </row>
    <row r="35" customFormat="false" ht="15" hidden="false" customHeight="true" outlineLevel="0" collapsed="false">
      <c r="A35" s="12" t="s">
        <v>124</v>
      </c>
      <c r="B35" s="13" t="n">
        <f aca="false">INDEX(LINEST(Model_Data!S4:S323,Model_Data!F4:F323,TRUE(),TRUE()),1,1)/INDEX(LINEST(Model_Data!S4:S323,Model_Data!F4:F323,TRUE(),TRUE()),2,1)</f>
        <v>29.7967913727764</v>
      </c>
    </row>
    <row r="36" customFormat="false" ht="15" hidden="false" customHeight="true" outlineLevel="0" collapsed="false">
      <c r="A36" s="12" t="s">
        <v>125</v>
      </c>
      <c r="B36" s="14" t="n">
        <f aca="false">TDIST(ABS(INDEX(LINEST(Model_Data!S4:S323,Model_Data!F4:F323,TRUE(),TRUE()),1,1)/INDEX(LINEST(Model_Data!S4:S323,Model_Data!F4:F323,TRUE(),TRUE()),2,1)),INDEX(LINEST(Model_Data!S4:S323,Model_Data!F4:F323,TRUE(),TRUE()),4,2),2)</f>
        <v>4.75036150900558E-094</v>
      </c>
    </row>
    <row r="39" customFormat="false" ht="15" hidden="false" customHeight="true" outlineLevel="0" collapsed="false">
      <c r="A39" s="10" t="s">
        <v>127</v>
      </c>
      <c r="B39" s="10"/>
      <c r="C39" s="10"/>
      <c r="D39" s="10"/>
      <c r="E39" s="10"/>
      <c r="F39" s="10"/>
      <c r="G39" s="10"/>
      <c r="H39" s="10"/>
    </row>
    <row r="40" customFormat="false" ht="15" hidden="false" customHeight="true" outlineLevel="0" collapsed="false">
      <c r="A40" s="6" t="s">
        <v>117</v>
      </c>
      <c r="B40" s="6"/>
      <c r="C40" s="6"/>
      <c r="D40" s="6"/>
      <c r="E40" s="6"/>
      <c r="F40" s="6"/>
      <c r="G40" s="6"/>
      <c r="H40" s="6"/>
    </row>
    <row r="41" customFormat="false" ht="15" hidden="false" customHeight="true" outlineLevel="0" collapsed="false">
      <c r="B41" s="11" t="n">
        <f aca="false">INDEX(LINEST(Model_Data!S4:S323,Model_Data!G4:G323,TRUE(),TRUE()),1,1)</f>
        <v>-138730.454716381</v>
      </c>
    </row>
    <row r="47" customFormat="false" ht="15" hidden="false" customHeight="true" outlineLevel="0" collapsed="false">
      <c r="A47" s="12" t="s">
        <v>118</v>
      </c>
      <c r="B47" s="11" t="n">
        <f aca="false">INDEX(LINEST(Model_Data!S4:S323,Model_Data!G4:G323,TRUE(),TRUE()),1,1)</f>
        <v>-138730.454716381</v>
      </c>
    </row>
    <row r="48" customFormat="false" ht="15" hidden="false" customHeight="true" outlineLevel="0" collapsed="false">
      <c r="A48" s="12" t="s">
        <v>119</v>
      </c>
      <c r="B48" s="11" t="n">
        <f aca="false">INDEX(LINEST(Model_Data!S4:S323,Model_Data!G4:G323,TRUE(),TRUE()),1,2)</f>
        <v>697835.629586541</v>
      </c>
    </row>
    <row r="49" customFormat="false" ht="15" hidden="false" customHeight="true" outlineLevel="0" collapsed="false">
      <c r="A49" s="12" t="s">
        <v>120</v>
      </c>
      <c r="B49" s="11" t="n">
        <f aca="false">INDEX(LINEST(Model_Data!S4:S323,Model_Data!G4:G323,TRUE(),TRUE()),2,1)</f>
        <v>85086.3795796685</v>
      </c>
    </row>
    <row r="50" customFormat="false" ht="15" hidden="false" customHeight="true" outlineLevel="0" collapsed="false">
      <c r="A50" s="12" t="s">
        <v>121</v>
      </c>
      <c r="B50" s="13" t="n">
        <f aca="false">INDEX(LINEST(Model_Data!S4:S323,Model_Data!G4:G323,TRUE(),TRUE()),3,1)</f>
        <v>0.00829050302440034</v>
      </c>
    </row>
    <row r="51" customFormat="false" ht="15" hidden="false" customHeight="true" outlineLevel="0" collapsed="false">
      <c r="A51" s="12" t="s">
        <v>122</v>
      </c>
      <c r="B51" s="13" t="n">
        <f aca="false">INDEX(LINEST(Model_Data!S4:S323,Model_Data!G4:G323,TRUE(),TRUE()),4,1)</f>
        <v>2.65841959747228</v>
      </c>
    </row>
    <row r="52" customFormat="false" ht="15" hidden="false" customHeight="true" outlineLevel="0" collapsed="false">
      <c r="A52" s="12" t="s">
        <v>123</v>
      </c>
      <c r="B52" s="13" t="n">
        <f aca="false">INDEX(LINEST(Model_Data!S4:S323,Model_Data!G4:G323,TRUE(),TRUE()),4,2)</f>
        <v>318</v>
      </c>
    </row>
    <row r="53" customFormat="false" ht="15" hidden="false" customHeight="true" outlineLevel="0" collapsed="false">
      <c r="A53" s="12" t="s">
        <v>124</v>
      </c>
      <c r="B53" s="13" t="n">
        <f aca="false">INDEX(LINEST(Model_Data!S4:S323,Model_Data!G4:G323,TRUE(),TRUE()),1,1)/INDEX(LINEST(Model_Data!S4:S323,Model_Data!G4:G323,TRUE(),TRUE()),2,1)</f>
        <v>-1.63046606756236</v>
      </c>
    </row>
    <row r="54" customFormat="false" ht="15" hidden="false" customHeight="true" outlineLevel="0" collapsed="false">
      <c r="A54" s="12" t="s">
        <v>125</v>
      </c>
      <c r="B54" s="14" t="n">
        <f aca="false">TDIST(ABS(INDEX(LINEST(Model_Data!S4:S323,Model_Data!G4:G323,TRUE(),TRUE()),1,1)/INDEX(LINEST(Model_Data!S4:S323,Model_Data!G4:G323,TRUE(),TRUE()),2,1)),INDEX(LINEST(Model_Data!S4:S323,Model_Data!G4:G323,TRUE(),TRUE()),4,2),2)</f>
        <v>0.103993046419031</v>
      </c>
    </row>
    <row r="57" customFormat="false" ht="15" hidden="false" customHeight="true" outlineLevel="0" collapsed="false">
      <c r="A57" s="10" t="s">
        <v>128</v>
      </c>
      <c r="B57" s="10"/>
      <c r="C57" s="10"/>
      <c r="D57" s="10"/>
      <c r="E57" s="10"/>
      <c r="F57" s="10"/>
      <c r="G57" s="10"/>
      <c r="H57" s="10"/>
    </row>
    <row r="58" customFormat="false" ht="15" hidden="false" customHeight="true" outlineLevel="0" collapsed="false">
      <c r="A58" s="6" t="s">
        <v>117</v>
      </c>
      <c r="B58" s="6"/>
      <c r="C58" s="6"/>
      <c r="D58" s="6"/>
      <c r="E58" s="6"/>
      <c r="F58" s="6"/>
      <c r="G58" s="6"/>
      <c r="H58" s="6"/>
    </row>
    <row r="59" customFormat="false" ht="15" hidden="false" customHeight="true" outlineLevel="0" collapsed="false">
      <c r="B59" s="11" t="n">
        <f aca="false">INDEX(LINEST(Model_Data!S4:S323,Model_Data!I4:I323,TRUE(),TRUE()),1,1)</f>
        <v>2217.83194099892</v>
      </c>
    </row>
    <row r="65" customFormat="false" ht="15" hidden="false" customHeight="true" outlineLevel="0" collapsed="false">
      <c r="A65" s="12" t="s">
        <v>118</v>
      </c>
      <c r="B65" s="11" t="n">
        <f aca="false">INDEX(LINEST(Model_Data!S4:S323,Model_Data!I4:I323,TRUE(),TRUE()),1,1)</f>
        <v>2217.83194099892</v>
      </c>
    </row>
    <row r="66" customFormat="false" ht="15" hidden="false" customHeight="true" outlineLevel="0" collapsed="false">
      <c r="A66" s="12" t="s">
        <v>119</v>
      </c>
      <c r="B66" s="11" t="n">
        <f aca="false">INDEX(LINEST(Model_Data!S4:S323,Model_Data!I4:I323,TRUE(),TRUE()),1,2)</f>
        <v>484814.25658676</v>
      </c>
    </row>
    <row r="67" customFormat="false" ht="15" hidden="false" customHeight="true" outlineLevel="0" collapsed="false">
      <c r="A67" s="12" t="s">
        <v>120</v>
      </c>
      <c r="B67" s="11" t="n">
        <f aca="false">INDEX(LINEST(Model_Data!S4:S323,Model_Data!I4:I323,TRUE(),TRUE()),2,1)</f>
        <v>1078.85712124034</v>
      </c>
    </row>
    <row r="68" customFormat="false" ht="15" hidden="false" customHeight="true" outlineLevel="0" collapsed="false">
      <c r="A68" s="12" t="s">
        <v>121</v>
      </c>
      <c r="B68" s="13" t="n">
        <f aca="false">INDEX(LINEST(Model_Data!S4:S323,Model_Data!I4:I323,TRUE(),TRUE()),3,1)</f>
        <v>0.0131150159644044</v>
      </c>
    </row>
    <row r="69" customFormat="false" ht="15" hidden="false" customHeight="true" outlineLevel="0" collapsed="false">
      <c r="A69" s="12" t="s">
        <v>122</v>
      </c>
      <c r="B69" s="13" t="n">
        <f aca="false">INDEX(LINEST(Model_Data!S4:S323,Model_Data!I4:I323,TRUE(),TRUE()),4,1)</f>
        <v>4.22599912263957</v>
      </c>
    </row>
    <row r="70" customFormat="false" ht="15" hidden="false" customHeight="true" outlineLevel="0" collapsed="false">
      <c r="A70" s="12" t="s">
        <v>123</v>
      </c>
      <c r="B70" s="13" t="n">
        <f aca="false">INDEX(LINEST(Model_Data!S4:S323,Model_Data!I4:I323,TRUE(),TRUE()),4,2)</f>
        <v>318</v>
      </c>
    </row>
    <row r="71" customFormat="false" ht="15" hidden="false" customHeight="true" outlineLevel="0" collapsed="false">
      <c r="A71" s="12" t="s">
        <v>124</v>
      </c>
      <c r="B71" s="13" t="n">
        <f aca="false">INDEX(LINEST(Model_Data!S4:S323,Model_Data!I4:I323,TRUE(),TRUE()),1,1)/INDEX(LINEST(Model_Data!S4:S323,Model_Data!I4:I323,TRUE(),TRUE()),2,1)</f>
        <v>2.05572350345069</v>
      </c>
    </row>
    <row r="72" customFormat="false" ht="15" hidden="false" customHeight="true" outlineLevel="0" collapsed="false">
      <c r="A72" s="12" t="s">
        <v>125</v>
      </c>
      <c r="B72" s="14" t="n">
        <f aca="false">TDIST(ABS(INDEX(LINEST(Model_Data!S4:S323,Model_Data!I4:I323,TRUE(),TRUE()),1,1)/INDEX(LINEST(Model_Data!S4:S323,Model_Data!I4:I323,TRUE(),TRUE()),2,1)),INDEX(LINEST(Model_Data!S4:S323,Model_Data!I4:I323,TRUE(),TRUE()),4,2),2)</f>
        <v>0.0406252966301654</v>
      </c>
    </row>
    <row r="75" customFormat="false" ht="15" hidden="false" customHeight="true" outlineLevel="0" collapsed="false">
      <c r="A75" s="10" t="s">
        <v>129</v>
      </c>
      <c r="B75" s="10"/>
      <c r="C75" s="10"/>
      <c r="D75" s="10"/>
      <c r="E75" s="10"/>
      <c r="F75" s="10"/>
      <c r="G75" s="10"/>
      <c r="H75" s="10"/>
    </row>
    <row r="76" customFormat="false" ht="15" hidden="false" customHeight="true" outlineLevel="0" collapsed="false">
      <c r="A76" s="6" t="s">
        <v>117</v>
      </c>
      <c r="B76" s="6"/>
      <c r="C76" s="6"/>
      <c r="D76" s="6"/>
      <c r="E76" s="6"/>
      <c r="F76" s="6"/>
      <c r="G76" s="6"/>
      <c r="H76" s="6"/>
    </row>
    <row r="77" customFormat="false" ht="15" hidden="false" customHeight="true" outlineLevel="0" collapsed="false">
      <c r="B77" s="11" t="n">
        <f aca="false">INDEX(LINEST(Model_Data!S4:S323,Model_Data!L4:L323,TRUE(),TRUE()),1,1)</f>
        <v>-5284.8663175153</v>
      </c>
    </row>
    <row r="83" customFormat="false" ht="15" hidden="false" customHeight="true" outlineLevel="0" collapsed="false">
      <c r="A83" s="12" t="s">
        <v>118</v>
      </c>
      <c r="B83" s="11" t="n">
        <f aca="false">INDEX(LINEST(Model_Data!S4:S323,Model_Data!L4:L323,TRUE(),TRUE()),1,1)</f>
        <v>-5284.8663175153</v>
      </c>
    </row>
    <row r="84" customFormat="false" ht="15" hidden="false" customHeight="true" outlineLevel="0" collapsed="false">
      <c r="A84" s="12" t="s">
        <v>119</v>
      </c>
      <c r="B84" s="11" t="n">
        <f aca="false">INDEX(LINEST(Model_Data!S4:S323,Model_Data!L4:L323,TRUE(),TRUE()),1,2)</f>
        <v>701366.863609075</v>
      </c>
    </row>
    <row r="85" customFormat="false" ht="15" hidden="false" customHeight="true" outlineLevel="0" collapsed="false">
      <c r="A85" s="12" t="s">
        <v>120</v>
      </c>
      <c r="B85" s="11" t="n">
        <f aca="false">INDEX(LINEST(Model_Data!S4:S323,Model_Data!L4:L323,TRUE(),TRUE()),2,1)</f>
        <v>11209.8613113672</v>
      </c>
    </row>
    <row r="86" customFormat="false" ht="15" hidden="false" customHeight="true" outlineLevel="0" collapsed="false">
      <c r="A86" s="12" t="s">
        <v>121</v>
      </c>
      <c r="B86" s="13" t="n">
        <f aca="false">INDEX(LINEST(Model_Data!S4:S323,Model_Data!L4:L323,TRUE(),TRUE()),3,1)</f>
        <v>0.000698452655965146</v>
      </c>
    </row>
    <row r="87" customFormat="false" ht="15" hidden="false" customHeight="true" outlineLevel="0" collapsed="false">
      <c r="A87" s="12" t="s">
        <v>122</v>
      </c>
      <c r="B87" s="13" t="n">
        <f aca="false">INDEX(LINEST(Model_Data!S4:S323,Model_Data!L4:L323,TRUE(),TRUE()),4,1)</f>
        <v>0.222263184908739</v>
      </c>
    </row>
    <row r="88" customFormat="false" ht="15" hidden="false" customHeight="true" outlineLevel="0" collapsed="false">
      <c r="A88" s="12" t="s">
        <v>123</v>
      </c>
      <c r="B88" s="13" t="n">
        <f aca="false">INDEX(LINEST(Model_Data!S4:S323,Model_Data!L4:L323,TRUE(),TRUE()),4,2)</f>
        <v>318</v>
      </c>
    </row>
    <row r="89" customFormat="false" ht="15" hidden="false" customHeight="true" outlineLevel="0" collapsed="false">
      <c r="A89" s="12" t="s">
        <v>124</v>
      </c>
      <c r="B89" s="13" t="n">
        <f aca="false">INDEX(LINEST(Model_Data!S4:S323,Model_Data!L4:L323,TRUE(),TRUE()),1,1)/INDEX(LINEST(Model_Data!S4:S323,Model_Data!L4:L323,TRUE(),TRUE()),2,1)</f>
        <v>-0.471447966279142</v>
      </c>
    </row>
    <row r="90" customFormat="false" ht="15" hidden="false" customHeight="true" outlineLevel="0" collapsed="false">
      <c r="A90" s="12" t="s">
        <v>125</v>
      </c>
      <c r="B90" s="14" t="n">
        <f aca="false">TDIST(ABS(INDEX(LINEST(Model_Data!S4:S323,Model_Data!L4:L323,TRUE(),TRUE()),1,1)/INDEX(LINEST(Model_Data!S4:S323,Model_Data!L4:L323,TRUE(),TRUE()),2,1)),INDEX(LINEST(Model_Data!S4:S323,Model_Data!L4:L323,TRUE(),TRUE()),4,2),2)</f>
        <v>0.637644151039515</v>
      </c>
    </row>
  </sheetData>
  <mergeCells count="11">
    <mergeCell ref="A1:H1"/>
    <mergeCell ref="A3:H3"/>
    <mergeCell ref="A4:H4"/>
    <mergeCell ref="A21:H21"/>
    <mergeCell ref="A22:H22"/>
    <mergeCell ref="A39:H39"/>
    <mergeCell ref="A40:H40"/>
    <mergeCell ref="A57:H57"/>
    <mergeCell ref="A58:H58"/>
    <mergeCell ref="A75:H75"/>
    <mergeCell ref="A76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R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8" min="11" style="1" width="16"/>
  </cols>
  <sheetData>
    <row r="1" customFormat="false" ht="15.75" hidden="false" customHeight="true" outlineLevel="0" collapsed="false">
      <c r="A1" s="15" t="s">
        <v>130</v>
      </c>
    </row>
    <row r="2" customFormat="false" ht="15" hidden="false" customHeight="true" outlineLevel="0" collapsed="false">
      <c r="A2" s="6" t="s">
        <v>131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23.25" hidden="false" customHeight="true" outlineLevel="0" collapsed="false">
      <c r="A4" s="8" t="s">
        <v>5</v>
      </c>
      <c r="B4" s="8" t="s">
        <v>4</v>
      </c>
      <c r="C4" s="8" t="s">
        <v>8</v>
      </c>
      <c r="D4" s="8" t="s">
        <v>6</v>
      </c>
      <c r="E4" s="8" t="s">
        <v>108</v>
      </c>
      <c r="F4" s="8" t="s">
        <v>109</v>
      </c>
      <c r="G4" s="8" t="s">
        <v>110</v>
      </c>
      <c r="H4" s="8" t="s">
        <v>12</v>
      </c>
      <c r="K4" s="10" t="s">
        <v>132</v>
      </c>
      <c r="L4" s="10"/>
      <c r="M4" s="10"/>
      <c r="N4" s="10"/>
      <c r="O4" s="10"/>
      <c r="P4" s="10"/>
      <c r="Q4" s="10"/>
      <c r="R4" s="10"/>
    </row>
    <row r="5" customFormat="false" ht="15" hidden="false" customHeight="true" outlineLevel="0" collapsed="false">
      <c r="A5" s="3" t="n">
        <f aca="false">Model_Data!F4</f>
        <v>8302</v>
      </c>
      <c r="B5" s="3" t="n">
        <f aca="false">Model_Data!E4</f>
        <v>70389.11</v>
      </c>
      <c r="C5" s="3" t="n">
        <f aca="false">Model_Data!I4</f>
        <v>75</v>
      </c>
      <c r="D5" s="3" t="n">
        <f aca="false">Model_Data!G4</f>
        <v>0.042</v>
      </c>
      <c r="E5" s="3" t="n">
        <f aca="false">Model_Data!M4</f>
        <v>0</v>
      </c>
      <c r="F5" s="3" t="n">
        <f aca="false">Model_Data!N4</f>
        <v>0</v>
      </c>
      <c r="G5" s="3" t="n">
        <f aca="false">Model_Data!O4</f>
        <v>1</v>
      </c>
      <c r="H5" s="3" t="n">
        <f aca="false">Model_Data!S4</f>
        <v>658832.62</v>
      </c>
      <c r="K5" s="6" t="s">
        <v>133</v>
      </c>
      <c r="L5" s="6"/>
      <c r="M5" s="6"/>
      <c r="N5" s="6"/>
      <c r="O5" s="6"/>
      <c r="P5" s="6"/>
      <c r="Q5" s="6"/>
      <c r="R5" s="6"/>
    </row>
    <row r="6" customFormat="false" ht="15" hidden="false" customHeight="true" outlineLevel="0" collapsed="false">
      <c r="A6" s="3" t="n">
        <f aca="false">Model_Data!F5</f>
        <v>8487</v>
      </c>
      <c r="B6" s="3" t="n">
        <f aca="false">Model_Data!E5</f>
        <v>43827.89</v>
      </c>
      <c r="C6" s="3" t="n">
        <f aca="false">Model_Data!I5</f>
        <v>84.4</v>
      </c>
      <c r="D6" s="3" t="n">
        <f aca="false">Model_Data!G5</f>
        <v>0.168</v>
      </c>
      <c r="E6" s="3" t="n">
        <f aca="false">Model_Data!M5</f>
        <v>0</v>
      </c>
      <c r="F6" s="3" t="n">
        <f aca="false">Model_Data!N5</f>
        <v>0</v>
      </c>
      <c r="G6" s="3" t="n">
        <f aca="false">Model_Data!O5</f>
        <v>1</v>
      </c>
      <c r="H6" s="3" t="n">
        <f aca="false">Model_Data!S5</f>
        <v>634436</v>
      </c>
      <c r="K6" s="11" t="n">
        <f aca="false">INDEX(LINEST(H5:H324,A5:G324,TRUE(),TRUE()),1,1)</f>
        <v>-16575.8477162945</v>
      </c>
    </row>
    <row r="7" customFormat="false" ht="15" hidden="false" customHeight="true" outlineLevel="0" collapsed="false">
      <c r="A7" s="3" t="n">
        <f aca="false">Model_Data!F6</f>
        <v>9113</v>
      </c>
      <c r="B7" s="3" t="n">
        <f aca="false">Model_Data!E6</f>
        <v>59921.75</v>
      </c>
      <c r="C7" s="3" t="n">
        <f aca="false">Model_Data!I6</f>
        <v>88</v>
      </c>
      <c r="D7" s="3" t="n">
        <f aca="false">Model_Data!G6</f>
        <v>0.133</v>
      </c>
      <c r="E7" s="3" t="n">
        <f aca="false">Model_Data!M6</f>
        <v>0</v>
      </c>
      <c r="F7" s="3" t="n">
        <f aca="false">Model_Data!N6</f>
        <v>0</v>
      </c>
      <c r="G7" s="3" t="n">
        <f aca="false">Model_Data!O6</f>
        <v>1</v>
      </c>
      <c r="H7" s="3" t="n">
        <f aca="false">Model_Data!S6</f>
        <v>678722.06</v>
      </c>
    </row>
    <row r="8" customFormat="false" ht="15" hidden="false" customHeight="true" outlineLevel="0" collapsed="false">
      <c r="A8" s="3" t="n">
        <f aca="false">Model_Data!F7</f>
        <v>9431</v>
      </c>
      <c r="B8" s="3" t="n">
        <f aca="false">Model_Data!E7</f>
        <v>56856.63</v>
      </c>
      <c r="C8" s="3" t="n">
        <f aca="false">Model_Data!I7</f>
        <v>86.9</v>
      </c>
      <c r="D8" s="3" t="n">
        <f aca="false">Model_Data!G7</f>
        <v>0.142</v>
      </c>
      <c r="E8" s="3" t="n">
        <f aca="false">Model_Data!M7</f>
        <v>0</v>
      </c>
      <c r="F8" s="3" t="n">
        <f aca="false">Model_Data!N7</f>
        <v>0</v>
      </c>
      <c r="G8" s="3" t="n">
        <f aca="false">Model_Data!O7</f>
        <v>1</v>
      </c>
      <c r="H8" s="3" t="n">
        <f aca="false">Model_Data!S7</f>
        <v>658920.3</v>
      </c>
    </row>
    <row r="9" customFormat="false" ht="15" hidden="false" customHeight="true" outlineLevel="0" collapsed="false">
      <c r="A9" s="3" t="n">
        <f aca="false">Model_Data!F8</f>
        <v>9545</v>
      </c>
      <c r="B9" s="3" t="n">
        <f aca="false">Model_Data!E8</f>
        <v>48412.64</v>
      </c>
      <c r="C9" s="3" t="n">
        <f aca="false">Model_Data!I8</f>
        <v>97.6</v>
      </c>
      <c r="D9" s="3" t="n">
        <f aca="false">Model_Data!G8</f>
        <v>0.231</v>
      </c>
      <c r="E9" s="3" t="n">
        <f aca="false">Model_Data!M8</f>
        <v>0</v>
      </c>
      <c r="F9" s="3" t="n">
        <f aca="false">Model_Data!N8</f>
        <v>0</v>
      </c>
      <c r="G9" s="3" t="n">
        <f aca="false">Model_Data!O8</f>
        <v>0</v>
      </c>
      <c r="H9" s="3" t="n">
        <f aca="false">Model_Data!S8</f>
        <v>741341.44</v>
      </c>
    </row>
    <row r="10" customFormat="false" ht="15" hidden="false" customHeight="true" outlineLevel="0" collapsed="false">
      <c r="A10" s="3" t="n">
        <f aca="false">Model_Data!F9</f>
        <v>9792</v>
      </c>
      <c r="B10" s="3" t="n">
        <f aca="false">Model_Data!E9</f>
        <v>64811.21</v>
      </c>
      <c r="C10" s="3" t="n">
        <f aca="false">Model_Data!I9</f>
        <v>84.2</v>
      </c>
      <c r="D10" s="3" t="n">
        <f aca="false">Model_Data!G9</f>
        <v>0.112</v>
      </c>
      <c r="E10" s="3" t="n">
        <f aca="false">Model_Data!M9</f>
        <v>0</v>
      </c>
      <c r="F10" s="3" t="n">
        <f aca="false">Model_Data!N9</f>
        <v>0</v>
      </c>
      <c r="G10" s="3" t="n">
        <f aca="false">Model_Data!O9</f>
        <v>0</v>
      </c>
      <c r="H10" s="3" t="n">
        <f aca="false">Model_Data!S9</f>
        <v>761835.34</v>
      </c>
    </row>
    <row r="11" customFormat="false" ht="15" hidden="false" customHeight="true" outlineLevel="0" collapsed="false">
      <c r="A11" s="3" t="n">
        <f aca="false">Model_Data!F10</f>
        <v>10616</v>
      </c>
      <c r="B11" s="3" t="n">
        <f aca="false">Model_Data!E10</f>
        <v>46213.45</v>
      </c>
      <c r="C11" s="3" t="n">
        <f aca="false">Model_Data!I10</f>
        <v>85.2</v>
      </c>
      <c r="D11" s="3" t="n">
        <f aca="false">Model_Data!G10</f>
        <v>0.122</v>
      </c>
      <c r="E11" s="3" t="n">
        <f aca="false">Model_Data!M10</f>
        <v>0</v>
      </c>
      <c r="F11" s="3" t="n">
        <f aca="false">Model_Data!N10</f>
        <v>0</v>
      </c>
      <c r="G11" s="3" t="n">
        <f aca="false">Model_Data!O10</f>
        <v>0</v>
      </c>
      <c r="H11" s="3" t="n">
        <f aca="false">Model_Data!S10</f>
        <v>806615.54</v>
      </c>
      <c r="K11" s="2" t="s">
        <v>134</v>
      </c>
      <c r="L11" s="2" t="s">
        <v>135</v>
      </c>
      <c r="M11" s="2" t="s">
        <v>136</v>
      </c>
      <c r="N11" s="2" t="s">
        <v>137</v>
      </c>
      <c r="O11" s="2" t="s">
        <v>138</v>
      </c>
    </row>
    <row r="12" customFormat="false" ht="15" hidden="false" customHeight="true" outlineLevel="0" collapsed="false">
      <c r="A12" s="3" t="n">
        <f aca="false">Model_Data!F11</f>
        <v>8567</v>
      </c>
      <c r="B12" s="3" t="n">
        <f aca="false">Model_Data!E11</f>
        <v>68148.52</v>
      </c>
      <c r="C12" s="3" t="n">
        <f aca="false">Model_Data!I11</f>
        <v>95.6</v>
      </c>
      <c r="D12" s="3" t="n">
        <f aca="false">Model_Data!G11</f>
        <v>0.127</v>
      </c>
      <c r="E12" s="3" t="n">
        <f aca="false">Model_Data!M11</f>
        <v>0</v>
      </c>
      <c r="F12" s="3" t="n">
        <f aca="false">Model_Data!N11</f>
        <v>0</v>
      </c>
      <c r="G12" s="3" t="n">
        <f aca="false">Model_Data!O11</f>
        <v>0</v>
      </c>
      <c r="H12" s="3" t="n">
        <f aca="false">Model_Data!S11</f>
        <v>850164.26</v>
      </c>
      <c r="K12" s="3" t="s">
        <v>119</v>
      </c>
      <c r="L12" s="11" t="n">
        <f aca="false">INDEX(LINEST(H5:H324,A5:G324,TRUE(),TRUE()),1,8)</f>
        <v>136913.646906601</v>
      </c>
      <c r="M12" s="11" t="n">
        <f aca="false">INDEX(LINEST(H5:H324,A5:G324,TRUE(),TRUE()),2,8)</f>
        <v>43429.5101022359</v>
      </c>
      <c r="N12" s="16" t="n">
        <f aca="false">L12/M12</f>
        <v>3.15254872975306</v>
      </c>
      <c r="O12" s="14" t="n">
        <f aca="false">TDIST(ABS(N12),INDEX(LINEST(H5:H324,A5:G324,TRUE(),TRUE()),4,2),2)</f>
        <v>0.00177582455916619</v>
      </c>
    </row>
    <row r="13" customFormat="false" ht="15" hidden="false" customHeight="true" outlineLevel="0" collapsed="false">
      <c r="A13" s="3" t="n">
        <f aca="false">Model_Data!F12</f>
        <v>10979</v>
      </c>
      <c r="B13" s="3" t="n">
        <f aca="false">Model_Data!E12</f>
        <v>71838.86</v>
      </c>
      <c r="C13" s="3" t="n">
        <f aca="false">Model_Data!I12</f>
        <v>88.6</v>
      </c>
      <c r="D13" s="3" t="n">
        <f aca="false">Model_Data!G12</f>
        <v>0.215</v>
      </c>
      <c r="E13" s="3" t="n">
        <f aca="false">Model_Data!M12</f>
        <v>1</v>
      </c>
      <c r="F13" s="3" t="n">
        <f aca="false">Model_Data!N12</f>
        <v>0</v>
      </c>
      <c r="G13" s="3" t="n">
        <f aca="false">Model_Data!O12</f>
        <v>0</v>
      </c>
      <c r="H13" s="3" t="n">
        <f aca="false">Model_Data!S12</f>
        <v>930581.7</v>
      </c>
      <c r="K13" s="3" t="s">
        <v>139</v>
      </c>
      <c r="L13" s="11" t="n">
        <f aca="false">INDEX(LINEST(H5:H324,A5:G324,TRUE(),TRUE()),1,7)</f>
        <v>33.6644049854281</v>
      </c>
      <c r="M13" s="11" t="n">
        <f aca="false">INDEX(LINEST(H5:H324,A5:G324,TRUE(),TRUE()),2,7)</f>
        <v>1.03083431836507</v>
      </c>
      <c r="N13" s="16" t="n">
        <f aca="false">L13/M13</f>
        <v>32.6574352305429</v>
      </c>
      <c r="O13" s="14" t="n">
        <f aca="false">TDIST(ABS(N13),INDEX(LINEST(H5:H324,A5:G324,TRUE(),TRUE()),4,2),2)</f>
        <v>1.12226970686139E-102</v>
      </c>
    </row>
    <row r="14" customFormat="false" ht="15" hidden="false" customHeight="true" outlineLevel="0" collapsed="false">
      <c r="A14" s="3" t="n">
        <f aca="false">Model_Data!F13</f>
        <v>9459</v>
      </c>
      <c r="B14" s="3" t="n">
        <f aca="false">Model_Data!E13</f>
        <v>68133.44</v>
      </c>
      <c r="C14" s="3" t="n">
        <f aca="false">Model_Data!I13</f>
        <v>85</v>
      </c>
      <c r="D14" s="3" t="n">
        <f aca="false">Model_Data!G13</f>
        <v>0.22</v>
      </c>
      <c r="E14" s="3" t="n">
        <f aca="false">Model_Data!M13</f>
        <v>1</v>
      </c>
      <c r="F14" s="3" t="n">
        <f aca="false">Model_Data!N13</f>
        <v>0</v>
      </c>
      <c r="G14" s="3" t="n">
        <f aca="false">Model_Data!O13</f>
        <v>0</v>
      </c>
      <c r="H14" s="3" t="n">
        <f aca="false">Model_Data!S13</f>
        <v>779010.94</v>
      </c>
      <c r="K14" s="3" t="s">
        <v>140</v>
      </c>
      <c r="L14" s="11" t="n">
        <f aca="false">INDEX(LINEST(H5:H324,A5:G324,TRUE(),TRUE()),1,6)</f>
        <v>1.16549293495959</v>
      </c>
      <c r="M14" s="11" t="n">
        <f aca="false">INDEX(LINEST(H5:H324,A5:G324,TRUE(),TRUE()),2,6)</f>
        <v>0.12848737134901</v>
      </c>
      <c r="N14" s="16" t="n">
        <f aca="false">L14/M14</f>
        <v>9.07087539205518</v>
      </c>
      <c r="O14" s="14" t="n">
        <f aca="false">TDIST(ABS(N14),INDEX(LINEST(H5:H324,A5:G324,TRUE(),TRUE()),4,2),2)</f>
        <v>1.35554614073601E-017</v>
      </c>
    </row>
    <row r="15" customFormat="false" ht="15" hidden="false" customHeight="true" outlineLevel="0" collapsed="false">
      <c r="A15" s="3" t="n">
        <f aca="false">Model_Data!F14</f>
        <v>9172</v>
      </c>
      <c r="B15" s="3" t="n">
        <f aca="false">Model_Data!E14</f>
        <v>34285.21</v>
      </c>
      <c r="C15" s="3" t="n">
        <f aca="false">Model_Data!I14</f>
        <v>88.3</v>
      </c>
      <c r="D15" s="3" t="n">
        <f aca="false">Model_Data!G14</f>
        <v>0.213</v>
      </c>
      <c r="E15" s="3" t="n">
        <f aca="false">Model_Data!M14</f>
        <v>1</v>
      </c>
      <c r="F15" s="3" t="n">
        <f aca="false">Model_Data!N14</f>
        <v>0</v>
      </c>
      <c r="G15" s="3" t="n">
        <f aca="false">Model_Data!O14</f>
        <v>0</v>
      </c>
      <c r="H15" s="3" t="n">
        <f aca="false">Model_Data!S14</f>
        <v>723060.76</v>
      </c>
      <c r="K15" s="3" t="s">
        <v>141</v>
      </c>
      <c r="L15" s="11" t="n">
        <f aca="false">INDEX(LINEST(H5:H324,A5:G324,TRUE(),TRUE()),1,5)</f>
        <v>3001.19570526327</v>
      </c>
      <c r="M15" s="11" t="n">
        <f aca="false">INDEX(LINEST(H5:H324,A5:G324,TRUE(),TRUE()),2,5)</f>
        <v>466.597554341012</v>
      </c>
      <c r="N15" s="16" t="n">
        <f aca="false">L15/M15</f>
        <v>6.4320862322177</v>
      </c>
      <c r="O15" s="14" t="n">
        <f aca="false">TDIST(ABS(N15),INDEX(LINEST(H5:H324,A5:G324,TRUE(),TRUE()),4,2),2)</f>
        <v>4.72456846556907E-010</v>
      </c>
    </row>
    <row r="16" customFormat="false" ht="15" hidden="false" customHeight="true" outlineLevel="0" collapsed="false">
      <c r="A16" s="3" t="n">
        <f aca="false">Model_Data!F15</f>
        <v>11230</v>
      </c>
      <c r="B16" s="3" t="n">
        <f aca="false">Model_Data!E15</f>
        <v>67979.88</v>
      </c>
      <c r="C16" s="3" t="n">
        <f aca="false">Model_Data!I15</f>
        <v>85.3</v>
      </c>
      <c r="D16" s="3" t="n">
        <f aca="false">Model_Data!G15</f>
        <v>0.002</v>
      </c>
      <c r="E16" s="3" t="n">
        <f aca="false">Model_Data!M15</f>
        <v>1</v>
      </c>
      <c r="F16" s="3" t="n">
        <f aca="false">Model_Data!N15</f>
        <v>0</v>
      </c>
      <c r="G16" s="3" t="n">
        <f aca="false">Model_Data!O15</f>
        <v>0</v>
      </c>
      <c r="H16" s="3" t="n">
        <f aca="false">Model_Data!S15</f>
        <v>910791.94</v>
      </c>
      <c r="K16" s="3" t="s">
        <v>142</v>
      </c>
      <c r="L16" s="11" t="n">
        <f aca="false">INDEX(LINEST(H5:H324,A5:G324,TRUE(),TRUE()),1,4)</f>
        <v>-58920.8069366305</v>
      </c>
      <c r="M16" s="11" t="n">
        <f aca="false">INDEX(LINEST(H5:H324,A5:G324,TRUE(),TRUE()),2,4)</f>
        <v>36743.0208449695</v>
      </c>
      <c r="N16" s="16" t="n">
        <f aca="false">L16/M16</f>
        <v>-1.60359180006554</v>
      </c>
      <c r="O16" s="14" t="n">
        <f aca="false">TDIST(ABS(N16),INDEX(LINEST(H5:H324,A5:G324,TRUE(),TRUE()),4,2),2)</f>
        <v>0.109815855247753</v>
      </c>
    </row>
    <row r="17" customFormat="false" ht="15" hidden="false" customHeight="true" outlineLevel="0" collapsed="false">
      <c r="A17" s="3" t="n">
        <f aca="false">Model_Data!F16</f>
        <v>12775</v>
      </c>
      <c r="B17" s="3" t="n">
        <f aca="false">Model_Data!E16</f>
        <v>71828.26</v>
      </c>
      <c r="C17" s="3" t="n">
        <f aca="false">Model_Data!I16</f>
        <v>81.7</v>
      </c>
      <c r="D17" s="3" t="n">
        <f aca="false">Model_Data!G16</f>
        <v>0.116</v>
      </c>
      <c r="E17" s="3" t="n">
        <f aca="false">Model_Data!M16</f>
        <v>0</v>
      </c>
      <c r="F17" s="3" t="n">
        <f aca="false">Model_Data!N16</f>
        <v>0</v>
      </c>
      <c r="G17" s="3" t="n">
        <f aca="false">Model_Data!O16</f>
        <v>1</v>
      </c>
      <c r="H17" s="3" t="n">
        <f aca="false">Model_Data!S16</f>
        <v>922168.6</v>
      </c>
      <c r="K17" s="3" t="s">
        <v>143</v>
      </c>
      <c r="L17" s="11" t="n">
        <f aca="false">INDEX(LINEST(H5:H324,A5:G324,TRUE(),TRUE()),1,3)</f>
        <v>21905.7145520204</v>
      </c>
      <c r="M17" s="11" t="n">
        <f aca="false">INDEX(LINEST(H5:H324,A5:G324,TRUE(),TRUE()),2,3)</f>
        <v>9402.08757190117</v>
      </c>
      <c r="N17" s="16" t="n">
        <f aca="false">L17/M17</f>
        <v>2.32987774092716</v>
      </c>
      <c r="O17" s="14" t="n">
        <f aca="false">TDIST(ABS(N17),INDEX(LINEST(H5:H324,A5:G324,TRUE(),TRUE()),4,2),2)</f>
        <v>0.020450265191265</v>
      </c>
    </row>
    <row r="18" customFormat="false" ht="15" hidden="false" customHeight="true" outlineLevel="0" collapsed="false">
      <c r="A18" s="3" t="n">
        <f aca="false">Model_Data!F17</f>
        <v>10054</v>
      </c>
      <c r="B18" s="3" t="n">
        <f aca="false">Model_Data!E17</f>
        <v>55716.82</v>
      </c>
      <c r="C18" s="3" t="n">
        <f aca="false">Model_Data!I17</f>
        <v>84.9</v>
      </c>
      <c r="D18" s="3" t="n">
        <f aca="false">Model_Data!G17</f>
        <v>0.146</v>
      </c>
      <c r="E18" s="3" t="n">
        <f aca="false">Model_Data!M17</f>
        <v>0</v>
      </c>
      <c r="F18" s="3" t="n">
        <f aca="false">Model_Data!N17</f>
        <v>0</v>
      </c>
      <c r="G18" s="3" t="n">
        <f aca="false">Model_Data!O17</f>
        <v>1</v>
      </c>
      <c r="H18" s="3" t="n">
        <f aca="false">Model_Data!S17</f>
        <v>726606.28</v>
      </c>
      <c r="K18" s="3" t="s">
        <v>144</v>
      </c>
      <c r="L18" s="11" t="n">
        <f aca="false">INDEX(LINEST(H5:H324,A5:G324,TRUE(),TRUE()),1,2)</f>
        <v>11433.4637362924</v>
      </c>
      <c r="M18" s="11" t="n">
        <f aca="false">INDEX(LINEST(H5:H324,A5:G324,TRUE(),TRUE()),2,2)</f>
        <v>6578.0771839923</v>
      </c>
      <c r="N18" s="16" t="n">
        <f aca="false">L18/M18</f>
        <v>1.73811638515212</v>
      </c>
      <c r="O18" s="14" t="n">
        <f aca="false">TDIST(ABS(N18),INDEX(LINEST(H5:H324,A5:G324,TRUE(),TRUE()),4,2),2)</f>
        <v>0.0831769032816593</v>
      </c>
    </row>
    <row r="19" customFormat="false" ht="15" hidden="false" customHeight="true" outlineLevel="0" collapsed="false">
      <c r="A19" s="3" t="n">
        <f aca="false">Model_Data!F18</f>
        <v>8895</v>
      </c>
      <c r="B19" s="3" t="n">
        <f aca="false">Model_Data!E18</f>
        <v>59909.51</v>
      </c>
      <c r="C19" s="3" t="n">
        <f aca="false">Model_Data!I18</f>
        <v>88.8</v>
      </c>
      <c r="D19" s="3" t="n">
        <f aca="false">Model_Data!G18</f>
        <v>0.228</v>
      </c>
      <c r="E19" s="3" t="n">
        <f aca="false">Model_Data!M18</f>
        <v>0</v>
      </c>
      <c r="F19" s="3" t="n">
        <f aca="false">Model_Data!N18</f>
        <v>0</v>
      </c>
      <c r="G19" s="3" t="n">
        <f aca="false">Model_Data!O18</f>
        <v>1</v>
      </c>
      <c r="H19" s="3" t="n">
        <f aca="false">Model_Data!S18</f>
        <v>746501.09</v>
      </c>
      <c r="K19" s="3" t="s">
        <v>145</v>
      </c>
      <c r="L19" s="11" t="n">
        <f aca="false">INDEX(LINEST(H5:H324,A5:G324,TRUE(),TRUE()),1,1)</f>
        <v>-16575.8477162945</v>
      </c>
      <c r="M19" s="11" t="n">
        <f aca="false">INDEX(LINEST(H5:H324,A5:G324,TRUE(),TRUE()),2,1)</f>
        <v>6085.62668396437</v>
      </c>
      <c r="N19" s="16" t="n">
        <f aca="false">L19/M19</f>
        <v>-2.72377005312729</v>
      </c>
      <c r="O19" s="14" t="n">
        <f aca="false">TDIST(ABS(N19),INDEX(LINEST(H5:H324,A5:G324,TRUE(),TRUE()),4,2),2)</f>
        <v>0.00681772383411794</v>
      </c>
    </row>
    <row r="20" customFormat="false" ht="15" hidden="false" customHeight="true" outlineLevel="0" collapsed="false">
      <c r="A20" s="3" t="n">
        <f aca="false">Model_Data!F19</f>
        <v>10940</v>
      </c>
      <c r="B20" s="3" t="n">
        <f aca="false">Model_Data!E19</f>
        <v>75305.71</v>
      </c>
      <c r="C20" s="3" t="n">
        <f aca="false">Model_Data!I19</f>
        <v>76.5</v>
      </c>
      <c r="D20" s="3" t="n">
        <f aca="false">Model_Data!G19</f>
        <v>0.006</v>
      </c>
      <c r="E20" s="3" t="n">
        <f aca="false">Model_Data!M19</f>
        <v>0</v>
      </c>
      <c r="F20" s="3" t="n">
        <f aca="false">Model_Data!N19</f>
        <v>0</v>
      </c>
      <c r="G20" s="3" t="n">
        <f aca="false">Model_Data!O19</f>
        <v>1</v>
      </c>
      <c r="H20" s="3" t="n">
        <f aca="false">Model_Data!S19</f>
        <v>834017.02</v>
      </c>
    </row>
    <row r="21" customFormat="false" ht="15" hidden="false" customHeight="true" outlineLevel="0" collapsed="false">
      <c r="A21" s="3" t="n">
        <f aca="false">Model_Data!F20</f>
        <v>7057</v>
      </c>
      <c r="B21" s="3" t="n">
        <f aca="false">Model_Data!E20</f>
        <v>48804.22</v>
      </c>
      <c r="C21" s="3" t="n">
        <f aca="false">Model_Data!I20</f>
        <v>87.7</v>
      </c>
      <c r="D21" s="3" t="n">
        <f aca="false">Model_Data!G20</f>
        <v>0.005</v>
      </c>
      <c r="E21" s="3" t="n">
        <f aca="false">Model_Data!M20</f>
        <v>0</v>
      </c>
      <c r="F21" s="3" t="n">
        <f aca="false">Model_Data!N20</f>
        <v>0</v>
      </c>
      <c r="G21" s="3" t="n">
        <f aca="false">Model_Data!O20</f>
        <v>1</v>
      </c>
      <c r="H21" s="3" t="n">
        <f aca="false">Model_Data!S20</f>
        <v>666152.52</v>
      </c>
      <c r="K21" s="12" t="s">
        <v>121</v>
      </c>
      <c r="L21" s="13" t="n">
        <f aca="false">INDEX(LINEST(H5:H324,A5:G324,TRUE(),TRUE()),3,1)</f>
        <v>0.82139227683729</v>
      </c>
    </row>
    <row r="22" customFormat="false" ht="15" hidden="false" customHeight="true" outlineLevel="0" collapsed="false">
      <c r="A22" s="3" t="n">
        <f aca="false">Model_Data!F21</f>
        <v>4263</v>
      </c>
      <c r="B22" s="3" t="n">
        <f aca="false">Model_Data!E21</f>
        <v>59117.9</v>
      </c>
      <c r="C22" s="3" t="n">
        <f aca="false">Model_Data!I21</f>
        <v>87.6</v>
      </c>
      <c r="D22" s="3" t="n">
        <f aca="false">Model_Data!G21</f>
        <v>0.119</v>
      </c>
      <c r="E22" s="3" t="n">
        <f aca="false">Model_Data!M21</f>
        <v>0</v>
      </c>
      <c r="F22" s="3" t="n">
        <f aca="false">Model_Data!N21</f>
        <v>0</v>
      </c>
      <c r="G22" s="3" t="n">
        <f aca="false">Model_Data!O21</f>
        <v>1</v>
      </c>
      <c r="H22" s="3" t="n">
        <f aca="false">Model_Data!S21</f>
        <v>573155.19</v>
      </c>
      <c r="K22" s="12" t="s">
        <v>122</v>
      </c>
      <c r="L22" s="17" t="n">
        <f aca="false">INDEX(LINEST(H5:H324,A5:G324,TRUE(),TRUE()),4,1)</f>
        <v>204.977850609654</v>
      </c>
    </row>
    <row r="23" customFormat="false" ht="15" hidden="false" customHeight="true" outlineLevel="0" collapsed="false">
      <c r="A23" s="3" t="n">
        <f aca="false">Model_Data!F22</f>
        <v>5538</v>
      </c>
      <c r="B23" s="3" t="n">
        <f aca="false">Model_Data!E22</f>
        <v>78831.12</v>
      </c>
      <c r="C23" s="3" t="n">
        <f aca="false">Model_Data!I22</f>
        <v>94.1</v>
      </c>
      <c r="D23" s="3" t="n">
        <f aca="false">Model_Data!G22</f>
        <v>0</v>
      </c>
      <c r="E23" s="3" t="n">
        <f aca="false">Model_Data!M22</f>
        <v>0</v>
      </c>
      <c r="F23" s="3" t="n">
        <f aca="false">Model_Data!N22</f>
        <v>0</v>
      </c>
      <c r="G23" s="3" t="n">
        <f aca="false">Model_Data!O22</f>
        <v>1</v>
      </c>
      <c r="H23" s="3" t="n">
        <f aca="false">Model_Data!S22</f>
        <v>666573.2</v>
      </c>
      <c r="K23" s="12" t="s">
        <v>146</v>
      </c>
      <c r="L23" s="18" t="n">
        <f aca="false">INDEX(LINEST(H5:H324,A5:G324,TRUE(),TRUE()),4,2)</f>
        <v>312</v>
      </c>
    </row>
    <row r="24" customFormat="false" ht="15" hidden="false" customHeight="true" outlineLevel="0" collapsed="false">
      <c r="A24" s="3" t="n">
        <f aca="false">Model_Data!F23</f>
        <v>4865</v>
      </c>
      <c r="B24" s="3" t="n">
        <f aca="false">Model_Data!E23</f>
        <v>41441.93</v>
      </c>
      <c r="C24" s="3" t="n">
        <f aca="false">Model_Data!I23</f>
        <v>88.3</v>
      </c>
      <c r="D24" s="3" t="n">
        <f aca="false">Model_Data!G23</f>
        <v>0.158</v>
      </c>
      <c r="E24" s="3" t="n">
        <f aca="false">Model_Data!M23</f>
        <v>0</v>
      </c>
      <c r="F24" s="3" t="n">
        <f aca="false">Model_Data!N23</f>
        <v>0</v>
      </c>
      <c r="G24" s="3" t="n">
        <f aca="false">Model_Data!O23</f>
        <v>1</v>
      </c>
      <c r="H24" s="3" t="n">
        <f aca="false">Model_Data!S23</f>
        <v>591619.95</v>
      </c>
      <c r="K24" s="12" t="s">
        <v>147</v>
      </c>
      <c r="L24" s="3" t="n">
        <f aca="false">COUNT(H5:H324)</f>
        <v>320</v>
      </c>
    </row>
    <row r="25" customFormat="false" ht="15" hidden="false" customHeight="true" outlineLevel="0" collapsed="false">
      <c r="A25" s="3" t="n">
        <f aca="false">Model_Data!F24</f>
        <v>2822</v>
      </c>
      <c r="B25" s="3" t="n">
        <f aca="false">Model_Data!E24</f>
        <v>30356.28</v>
      </c>
      <c r="C25" s="3" t="n">
        <f aca="false">Model_Data!I24</f>
        <v>84.8</v>
      </c>
      <c r="D25" s="3" t="n">
        <f aca="false">Model_Data!G24</f>
        <v>0.231</v>
      </c>
      <c r="E25" s="3" t="n">
        <f aca="false">Model_Data!M24</f>
        <v>0</v>
      </c>
      <c r="F25" s="3" t="n">
        <f aca="false">Model_Data!N24</f>
        <v>0</v>
      </c>
      <c r="G25" s="3" t="n">
        <f aca="false">Model_Data!O24</f>
        <v>1</v>
      </c>
      <c r="H25" s="3" t="n">
        <f aca="false">Model_Data!S24</f>
        <v>415721.82</v>
      </c>
    </row>
    <row r="26" customFormat="false" ht="15" hidden="false" customHeight="true" outlineLevel="0" collapsed="false">
      <c r="A26" s="3" t="n">
        <f aca="false">Model_Data!F25</f>
        <v>2121</v>
      </c>
      <c r="B26" s="3" t="n">
        <f aca="false">Model_Data!E25</f>
        <v>33518.88</v>
      </c>
      <c r="C26" s="3" t="n">
        <f aca="false">Model_Data!I25</f>
        <v>88.5</v>
      </c>
      <c r="D26" s="3" t="n">
        <f aca="false">Model_Data!G25</f>
        <v>0.176</v>
      </c>
      <c r="E26" s="3" t="n">
        <f aca="false">Model_Data!M25</f>
        <v>0</v>
      </c>
      <c r="F26" s="3" t="n">
        <f aca="false">Model_Data!N25</f>
        <v>0</v>
      </c>
      <c r="G26" s="3" t="n">
        <f aca="false">Model_Data!O25</f>
        <v>1</v>
      </c>
      <c r="H26" s="3" t="n">
        <f aca="false">Model_Data!S25</f>
        <v>491905.13</v>
      </c>
    </row>
    <row r="27" customFormat="false" ht="15" hidden="false" customHeight="true" outlineLevel="0" collapsed="false">
      <c r="A27" s="3" t="n">
        <f aca="false">Model_Data!F26</f>
        <v>3364</v>
      </c>
      <c r="B27" s="3" t="n">
        <f aca="false">Model_Data!E26</f>
        <v>42267.37</v>
      </c>
      <c r="C27" s="3" t="n">
        <f aca="false">Model_Data!I26</f>
        <v>82</v>
      </c>
      <c r="D27" s="3" t="n">
        <f aca="false">Model_Data!G26</f>
        <v>0.16</v>
      </c>
      <c r="E27" s="3" t="n">
        <f aca="false">Model_Data!M26</f>
        <v>0</v>
      </c>
      <c r="F27" s="3" t="n">
        <f aca="false">Model_Data!N26</f>
        <v>0</v>
      </c>
      <c r="G27" s="3" t="n">
        <f aca="false">Model_Data!O26</f>
        <v>1</v>
      </c>
      <c r="H27" s="3" t="n">
        <f aca="false">Model_Data!S26</f>
        <v>555929.4</v>
      </c>
    </row>
    <row r="28" customFormat="false" ht="15" hidden="false" customHeight="true" outlineLevel="0" collapsed="false">
      <c r="A28" s="3" t="n">
        <f aca="false">Model_Data!F27</f>
        <v>2613</v>
      </c>
      <c r="B28" s="3" t="n">
        <f aca="false">Model_Data!E27</f>
        <v>62060.43</v>
      </c>
      <c r="C28" s="3" t="n">
        <f aca="false">Model_Data!I27</f>
        <v>92.1</v>
      </c>
      <c r="D28" s="3" t="n">
        <f aca="false">Model_Data!G27</f>
        <v>0.216</v>
      </c>
      <c r="E28" s="3" t="n">
        <f aca="false">Model_Data!M27</f>
        <v>0</v>
      </c>
      <c r="F28" s="3" t="n">
        <f aca="false">Model_Data!N27</f>
        <v>0</v>
      </c>
      <c r="G28" s="3" t="n">
        <f aca="false">Model_Data!O27</f>
        <v>1</v>
      </c>
      <c r="H28" s="3" t="n">
        <f aca="false">Model_Data!S27</f>
        <v>565810.99</v>
      </c>
    </row>
    <row r="29" customFormat="false" ht="15" hidden="false" customHeight="true" outlineLevel="0" collapsed="false">
      <c r="A29" s="3" t="n">
        <f aca="false">Model_Data!F28</f>
        <v>10218</v>
      </c>
      <c r="B29" s="3" t="n">
        <f aca="false">Model_Data!E28</f>
        <v>57696.69</v>
      </c>
      <c r="C29" s="3" t="n">
        <f aca="false">Model_Data!I28</f>
        <v>94.8</v>
      </c>
      <c r="D29" s="3" t="n">
        <f aca="false">Model_Data!G28</f>
        <v>0.121</v>
      </c>
      <c r="E29" s="3" t="n">
        <f aca="false">Model_Data!M28</f>
        <v>0</v>
      </c>
      <c r="F29" s="3" t="n">
        <f aca="false">Model_Data!N28</f>
        <v>1</v>
      </c>
      <c r="G29" s="3" t="n">
        <f aca="false">Model_Data!O28</f>
        <v>0</v>
      </c>
      <c r="H29" s="3" t="n">
        <f aca="false">Model_Data!S28</f>
        <v>811771.14</v>
      </c>
    </row>
    <row r="30" customFormat="false" ht="15" hidden="false" customHeight="true" outlineLevel="0" collapsed="false">
      <c r="A30" s="3" t="n">
        <f aca="false">Model_Data!F29</f>
        <v>8927</v>
      </c>
      <c r="B30" s="3" t="n">
        <f aca="false">Model_Data!E29</f>
        <v>172415.52</v>
      </c>
      <c r="C30" s="3" t="n">
        <f aca="false">Model_Data!I29</f>
        <v>86.2</v>
      </c>
      <c r="D30" s="3" t="n">
        <f aca="false">Model_Data!G29</f>
        <v>0.14</v>
      </c>
      <c r="E30" s="3" t="n">
        <f aca="false">Model_Data!M29</f>
        <v>0</v>
      </c>
      <c r="F30" s="3" t="n">
        <f aca="false">Model_Data!N29</f>
        <v>1</v>
      </c>
      <c r="G30" s="3" t="n">
        <f aca="false">Model_Data!O29</f>
        <v>0</v>
      </c>
      <c r="H30" s="3" t="n">
        <f aca="false">Model_Data!S29</f>
        <v>800451.94</v>
      </c>
    </row>
    <row r="31" customFormat="false" ht="15" hidden="false" customHeight="true" outlineLevel="0" collapsed="false">
      <c r="A31" s="3" t="n">
        <f aca="false">Model_Data!F30</f>
        <v>9315</v>
      </c>
      <c r="B31" s="3" t="n">
        <f aca="false">Model_Data!E30</f>
        <v>55270.52</v>
      </c>
      <c r="C31" s="3" t="n">
        <f aca="false">Model_Data!I30</f>
        <v>91.9</v>
      </c>
      <c r="D31" s="3" t="n">
        <f aca="false">Model_Data!G30</f>
        <v>0.169</v>
      </c>
      <c r="E31" s="3" t="n">
        <f aca="false">Model_Data!M30</f>
        <v>0</v>
      </c>
      <c r="F31" s="3" t="n">
        <f aca="false">Model_Data!N30</f>
        <v>1</v>
      </c>
      <c r="G31" s="3" t="n">
        <f aca="false">Model_Data!O30</f>
        <v>0</v>
      </c>
      <c r="H31" s="3" t="n">
        <f aca="false">Model_Data!S30</f>
        <v>783672.82</v>
      </c>
    </row>
    <row r="32" customFormat="false" ht="15" hidden="false" customHeight="true" outlineLevel="0" collapsed="false">
      <c r="A32" s="3" t="n">
        <f aca="false">Model_Data!F31</f>
        <v>7223</v>
      </c>
      <c r="B32" s="3" t="n">
        <f aca="false">Model_Data!E31</f>
        <v>52715.1</v>
      </c>
      <c r="C32" s="3" t="n">
        <f aca="false">Model_Data!I31</f>
        <v>84.2</v>
      </c>
      <c r="D32" s="3" t="n">
        <f aca="false">Model_Data!G31</f>
        <v>0.122</v>
      </c>
      <c r="E32" s="3" t="n">
        <f aca="false">Model_Data!M31</f>
        <v>0</v>
      </c>
      <c r="F32" s="3" t="n">
        <f aca="false">Model_Data!N31</f>
        <v>1</v>
      </c>
      <c r="G32" s="3" t="n">
        <f aca="false">Model_Data!O31</f>
        <v>0</v>
      </c>
      <c r="H32" s="3" t="n">
        <f aca="false">Model_Data!S31</f>
        <v>701641.97</v>
      </c>
    </row>
    <row r="33" customFormat="false" ht="15" hidden="false" customHeight="true" outlineLevel="0" collapsed="false">
      <c r="A33" s="3" t="n">
        <f aca="false">Model_Data!F32</f>
        <v>3988</v>
      </c>
      <c r="B33" s="3" t="n">
        <f aca="false">Model_Data!E32</f>
        <v>68600.62</v>
      </c>
      <c r="C33" s="3" t="n">
        <f aca="false">Model_Data!I32</f>
        <v>85</v>
      </c>
      <c r="D33" s="3" t="n">
        <f aca="false">Model_Data!G32</f>
        <v>0.124</v>
      </c>
      <c r="E33" s="3" t="n">
        <f aca="false">Model_Data!M32</f>
        <v>0</v>
      </c>
      <c r="F33" s="3" t="n">
        <f aca="false">Model_Data!N32</f>
        <v>0</v>
      </c>
      <c r="G33" s="3" t="n">
        <f aca="false">Model_Data!O32</f>
        <v>1</v>
      </c>
      <c r="H33" s="3" t="n">
        <f aca="false">Model_Data!S32</f>
        <v>511844.41</v>
      </c>
    </row>
    <row r="34" customFormat="false" ht="15" hidden="false" customHeight="true" outlineLevel="0" collapsed="false">
      <c r="A34" s="3" t="n">
        <f aca="false">Model_Data!F33</f>
        <v>2390</v>
      </c>
      <c r="B34" s="3" t="n">
        <f aca="false">Model_Data!E33</f>
        <v>63176.73</v>
      </c>
      <c r="C34" s="3" t="n">
        <f aca="false">Model_Data!I33</f>
        <v>87.5</v>
      </c>
      <c r="D34" s="3" t="n">
        <f aca="false">Model_Data!G33</f>
        <v>0.216</v>
      </c>
      <c r="E34" s="3" t="n">
        <f aca="false">Model_Data!M33</f>
        <v>0</v>
      </c>
      <c r="F34" s="3" t="n">
        <f aca="false">Model_Data!N33</f>
        <v>0</v>
      </c>
      <c r="G34" s="3" t="n">
        <f aca="false">Model_Data!O33</f>
        <v>1</v>
      </c>
      <c r="H34" s="3" t="n">
        <f aca="false">Model_Data!S33</f>
        <v>537383.79</v>
      </c>
    </row>
    <row r="35" customFormat="false" ht="15" hidden="false" customHeight="true" outlineLevel="0" collapsed="false">
      <c r="A35" s="3" t="n">
        <f aca="false">Model_Data!F34</f>
        <v>2471</v>
      </c>
      <c r="B35" s="3" t="n">
        <f aca="false">Model_Data!E34</f>
        <v>44970.08</v>
      </c>
      <c r="C35" s="3" t="n">
        <f aca="false">Model_Data!I34</f>
        <v>87.6</v>
      </c>
      <c r="D35" s="3" t="n">
        <f aca="false">Model_Data!G34</f>
        <v>0.136</v>
      </c>
      <c r="E35" s="3" t="n">
        <f aca="false">Model_Data!M34</f>
        <v>0</v>
      </c>
      <c r="F35" s="3" t="n">
        <f aca="false">Model_Data!N34</f>
        <v>0</v>
      </c>
      <c r="G35" s="3" t="n">
        <f aca="false">Model_Data!O34</f>
        <v>1</v>
      </c>
      <c r="H35" s="3" t="n">
        <f aca="false">Model_Data!S34</f>
        <v>500173.02</v>
      </c>
    </row>
    <row r="36" customFormat="false" ht="15" hidden="false" customHeight="true" outlineLevel="0" collapsed="false">
      <c r="A36" s="3" t="n">
        <f aca="false">Model_Data!F35</f>
        <v>971</v>
      </c>
      <c r="B36" s="3" t="n">
        <f aca="false">Model_Data!E35</f>
        <v>69816.35</v>
      </c>
      <c r="C36" s="3" t="n">
        <f aca="false">Model_Data!I35</f>
        <v>89.9</v>
      </c>
      <c r="D36" s="3" t="n">
        <f aca="false">Model_Data!G35</f>
        <v>0.168</v>
      </c>
      <c r="E36" s="3" t="n">
        <f aca="false">Model_Data!M35</f>
        <v>0</v>
      </c>
      <c r="F36" s="3" t="n">
        <f aca="false">Model_Data!N35</f>
        <v>0</v>
      </c>
      <c r="G36" s="3" t="n">
        <f aca="false">Model_Data!O35</f>
        <v>1</v>
      </c>
      <c r="H36" s="3" t="n">
        <f aca="false">Model_Data!S35</f>
        <v>427917.38</v>
      </c>
    </row>
    <row r="37" customFormat="false" ht="15" hidden="false" customHeight="true" outlineLevel="0" collapsed="false">
      <c r="A37" s="3" t="n">
        <f aca="false">Model_Data!F36</f>
        <v>9429</v>
      </c>
      <c r="B37" s="3" t="n">
        <f aca="false">Model_Data!E36</f>
        <v>54597.83</v>
      </c>
      <c r="C37" s="3" t="n">
        <f aca="false">Model_Data!I36</f>
        <v>83.3</v>
      </c>
      <c r="D37" s="3" t="n">
        <f aca="false">Model_Data!G36</f>
        <v>0.188</v>
      </c>
      <c r="E37" s="3" t="n">
        <f aca="false">Model_Data!M36</f>
        <v>0</v>
      </c>
      <c r="F37" s="3" t="n">
        <f aca="false">Model_Data!N36</f>
        <v>0</v>
      </c>
      <c r="G37" s="3" t="n">
        <f aca="false">Model_Data!O36</f>
        <v>1</v>
      </c>
      <c r="H37" s="3" t="n">
        <f aca="false">Model_Data!S36</f>
        <v>641865.03</v>
      </c>
    </row>
    <row r="38" customFormat="false" ht="15" hidden="false" customHeight="true" outlineLevel="0" collapsed="false">
      <c r="A38" s="3" t="n">
        <f aca="false">Model_Data!F37</f>
        <v>11695</v>
      </c>
      <c r="B38" s="3" t="n">
        <f aca="false">Model_Data!E37</f>
        <v>73771.91</v>
      </c>
      <c r="C38" s="3" t="n">
        <f aca="false">Model_Data!I37</f>
        <v>84.7</v>
      </c>
      <c r="D38" s="3" t="n">
        <f aca="false">Model_Data!G37</f>
        <v>0.07</v>
      </c>
      <c r="E38" s="3" t="n">
        <f aca="false">Model_Data!M37</f>
        <v>0</v>
      </c>
      <c r="F38" s="3" t="n">
        <f aca="false">Model_Data!N37</f>
        <v>0</v>
      </c>
      <c r="G38" s="3" t="n">
        <f aca="false">Model_Data!O37</f>
        <v>1</v>
      </c>
      <c r="H38" s="3" t="n">
        <f aca="false">Model_Data!S37</f>
        <v>799477.76</v>
      </c>
    </row>
    <row r="39" customFormat="false" ht="15" hidden="false" customHeight="true" outlineLevel="0" collapsed="false">
      <c r="A39" s="3" t="n">
        <f aca="false">Model_Data!F38</f>
        <v>9449</v>
      </c>
      <c r="B39" s="3" t="n">
        <f aca="false">Model_Data!E38</f>
        <v>74413.88</v>
      </c>
      <c r="C39" s="3" t="n">
        <f aca="false">Model_Data!I38</f>
        <v>92.1</v>
      </c>
      <c r="D39" s="3" t="n">
        <f aca="false">Model_Data!G38</f>
        <v>0.039</v>
      </c>
      <c r="E39" s="3" t="n">
        <f aca="false">Model_Data!M38</f>
        <v>0</v>
      </c>
      <c r="F39" s="3" t="n">
        <f aca="false">Model_Data!N38</f>
        <v>0</v>
      </c>
      <c r="G39" s="3" t="n">
        <f aca="false">Model_Data!O38</f>
        <v>1</v>
      </c>
      <c r="H39" s="3" t="n">
        <f aca="false">Model_Data!S38</f>
        <v>798952.17</v>
      </c>
    </row>
    <row r="40" customFormat="false" ht="15" hidden="false" customHeight="true" outlineLevel="0" collapsed="false">
      <c r="A40" s="3" t="n">
        <f aca="false">Model_Data!F39</f>
        <v>10453</v>
      </c>
      <c r="B40" s="3" t="n">
        <f aca="false">Model_Data!E39</f>
        <v>52483.77</v>
      </c>
      <c r="C40" s="3" t="n">
        <f aca="false">Model_Data!I39</f>
        <v>99</v>
      </c>
      <c r="D40" s="3" t="n">
        <f aca="false">Model_Data!G39</f>
        <v>0.247</v>
      </c>
      <c r="E40" s="3" t="n">
        <f aca="false">Model_Data!M39</f>
        <v>0</v>
      </c>
      <c r="F40" s="3" t="n">
        <f aca="false">Model_Data!N39</f>
        <v>0</v>
      </c>
      <c r="G40" s="3" t="n">
        <f aca="false">Model_Data!O39</f>
        <v>1</v>
      </c>
      <c r="H40" s="3" t="n">
        <f aca="false">Model_Data!S39</f>
        <v>800979.78</v>
      </c>
    </row>
    <row r="41" customFormat="false" ht="15" hidden="false" customHeight="true" outlineLevel="0" collapsed="false">
      <c r="A41" s="3" t="n">
        <f aca="false">Model_Data!F40</f>
        <v>8838</v>
      </c>
      <c r="B41" s="3" t="n">
        <f aca="false">Model_Data!E40</f>
        <v>75269.87</v>
      </c>
      <c r="C41" s="3" t="n">
        <f aca="false">Model_Data!I40</f>
        <v>83.1</v>
      </c>
      <c r="D41" s="3" t="n">
        <f aca="false">Model_Data!G40</f>
        <v>0.092</v>
      </c>
      <c r="E41" s="3" t="n">
        <f aca="false">Model_Data!M40</f>
        <v>0</v>
      </c>
      <c r="F41" s="3" t="n">
        <f aca="false">Model_Data!N40</f>
        <v>1</v>
      </c>
      <c r="G41" s="3" t="n">
        <f aca="false">Model_Data!O40</f>
        <v>0</v>
      </c>
      <c r="H41" s="3" t="n">
        <f aca="false">Model_Data!S40</f>
        <v>820593.93</v>
      </c>
    </row>
    <row r="42" customFormat="false" ht="15" hidden="false" customHeight="true" outlineLevel="0" collapsed="false">
      <c r="A42" s="3" t="n">
        <f aca="false">Model_Data!F41</f>
        <v>8156</v>
      </c>
      <c r="B42" s="3" t="n">
        <f aca="false">Model_Data!E41</f>
        <v>61245.41</v>
      </c>
      <c r="C42" s="3" t="n">
        <f aca="false">Model_Data!I41</f>
        <v>92.9</v>
      </c>
      <c r="D42" s="3" t="n">
        <f aca="false">Model_Data!G41</f>
        <v>0.156</v>
      </c>
      <c r="E42" s="3" t="n">
        <f aca="false">Model_Data!M41</f>
        <v>0</v>
      </c>
      <c r="F42" s="3" t="n">
        <f aca="false">Model_Data!N41</f>
        <v>1</v>
      </c>
      <c r="G42" s="3" t="n">
        <f aca="false">Model_Data!O41</f>
        <v>0</v>
      </c>
      <c r="H42" s="3" t="n">
        <f aca="false">Model_Data!S41</f>
        <v>718330.53</v>
      </c>
    </row>
    <row r="43" customFormat="false" ht="15" hidden="false" customHeight="true" outlineLevel="0" collapsed="false">
      <c r="A43" s="3" t="n">
        <f aca="false">Model_Data!F42</f>
        <v>7562</v>
      </c>
      <c r="B43" s="3" t="n">
        <f aca="false">Model_Data!E42</f>
        <v>93381.26</v>
      </c>
      <c r="C43" s="3" t="n">
        <f aca="false">Model_Data!I42</f>
        <v>82.9</v>
      </c>
      <c r="D43" s="3" t="n">
        <f aca="false">Model_Data!G42</f>
        <v>0.198</v>
      </c>
      <c r="E43" s="3" t="n">
        <f aca="false">Model_Data!M42</f>
        <v>0</v>
      </c>
      <c r="F43" s="3" t="n">
        <f aca="false">Model_Data!N42</f>
        <v>1</v>
      </c>
      <c r="G43" s="3" t="n">
        <f aca="false">Model_Data!O42</f>
        <v>0</v>
      </c>
      <c r="H43" s="3" t="n">
        <f aca="false">Model_Data!S42</f>
        <v>736633.4</v>
      </c>
    </row>
    <row r="44" customFormat="false" ht="15" hidden="false" customHeight="true" outlineLevel="0" collapsed="false">
      <c r="A44" s="3" t="n">
        <f aca="false">Model_Data!F43</f>
        <v>9598</v>
      </c>
      <c r="B44" s="3" t="n">
        <f aca="false">Model_Data!E43</f>
        <v>65012.19</v>
      </c>
      <c r="C44" s="3" t="n">
        <f aca="false">Model_Data!I43</f>
        <v>98.3</v>
      </c>
      <c r="D44" s="3" t="n">
        <f aca="false">Model_Data!G43</f>
        <v>0.085</v>
      </c>
      <c r="E44" s="3" t="n">
        <f aca="false">Model_Data!M43</f>
        <v>0</v>
      </c>
      <c r="F44" s="3" t="n">
        <f aca="false">Model_Data!N43</f>
        <v>1</v>
      </c>
      <c r="G44" s="3" t="n">
        <f aca="false">Model_Data!O43</f>
        <v>0</v>
      </c>
      <c r="H44" s="3" t="n">
        <f aca="false">Model_Data!S43</f>
        <v>828623.85</v>
      </c>
    </row>
    <row r="45" customFormat="false" ht="15" hidden="false" customHeight="true" outlineLevel="0" collapsed="false">
      <c r="A45" s="3" t="n">
        <f aca="false">Model_Data!F44</f>
        <v>3660</v>
      </c>
      <c r="B45" s="3" t="n">
        <f aca="false">Model_Data!E44</f>
        <v>40462.94</v>
      </c>
      <c r="C45" s="3" t="n">
        <f aca="false">Model_Data!I44</f>
        <v>95.2</v>
      </c>
      <c r="D45" s="3" t="n">
        <f aca="false">Model_Data!G44</f>
        <v>0.218</v>
      </c>
      <c r="E45" s="3" t="n">
        <f aca="false">Model_Data!M44</f>
        <v>0</v>
      </c>
      <c r="F45" s="3" t="n">
        <f aca="false">Model_Data!N44</f>
        <v>1</v>
      </c>
      <c r="G45" s="3" t="n">
        <f aca="false">Model_Data!O44</f>
        <v>0</v>
      </c>
      <c r="H45" s="3" t="n">
        <f aca="false">Model_Data!S44</f>
        <v>592195.85</v>
      </c>
    </row>
    <row r="46" customFormat="false" ht="15" hidden="false" customHeight="true" outlineLevel="0" collapsed="false">
      <c r="A46" s="3" t="n">
        <f aca="false">Model_Data!F45</f>
        <v>3227</v>
      </c>
      <c r="B46" s="3" t="n">
        <f aca="false">Model_Data!E45</f>
        <v>46123.88</v>
      </c>
      <c r="C46" s="3" t="n">
        <f aca="false">Model_Data!I45</f>
        <v>75.4</v>
      </c>
      <c r="D46" s="3" t="n">
        <f aca="false">Model_Data!G45</f>
        <v>0.143</v>
      </c>
      <c r="E46" s="3" t="n">
        <f aca="false">Model_Data!M45</f>
        <v>0</v>
      </c>
      <c r="F46" s="3" t="n">
        <f aca="false">Model_Data!N45</f>
        <v>1</v>
      </c>
      <c r="G46" s="3" t="n">
        <f aca="false">Model_Data!O45</f>
        <v>0</v>
      </c>
      <c r="H46" s="3" t="n">
        <f aca="false">Model_Data!S45</f>
        <v>532644.46</v>
      </c>
    </row>
    <row r="47" customFormat="false" ht="15" hidden="false" customHeight="true" outlineLevel="0" collapsed="false">
      <c r="A47" s="3" t="n">
        <f aca="false">Model_Data!F46</f>
        <v>3360</v>
      </c>
      <c r="B47" s="3" t="n">
        <f aca="false">Model_Data!E46</f>
        <v>68077.54</v>
      </c>
      <c r="C47" s="3" t="n">
        <f aca="false">Model_Data!I46</f>
        <v>88.2</v>
      </c>
      <c r="D47" s="3" t="n">
        <f aca="false">Model_Data!G46</f>
        <v>0.128</v>
      </c>
      <c r="E47" s="3" t="n">
        <f aca="false">Model_Data!M46</f>
        <v>0</v>
      </c>
      <c r="F47" s="3" t="n">
        <f aca="false">Model_Data!N46</f>
        <v>1</v>
      </c>
      <c r="G47" s="3" t="n">
        <f aca="false">Model_Data!O46</f>
        <v>0</v>
      </c>
      <c r="H47" s="3" t="n">
        <f aca="false">Model_Data!S46</f>
        <v>657429.18</v>
      </c>
    </row>
    <row r="48" customFormat="false" ht="15" hidden="false" customHeight="true" outlineLevel="0" collapsed="false">
      <c r="A48" s="3" t="n">
        <f aca="false">Model_Data!F47</f>
        <v>3642</v>
      </c>
      <c r="B48" s="3" t="n">
        <f aca="false">Model_Data!E47</f>
        <v>64882.14</v>
      </c>
      <c r="C48" s="3" t="n">
        <f aca="false">Model_Data!I47</f>
        <v>87.8</v>
      </c>
      <c r="D48" s="3" t="n">
        <f aca="false">Model_Data!G47</f>
        <v>0.019</v>
      </c>
      <c r="E48" s="3" t="n">
        <f aca="false">Model_Data!M47</f>
        <v>0</v>
      </c>
      <c r="F48" s="3" t="n">
        <f aca="false">Model_Data!N47</f>
        <v>1</v>
      </c>
      <c r="G48" s="3" t="n">
        <f aca="false">Model_Data!O47</f>
        <v>0</v>
      </c>
      <c r="H48" s="3" t="n">
        <f aca="false">Model_Data!S47</f>
        <v>605178</v>
      </c>
    </row>
    <row r="49" customFormat="false" ht="15" hidden="false" customHeight="true" outlineLevel="0" collapsed="false">
      <c r="A49" s="3" t="n">
        <f aca="false">Model_Data!F48</f>
        <v>5145</v>
      </c>
      <c r="B49" s="3" t="n">
        <f aca="false">Model_Data!E48</f>
        <v>138855.51</v>
      </c>
      <c r="C49" s="3" t="n">
        <f aca="false">Model_Data!I48</f>
        <v>88.2</v>
      </c>
      <c r="D49" s="3" t="n">
        <f aca="false">Model_Data!G48</f>
        <v>0.06</v>
      </c>
      <c r="E49" s="3" t="n">
        <f aca="false">Model_Data!M48</f>
        <v>0</v>
      </c>
      <c r="F49" s="3" t="n">
        <f aca="false">Model_Data!N48</f>
        <v>0</v>
      </c>
      <c r="G49" s="3" t="n">
        <f aca="false">Model_Data!O48</f>
        <v>1</v>
      </c>
      <c r="H49" s="3" t="n">
        <f aca="false">Model_Data!S48</f>
        <v>595467.6</v>
      </c>
    </row>
    <row r="50" customFormat="false" ht="15" hidden="false" customHeight="true" outlineLevel="0" collapsed="false">
      <c r="A50" s="3" t="n">
        <f aca="false">Model_Data!F49</f>
        <v>4460</v>
      </c>
      <c r="B50" s="3" t="n">
        <f aca="false">Model_Data!E49</f>
        <v>63630.21</v>
      </c>
      <c r="C50" s="3" t="n">
        <f aca="false">Model_Data!I49</f>
        <v>98.6</v>
      </c>
      <c r="D50" s="3" t="n">
        <f aca="false">Model_Data!G49</f>
        <v>0.235</v>
      </c>
      <c r="E50" s="3" t="n">
        <f aca="false">Model_Data!M49</f>
        <v>0</v>
      </c>
      <c r="F50" s="3" t="n">
        <f aca="false">Model_Data!N49</f>
        <v>0</v>
      </c>
      <c r="G50" s="3" t="n">
        <f aca="false">Model_Data!O49</f>
        <v>1</v>
      </c>
      <c r="H50" s="3" t="n">
        <f aca="false">Model_Data!S49</f>
        <v>599603.4</v>
      </c>
    </row>
    <row r="51" customFormat="false" ht="15" hidden="false" customHeight="true" outlineLevel="0" collapsed="false">
      <c r="A51" s="3" t="n">
        <f aca="false">Model_Data!F50</f>
        <v>3804</v>
      </c>
      <c r="B51" s="3" t="n">
        <f aca="false">Model_Data!E50</f>
        <v>50043.65</v>
      </c>
      <c r="C51" s="3" t="n">
        <f aca="false">Model_Data!I50</f>
        <v>90.9</v>
      </c>
      <c r="D51" s="3" t="n">
        <f aca="false">Model_Data!G50</f>
        <v>0.113</v>
      </c>
      <c r="E51" s="3" t="n">
        <f aca="false">Model_Data!M50</f>
        <v>0</v>
      </c>
      <c r="F51" s="3" t="n">
        <f aca="false">Model_Data!N50</f>
        <v>0</v>
      </c>
      <c r="G51" s="3" t="n">
        <f aca="false">Model_Data!O50</f>
        <v>1</v>
      </c>
      <c r="H51" s="3" t="n">
        <f aca="false">Model_Data!S50</f>
        <v>614800.09</v>
      </c>
    </row>
    <row r="52" customFormat="false" ht="15" hidden="false" customHeight="true" outlineLevel="0" collapsed="false">
      <c r="A52" s="3" t="n">
        <f aca="false">Model_Data!F51</f>
        <v>4074</v>
      </c>
      <c r="B52" s="3" t="n">
        <f aca="false">Model_Data!E51</f>
        <v>42093.84</v>
      </c>
      <c r="C52" s="3" t="n">
        <f aca="false">Model_Data!I51</f>
        <v>88</v>
      </c>
      <c r="D52" s="3" t="n">
        <f aca="false">Model_Data!G51</f>
        <v>0.155</v>
      </c>
      <c r="E52" s="3" t="n">
        <f aca="false">Model_Data!M51</f>
        <v>0</v>
      </c>
      <c r="F52" s="3" t="n">
        <f aca="false">Model_Data!N51</f>
        <v>0</v>
      </c>
      <c r="G52" s="3" t="n">
        <f aca="false">Model_Data!O51</f>
        <v>1</v>
      </c>
      <c r="H52" s="3" t="n">
        <f aca="false">Model_Data!S51</f>
        <v>585365.73</v>
      </c>
    </row>
    <row r="53" customFormat="false" ht="15" hidden="false" customHeight="true" outlineLevel="0" collapsed="false">
      <c r="A53" s="3" t="n">
        <f aca="false">Model_Data!F52</f>
        <v>5104</v>
      </c>
      <c r="B53" s="3" t="n">
        <f aca="false">Model_Data!E52</f>
        <v>46624.05</v>
      </c>
      <c r="C53" s="3" t="n">
        <f aca="false">Model_Data!I52</f>
        <v>97.3</v>
      </c>
      <c r="D53" s="3" t="n">
        <f aca="false">Model_Data!G52</f>
        <v>0.109</v>
      </c>
      <c r="E53" s="3" t="n">
        <f aca="false">Model_Data!M52</f>
        <v>0</v>
      </c>
      <c r="F53" s="3" t="n">
        <f aca="false">Model_Data!N52</f>
        <v>1</v>
      </c>
      <c r="G53" s="3" t="n">
        <f aca="false">Model_Data!O52</f>
        <v>0</v>
      </c>
      <c r="H53" s="3" t="n">
        <f aca="false">Model_Data!S52</f>
        <v>622811.74</v>
      </c>
    </row>
    <row r="54" customFormat="false" ht="15" hidden="false" customHeight="true" outlineLevel="0" collapsed="false">
      <c r="A54" s="3" t="n">
        <f aca="false">Model_Data!F53</f>
        <v>5559</v>
      </c>
      <c r="B54" s="3" t="n">
        <f aca="false">Model_Data!E53</f>
        <v>49710.29</v>
      </c>
      <c r="C54" s="3" t="n">
        <f aca="false">Model_Data!I53</f>
        <v>71</v>
      </c>
      <c r="D54" s="3" t="n">
        <f aca="false">Model_Data!G53</f>
        <v>0.218</v>
      </c>
      <c r="E54" s="3" t="n">
        <f aca="false">Model_Data!M53</f>
        <v>0</v>
      </c>
      <c r="F54" s="3" t="n">
        <f aca="false">Model_Data!N53</f>
        <v>1</v>
      </c>
      <c r="G54" s="3" t="n">
        <f aca="false">Model_Data!O53</f>
        <v>0</v>
      </c>
      <c r="H54" s="3" t="n">
        <f aca="false">Model_Data!S53</f>
        <v>603297.57</v>
      </c>
    </row>
    <row r="55" customFormat="false" ht="15" hidden="false" customHeight="true" outlineLevel="0" collapsed="false">
      <c r="A55" s="3" t="n">
        <f aca="false">Model_Data!F54</f>
        <v>5150</v>
      </c>
      <c r="B55" s="3" t="n">
        <f aca="false">Model_Data!E54</f>
        <v>48287.85</v>
      </c>
      <c r="C55" s="3" t="n">
        <f aca="false">Model_Data!I54</f>
        <v>80.4</v>
      </c>
      <c r="D55" s="3" t="n">
        <f aca="false">Model_Data!G54</f>
        <v>0.008</v>
      </c>
      <c r="E55" s="3" t="n">
        <f aca="false">Model_Data!M54</f>
        <v>0</v>
      </c>
      <c r="F55" s="3" t="n">
        <f aca="false">Model_Data!N54</f>
        <v>1</v>
      </c>
      <c r="G55" s="3" t="n">
        <f aca="false">Model_Data!O54</f>
        <v>0</v>
      </c>
      <c r="H55" s="3" t="n">
        <f aca="false">Model_Data!S54</f>
        <v>625672.86</v>
      </c>
    </row>
    <row r="56" customFormat="false" ht="15" hidden="false" customHeight="true" outlineLevel="0" collapsed="false">
      <c r="A56" s="3" t="n">
        <f aca="false">Model_Data!F55</f>
        <v>7189</v>
      </c>
      <c r="B56" s="3" t="n">
        <f aca="false">Model_Data!E55</f>
        <v>65312.49</v>
      </c>
      <c r="C56" s="3" t="n">
        <f aca="false">Model_Data!I55</f>
        <v>93.7</v>
      </c>
      <c r="D56" s="3" t="n">
        <f aca="false">Model_Data!G55</f>
        <v>0.05</v>
      </c>
      <c r="E56" s="3" t="n">
        <f aca="false">Model_Data!M55</f>
        <v>0</v>
      </c>
      <c r="F56" s="3" t="n">
        <f aca="false">Model_Data!N55</f>
        <v>1</v>
      </c>
      <c r="G56" s="3" t="n">
        <f aca="false">Model_Data!O55</f>
        <v>0</v>
      </c>
      <c r="H56" s="3" t="n">
        <f aca="false">Model_Data!S55</f>
        <v>773815.14</v>
      </c>
    </row>
    <row r="57" customFormat="false" ht="15" hidden="false" customHeight="true" outlineLevel="0" collapsed="false">
      <c r="A57" s="3" t="n">
        <f aca="false">Model_Data!F56</f>
        <v>3279</v>
      </c>
      <c r="B57" s="3" t="n">
        <f aca="false">Model_Data!E56</f>
        <v>53015.46</v>
      </c>
      <c r="C57" s="3" t="n">
        <f aca="false">Model_Data!I56</f>
        <v>84.3</v>
      </c>
      <c r="D57" s="3" t="n">
        <f aca="false">Model_Data!G56</f>
        <v>0.087</v>
      </c>
      <c r="E57" s="3" t="n">
        <f aca="false">Model_Data!M56</f>
        <v>0</v>
      </c>
      <c r="F57" s="3" t="n">
        <f aca="false">Model_Data!N56</f>
        <v>0</v>
      </c>
      <c r="G57" s="3" t="n">
        <f aca="false">Model_Data!O56</f>
        <v>0</v>
      </c>
      <c r="H57" s="3" t="n">
        <f aca="false">Model_Data!S56</f>
        <v>463534.25</v>
      </c>
    </row>
    <row r="58" customFormat="false" ht="15" hidden="false" customHeight="true" outlineLevel="0" collapsed="false">
      <c r="A58" s="3" t="n">
        <f aca="false">Model_Data!F57</f>
        <v>5887</v>
      </c>
      <c r="B58" s="3" t="n">
        <f aca="false">Model_Data!E57</f>
        <v>99874.01</v>
      </c>
      <c r="C58" s="3" t="n">
        <f aca="false">Model_Data!I57</f>
        <v>88.7</v>
      </c>
      <c r="D58" s="3" t="n">
        <f aca="false">Model_Data!G57</f>
        <v>0.262</v>
      </c>
      <c r="E58" s="3" t="n">
        <f aca="false">Model_Data!M57</f>
        <v>0</v>
      </c>
      <c r="F58" s="3" t="n">
        <f aca="false">Model_Data!N57</f>
        <v>0</v>
      </c>
      <c r="G58" s="3" t="n">
        <f aca="false">Model_Data!O57</f>
        <v>0</v>
      </c>
      <c r="H58" s="3" t="n">
        <f aca="false">Model_Data!S57</f>
        <v>746677.75</v>
      </c>
    </row>
    <row r="59" customFormat="false" ht="15" hidden="false" customHeight="true" outlineLevel="0" collapsed="false">
      <c r="A59" s="3" t="n">
        <f aca="false">Model_Data!F58</f>
        <v>5516</v>
      </c>
      <c r="B59" s="3" t="n">
        <f aca="false">Model_Data!E58</f>
        <v>81195.5</v>
      </c>
      <c r="C59" s="3" t="n">
        <f aca="false">Model_Data!I58</f>
        <v>88</v>
      </c>
      <c r="D59" s="3" t="n">
        <f aca="false">Model_Data!G58</f>
        <v>0.106</v>
      </c>
      <c r="E59" s="3" t="n">
        <f aca="false">Model_Data!M58</f>
        <v>0</v>
      </c>
      <c r="F59" s="3" t="n">
        <f aca="false">Model_Data!N58</f>
        <v>0</v>
      </c>
      <c r="G59" s="3" t="n">
        <f aca="false">Model_Data!O58</f>
        <v>0</v>
      </c>
      <c r="H59" s="3" t="n">
        <f aca="false">Model_Data!S58</f>
        <v>720852.5</v>
      </c>
    </row>
    <row r="60" customFormat="false" ht="15" hidden="false" customHeight="true" outlineLevel="0" collapsed="false">
      <c r="A60" s="3" t="n">
        <f aca="false">Model_Data!F59</f>
        <v>2863</v>
      </c>
      <c r="B60" s="3" t="n">
        <f aca="false">Model_Data!E59</f>
        <v>27808.6</v>
      </c>
      <c r="C60" s="3" t="n">
        <f aca="false">Model_Data!I59</f>
        <v>89.3</v>
      </c>
      <c r="D60" s="3" t="n">
        <f aca="false">Model_Data!G59</f>
        <v>0.08</v>
      </c>
      <c r="E60" s="3" t="n">
        <f aca="false">Model_Data!M59</f>
        <v>0</v>
      </c>
      <c r="F60" s="3" t="n">
        <f aca="false">Model_Data!N59</f>
        <v>0</v>
      </c>
      <c r="G60" s="3" t="n">
        <f aca="false">Model_Data!O59</f>
        <v>0</v>
      </c>
      <c r="H60" s="3" t="n">
        <f aca="false">Model_Data!S59</f>
        <v>487464.91</v>
      </c>
    </row>
    <row r="61" customFormat="false" ht="15" hidden="false" customHeight="true" outlineLevel="0" collapsed="false">
      <c r="A61" s="3" t="n">
        <f aca="false">Model_Data!F60</f>
        <v>2378</v>
      </c>
      <c r="B61" s="3" t="n">
        <f aca="false">Model_Data!E60</f>
        <v>19365.06</v>
      </c>
      <c r="C61" s="3" t="n">
        <f aca="false">Model_Data!I60</f>
        <v>94.8</v>
      </c>
      <c r="D61" s="3" t="n">
        <f aca="false">Model_Data!G60</f>
        <v>0</v>
      </c>
      <c r="E61" s="3" t="n">
        <f aca="false">Model_Data!M60</f>
        <v>1</v>
      </c>
      <c r="F61" s="3" t="n">
        <f aca="false">Model_Data!N60</f>
        <v>0</v>
      </c>
      <c r="G61" s="3" t="n">
        <f aca="false">Model_Data!O60</f>
        <v>0</v>
      </c>
      <c r="H61" s="3" t="n">
        <f aca="false">Model_Data!S60</f>
        <v>518049.26</v>
      </c>
    </row>
    <row r="62" customFormat="false" ht="15" hidden="false" customHeight="true" outlineLevel="0" collapsed="false">
      <c r="A62" s="3" t="n">
        <f aca="false">Model_Data!F61</f>
        <v>2515</v>
      </c>
      <c r="B62" s="3" t="n">
        <f aca="false">Model_Data!E61</f>
        <v>59405.68</v>
      </c>
      <c r="C62" s="3" t="n">
        <f aca="false">Model_Data!I61</f>
        <v>76</v>
      </c>
      <c r="D62" s="3" t="n">
        <f aca="false">Model_Data!G61</f>
        <v>0.039</v>
      </c>
      <c r="E62" s="3" t="n">
        <f aca="false">Model_Data!M61</f>
        <v>1</v>
      </c>
      <c r="F62" s="3" t="n">
        <f aca="false">Model_Data!N61</f>
        <v>0</v>
      </c>
      <c r="G62" s="3" t="n">
        <f aca="false">Model_Data!O61</f>
        <v>0</v>
      </c>
      <c r="H62" s="3" t="n">
        <f aca="false">Model_Data!S61</f>
        <v>500298.48</v>
      </c>
    </row>
    <row r="63" customFormat="false" ht="15" hidden="false" customHeight="true" outlineLevel="0" collapsed="false">
      <c r="A63" s="3" t="n">
        <f aca="false">Model_Data!F62</f>
        <v>4022</v>
      </c>
      <c r="B63" s="3" t="n">
        <f aca="false">Model_Data!E62</f>
        <v>118910.48</v>
      </c>
      <c r="C63" s="3" t="n">
        <f aca="false">Model_Data!I62</f>
        <v>87.1</v>
      </c>
      <c r="D63" s="3" t="n">
        <f aca="false">Model_Data!G62</f>
        <v>0.137</v>
      </c>
      <c r="E63" s="3" t="n">
        <f aca="false">Model_Data!M62</f>
        <v>1</v>
      </c>
      <c r="F63" s="3" t="n">
        <f aca="false">Model_Data!N62</f>
        <v>0</v>
      </c>
      <c r="G63" s="3" t="n">
        <f aca="false">Model_Data!O62</f>
        <v>0</v>
      </c>
      <c r="H63" s="3" t="n">
        <f aca="false">Model_Data!S62</f>
        <v>617291.15</v>
      </c>
    </row>
    <row r="64" customFormat="false" ht="15" hidden="false" customHeight="true" outlineLevel="0" collapsed="false">
      <c r="A64" s="3" t="n">
        <f aca="false">Model_Data!F63</f>
        <v>4377</v>
      </c>
      <c r="B64" s="3" t="n">
        <f aca="false">Model_Data!E63</f>
        <v>52952.12</v>
      </c>
      <c r="C64" s="3" t="n">
        <f aca="false">Model_Data!I63</f>
        <v>88.6</v>
      </c>
      <c r="D64" s="3" t="n">
        <f aca="false">Model_Data!G63</f>
        <v>0.092</v>
      </c>
      <c r="E64" s="3" t="n">
        <f aca="false">Model_Data!M63</f>
        <v>1</v>
      </c>
      <c r="F64" s="3" t="n">
        <f aca="false">Model_Data!N63</f>
        <v>0</v>
      </c>
      <c r="G64" s="3" t="n">
        <f aca="false">Model_Data!O63</f>
        <v>0</v>
      </c>
      <c r="H64" s="3" t="n">
        <f aca="false">Model_Data!S63</f>
        <v>553756.43</v>
      </c>
    </row>
    <row r="65" customFormat="false" ht="15" hidden="false" customHeight="true" outlineLevel="0" collapsed="false">
      <c r="A65" s="3" t="n">
        <f aca="false">Model_Data!F64</f>
        <v>5306</v>
      </c>
      <c r="B65" s="3" t="n">
        <f aca="false">Model_Data!E64</f>
        <v>74907.98</v>
      </c>
      <c r="C65" s="3" t="n">
        <f aca="false">Model_Data!I64</f>
        <v>95.6</v>
      </c>
      <c r="D65" s="3" t="n">
        <f aca="false">Model_Data!G64</f>
        <v>0.062</v>
      </c>
      <c r="E65" s="3" t="n">
        <f aca="false">Model_Data!M64</f>
        <v>0</v>
      </c>
      <c r="F65" s="3" t="n">
        <f aca="false">Model_Data!N64</f>
        <v>0</v>
      </c>
      <c r="G65" s="3" t="n">
        <f aca="false">Model_Data!O64</f>
        <v>0</v>
      </c>
      <c r="H65" s="3" t="n">
        <f aca="false">Model_Data!S64</f>
        <v>749559.71</v>
      </c>
    </row>
    <row r="66" customFormat="false" ht="15" hidden="false" customHeight="true" outlineLevel="0" collapsed="false">
      <c r="A66" s="3" t="n">
        <f aca="false">Model_Data!F65</f>
        <v>3928</v>
      </c>
      <c r="B66" s="3" t="n">
        <f aca="false">Model_Data!E65</f>
        <v>37284.66</v>
      </c>
      <c r="C66" s="3" t="n">
        <f aca="false">Model_Data!I65</f>
        <v>86.5</v>
      </c>
      <c r="D66" s="3" t="n">
        <f aca="false">Model_Data!G65</f>
        <v>0.074</v>
      </c>
      <c r="E66" s="3" t="n">
        <f aca="false">Model_Data!M65</f>
        <v>0</v>
      </c>
      <c r="F66" s="3" t="n">
        <f aca="false">Model_Data!N65</f>
        <v>0</v>
      </c>
      <c r="G66" s="3" t="n">
        <f aca="false">Model_Data!O65</f>
        <v>0</v>
      </c>
      <c r="H66" s="3" t="n">
        <f aca="false">Model_Data!S65</f>
        <v>615966.48</v>
      </c>
    </row>
    <row r="67" customFormat="false" ht="15" hidden="false" customHeight="true" outlineLevel="0" collapsed="false">
      <c r="A67" s="3" t="n">
        <f aca="false">Model_Data!F66</f>
        <v>3845</v>
      </c>
      <c r="B67" s="3" t="n">
        <f aca="false">Model_Data!E66</f>
        <v>50343.19</v>
      </c>
      <c r="C67" s="3" t="n">
        <f aca="false">Model_Data!I66</f>
        <v>88.7</v>
      </c>
      <c r="D67" s="3" t="n">
        <f aca="false">Model_Data!G66</f>
        <v>0.113</v>
      </c>
      <c r="E67" s="3" t="n">
        <f aca="false">Model_Data!M66</f>
        <v>0</v>
      </c>
      <c r="F67" s="3" t="n">
        <f aca="false">Model_Data!N66</f>
        <v>0</v>
      </c>
      <c r="G67" s="3" t="n">
        <f aca="false">Model_Data!O66</f>
        <v>0</v>
      </c>
      <c r="H67" s="3" t="n">
        <f aca="false">Model_Data!S66</f>
        <v>572011.2</v>
      </c>
    </row>
    <row r="68" customFormat="false" ht="15" hidden="false" customHeight="true" outlineLevel="0" collapsed="false">
      <c r="A68" s="3" t="n">
        <f aca="false">Model_Data!F67</f>
        <v>6620</v>
      </c>
      <c r="B68" s="3" t="n">
        <f aca="false">Model_Data!E67</f>
        <v>74954.47</v>
      </c>
      <c r="C68" s="3" t="n">
        <f aca="false">Model_Data!I67</f>
        <v>91.1</v>
      </c>
      <c r="D68" s="3" t="n">
        <f aca="false">Model_Data!G67</f>
        <v>0.054</v>
      </c>
      <c r="E68" s="3" t="n">
        <f aca="false">Model_Data!M67</f>
        <v>0</v>
      </c>
      <c r="F68" s="3" t="n">
        <f aca="false">Model_Data!N67</f>
        <v>0</v>
      </c>
      <c r="G68" s="3" t="n">
        <f aca="false">Model_Data!O67</f>
        <v>0</v>
      </c>
      <c r="H68" s="3" t="n">
        <f aca="false">Model_Data!S67</f>
        <v>761860.19</v>
      </c>
    </row>
    <row r="69" customFormat="false" ht="15" hidden="false" customHeight="true" outlineLevel="0" collapsed="false">
      <c r="A69" s="3" t="n">
        <f aca="false">Model_Data!F68</f>
        <v>9175</v>
      </c>
      <c r="B69" s="3" t="n">
        <f aca="false">Model_Data!E68</f>
        <v>70040.31</v>
      </c>
      <c r="C69" s="3" t="n">
        <f aca="false">Model_Data!I68</f>
        <v>95.1</v>
      </c>
      <c r="D69" s="3" t="n">
        <f aca="false">Model_Data!G68</f>
        <v>0.107</v>
      </c>
      <c r="E69" s="3" t="n">
        <f aca="false">Model_Data!M68</f>
        <v>0</v>
      </c>
      <c r="F69" s="3" t="n">
        <f aca="false">Model_Data!N68</f>
        <v>0</v>
      </c>
      <c r="G69" s="3" t="n">
        <f aca="false">Model_Data!O68</f>
        <v>0</v>
      </c>
      <c r="H69" s="3" t="n">
        <f aca="false">Model_Data!S68</f>
        <v>784502.68</v>
      </c>
    </row>
    <row r="70" customFormat="false" ht="15" hidden="false" customHeight="true" outlineLevel="0" collapsed="false">
      <c r="A70" s="3" t="n">
        <f aca="false">Model_Data!F69</f>
        <v>7940</v>
      </c>
      <c r="B70" s="3" t="n">
        <f aca="false">Model_Data!E69</f>
        <v>51148.69</v>
      </c>
      <c r="C70" s="3" t="n">
        <f aca="false">Model_Data!I69</f>
        <v>93.3</v>
      </c>
      <c r="D70" s="3" t="n">
        <f aca="false">Model_Data!G69</f>
        <v>0.156</v>
      </c>
      <c r="E70" s="3" t="n">
        <f aca="false">Model_Data!M69</f>
        <v>0</v>
      </c>
      <c r="F70" s="3" t="n">
        <f aca="false">Model_Data!N69</f>
        <v>0</v>
      </c>
      <c r="G70" s="3" t="n">
        <f aca="false">Model_Data!O69</f>
        <v>0</v>
      </c>
      <c r="H70" s="3" t="n">
        <f aca="false">Model_Data!S69</f>
        <v>717141.55</v>
      </c>
    </row>
    <row r="71" customFormat="false" ht="15" hidden="false" customHeight="true" outlineLevel="0" collapsed="false">
      <c r="A71" s="3" t="n">
        <f aca="false">Model_Data!F70</f>
        <v>9628</v>
      </c>
      <c r="B71" s="3" t="n">
        <f aca="false">Model_Data!E70</f>
        <v>79346.1</v>
      </c>
      <c r="C71" s="3" t="n">
        <f aca="false">Model_Data!I70</f>
        <v>99</v>
      </c>
      <c r="D71" s="3" t="n">
        <f aca="false">Model_Data!G70</f>
        <v>0.102</v>
      </c>
      <c r="E71" s="3" t="n">
        <f aca="false">Model_Data!M70</f>
        <v>0</v>
      </c>
      <c r="F71" s="3" t="n">
        <f aca="false">Model_Data!N70</f>
        <v>0</v>
      </c>
      <c r="G71" s="3" t="n">
        <f aca="false">Model_Data!O70</f>
        <v>0</v>
      </c>
      <c r="H71" s="3" t="n">
        <f aca="false">Model_Data!S70</f>
        <v>685379.08</v>
      </c>
    </row>
    <row r="72" customFormat="false" ht="15" hidden="false" customHeight="true" outlineLevel="0" collapsed="false">
      <c r="A72" s="3" t="n">
        <f aca="false">Model_Data!F71</f>
        <v>8296</v>
      </c>
      <c r="B72" s="3" t="n">
        <f aca="false">Model_Data!E71</f>
        <v>42018.4</v>
      </c>
      <c r="C72" s="3" t="n">
        <f aca="false">Model_Data!I71</f>
        <v>91.8</v>
      </c>
      <c r="D72" s="3" t="n">
        <f aca="false">Model_Data!G71</f>
        <v>0.115</v>
      </c>
      <c r="E72" s="3" t="n">
        <f aca="false">Model_Data!M71</f>
        <v>0</v>
      </c>
      <c r="F72" s="3" t="n">
        <f aca="false">Model_Data!N71</f>
        <v>0</v>
      </c>
      <c r="G72" s="3" t="n">
        <f aca="false">Model_Data!O71</f>
        <v>0</v>
      </c>
      <c r="H72" s="3" t="n">
        <f aca="false">Model_Data!S71</f>
        <v>740496.65</v>
      </c>
    </row>
    <row r="73" customFormat="false" ht="15" hidden="false" customHeight="true" outlineLevel="0" collapsed="false">
      <c r="A73" s="3" t="n">
        <f aca="false">Model_Data!F72</f>
        <v>3595</v>
      </c>
      <c r="B73" s="3" t="n">
        <f aca="false">Model_Data!E72</f>
        <v>70937.24</v>
      </c>
      <c r="C73" s="3" t="n">
        <f aca="false">Model_Data!I72</f>
        <v>88.9</v>
      </c>
      <c r="D73" s="3" t="n">
        <f aca="false">Model_Data!G72</f>
        <v>0.141</v>
      </c>
      <c r="E73" s="3" t="n">
        <f aca="false">Model_Data!M72</f>
        <v>0</v>
      </c>
      <c r="F73" s="3" t="n">
        <f aca="false">Model_Data!N72</f>
        <v>0</v>
      </c>
      <c r="G73" s="3" t="n">
        <f aca="false">Model_Data!O72</f>
        <v>0</v>
      </c>
      <c r="H73" s="3" t="n">
        <f aca="false">Model_Data!S72</f>
        <v>661927.14</v>
      </c>
    </row>
    <row r="74" customFormat="false" ht="15" hidden="false" customHeight="true" outlineLevel="0" collapsed="false">
      <c r="A74" s="3" t="n">
        <f aca="false">Model_Data!F73</f>
        <v>2834</v>
      </c>
      <c r="B74" s="3" t="n">
        <f aca="false">Model_Data!E73</f>
        <v>36813.45</v>
      </c>
      <c r="C74" s="3" t="n">
        <f aca="false">Model_Data!I73</f>
        <v>81.8</v>
      </c>
      <c r="D74" s="3" t="n">
        <f aca="false">Model_Data!G73</f>
        <v>0.191</v>
      </c>
      <c r="E74" s="3" t="n">
        <f aca="false">Model_Data!M73</f>
        <v>0</v>
      </c>
      <c r="F74" s="3" t="n">
        <f aca="false">Model_Data!N73</f>
        <v>0</v>
      </c>
      <c r="G74" s="3" t="n">
        <f aca="false">Model_Data!O73</f>
        <v>0</v>
      </c>
      <c r="H74" s="3" t="n">
        <f aca="false">Model_Data!S73</f>
        <v>479050.5</v>
      </c>
    </row>
    <row r="75" customFormat="false" ht="15" hidden="false" customHeight="true" outlineLevel="0" collapsed="false">
      <c r="A75" s="3" t="n">
        <f aca="false">Model_Data!F74</f>
        <v>3193</v>
      </c>
      <c r="B75" s="3" t="n">
        <f aca="false">Model_Data!E74</f>
        <v>60571.82</v>
      </c>
      <c r="C75" s="3" t="n">
        <f aca="false">Model_Data!I74</f>
        <v>99</v>
      </c>
      <c r="D75" s="3" t="n">
        <f aca="false">Model_Data!G74</f>
        <v>0.197</v>
      </c>
      <c r="E75" s="3" t="n">
        <f aca="false">Model_Data!M74</f>
        <v>0</v>
      </c>
      <c r="F75" s="3" t="n">
        <f aca="false">Model_Data!N74</f>
        <v>0</v>
      </c>
      <c r="G75" s="3" t="n">
        <f aca="false">Model_Data!O74</f>
        <v>0</v>
      </c>
      <c r="H75" s="3" t="n">
        <f aca="false">Model_Data!S74</f>
        <v>605023.87</v>
      </c>
    </row>
    <row r="76" customFormat="false" ht="15" hidden="false" customHeight="true" outlineLevel="0" collapsed="false">
      <c r="A76" s="3" t="n">
        <f aca="false">Model_Data!F75</f>
        <v>5485</v>
      </c>
      <c r="B76" s="3" t="n">
        <f aca="false">Model_Data!E75</f>
        <v>55081.16</v>
      </c>
      <c r="C76" s="3" t="n">
        <f aca="false">Model_Data!I75</f>
        <v>88</v>
      </c>
      <c r="D76" s="3" t="n">
        <f aca="false">Model_Data!G75</f>
        <v>0.036</v>
      </c>
      <c r="E76" s="3" t="n">
        <f aca="false">Model_Data!M75</f>
        <v>0</v>
      </c>
      <c r="F76" s="3" t="n">
        <f aca="false">Model_Data!N75</f>
        <v>0</v>
      </c>
      <c r="G76" s="3" t="n">
        <f aca="false">Model_Data!O75</f>
        <v>0</v>
      </c>
      <c r="H76" s="3" t="n">
        <f aca="false">Model_Data!S75</f>
        <v>674774.09</v>
      </c>
    </row>
    <row r="77" customFormat="false" ht="15" hidden="false" customHeight="true" outlineLevel="0" collapsed="false">
      <c r="A77" s="3" t="n">
        <f aca="false">Model_Data!F76</f>
        <v>5918</v>
      </c>
      <c r="B77" s="3" t="n">
        <f aca="false">Model_Data!E76</f>
        <v>46201.46</v>
      </c>
      <c r="C77" s="3" t="n">
        <f aca="false">Model_Data!I76</f>
        <v>78.8</v>
      </c>
      <c r="D77" s="3" t="n">
        <f aca="false">Model_Data!G76</f>
        <v>0.277</v>
      </c>
      <c r="E77" s="3" t="n">
        <f aca="false">Model_Data!M76</f>
        <v>0</v>
      </c>
      <c r="F77" s="3" t="n">
        <f aca="false">Model_Data!N76</f>
        <v>0</v>
      </c>
      <c r="G77" s="3" t="n">
        <f aca="false">Model_Data!O76</f>
        <v>1</v>
      </c>
      <c r="H77" s="3" t="n">
        <f aca="false">Model_Data!S76</f>
        <v>616069.41</v>
      </c>
    </row>
    <row r="78" customFormat="false" ht="15" hidden="false" customHeight="true" outlineLevel="0" collapsed="false">
      <c r="A78" s="3" t="n">
        <f aca="false">Model_Data!F77</f>
        <v>6821</v>
      </c>
      <c r="B78" s="3" t="n">
        <f aca="false">Model_Data!E77</f>
        <v>53762.92</v>
      </c>
      <c r="C78" s="3" t="n">
        <f aca="false">Model_Data!I77</f>
        <v>94.6</v>
      </c>
      <c r="D78" s="3" t="n">
        <f aca="false">Model_Data!G77</f>
        <v>0.066</v>
      </c>
      <c r="E78" s="3" t="n">
        <f aca="false">Model_Data!M77</f>
        <v>0</v>
      </c>
      <c r="F78" s="3" t="n">
        <f aca="false">Model_Data!N77</f>
        <v>0</v>
      </c>
      <c r="G78" s="3" t="n">
        <f aca="false">Model_Data!O77</f>
        <v>1</v>
      </c>
      <c r="H78" s="3" t="n">
        <f aca="false">Model_Data!S77</f>
        <v>630829.94</v>
      </c>
    </row>
    <row r="79" customFormat="false" ht="15" hidden="false" customHeight="true" outlineLevel="0" collapsed="false">
      <c r="A79" s="3" t="n">
        <f aca="false">Model_Data!F78</f>
        <v>6806</v>
      </c>
      <c r="B79" s="3" t="n">
        <f aca="false">Model_Data!E78</f>
        <v>70144.78</v>
      </c>
      <c r="C79" s="3" t="n">
        <f aca="false">Model_Data!I78</f>
        <v>93.1</v>
      </c>
      <c r="D79" s="3" t="n">
        <f aca="false">Model_Data!G78</f>
        <v>0.178</v>
      </c>
      <c r="E79" s="3" t="n">
        <f aca="false">Model_Data!M78</f>
        <v>0</v>
      </c>
      <c r="F79" s="3" t="n">
        <f aca="false">Model_Data!N78</f>
        <v>0</v>
      </c>
      <c r="G79" s="3" t="n">
        <f aca="false">Model_Data!O78</f>
        <v>1</v>
      </c>
      <c r="H79" s="3" t="n">
        <f aca="false">Model_Data!S78</f>
        <v>788087.68</v>
      </c>
    </row>
    <row r="80" customFormat="false" ht="15" hidden="false" customHeight="true" outlineLevel="0" collapsed="false">
      <c r="A80" s="3" t="n">
        <f aca="false">Model_Data!F79</f>
        <v>8252</v>
      </c>
      <c r="B80" s="3" t="n">
        <f aca="false">Model_Data!E79</f>
        <v>58749.63</v>
      </c>
      <c r="C80" s="3" t="n">
        <f aca="false">Model_Data!I79</f>
        <v>85.2</v>
      </c>
      <c r="D80" s="3" t="n">
        <f aca="false">Model_Data!G79</f>
        <v>0.203</v>
      </c>
      <c r="E80" s="3" t="n">
        <f aca="false">Model_Data!M79</f>
        <v>0</v>
      </c>
      <c r="F80" s="3" t="n">
        <f aca="false">Model_Data!N79</f>
        <v>0</v>
      </c>
      <c r="G80" s="3" t="n">
        <f aca="false">Model_Data!O79</f>
        <v>1</v>
      </c>
      <c r="H80" s="3" t="n">
        <f aca="false">Model_Data!S79</f>
        <v>680840.36</v>
      </c>
    </row>
    <row r="81" customFormat="false" ht="15" hidden="false" customHeight="true" outlineLevel="0" collapsed="false">
      <c r="A81" s="3" t="n">
        <f aca="false">Model_Data!F80</f>
        <v>6662</v>
      </c>
      <c r="B81" s="3" t="n">
        <f aca="false">Model_Data!E80</f>
        <v>56973.18</v>
      </c>
      <c r="C81" s="3" t="n">
        <f aca="false">Model_Data!I80</f>
        <v>77.7</v>
      </c>
      <c r="D81" s="3" t="n">
        <f aca="false">Model_Data!G80</f>
        <v>0.1</v>
      </c>
      <c r="E81" s="3" t="n">
        <f aca="false">Model_Data!M80</f>
        <v>0</v>
      </c>
      <c r="F81" s="3" t="n">
        <f aca="false">Model_Data!N80</f>
        <v>0</v>
      </c>
      <c r="G81" s="3" t="n">
        <f aca="false">Model_Data!O80</f>
        <v>0</v>
      </c>
      <c r="H81" s="3" t="n">
        <f aca="false">Model_Data!S80</f>
        <v>643657.47</v>
      </c>
    </row>
    <row r="82" customFormat="false" ht="15" hidden="false" customHeight="true" outlineLevel="0" collapsed="false">
      <c r="A82" s="3" t="n">
        <f aca="false">Model_Data!F81</f>
        <v>5962</v>
      </c>
      <c r="B82" s="3" t="n">
        <f aca="false">Model_Data!E81</f>
        <v>54872.82</v>
      </c>
      <c r="C82" s="3" t="n">
        <f aca="false">Model_Data!I81</f>
        <v>85.4</v>
      </c>
      <c r="D82" s="3" t="n">
        <f aca="false">Model_Data!G81</f>
        <v>0.064</v>
      </c>
      <c r="E82" s="3" t="n">
        <f aca="false">Model_Data!M81</f>
        <v>0</v>
      </c>
      <c r="F82" s="3" t="n">
        <f aca="false">Model_Data!N81</f>
        <v>0</v>
      </c>
      <c r="G82" s="3" t="n">
        <f aca="false">Model_Data!O81</f>
        <v>0</v>
      </c>
      <c r="H82" s="3" t="n">
        <f aca="false">Model_Data!S81</f>
        <v>691112.6</v>
      </c>
    </row>
    <row r="83" customFormat="false" ht="15" hidden="false" customHeight="true" outlineLevel="0" collapsed="false">
      <c r="A83" s="3" t="n">
        <f aca="false">Model_Data!F82</f>
        <v>7470</v>
      </c>
      <c r="B83" s="3" t="n">
        <f aca="false">Model_Data!E82</f>
        <v>80562.81</v>
      </c>
      <c r="C83" s="3" t="n">
        <f aca="false">Model_Data!I82</f>
        <v>83.5</v>
      </c>
      <c r="D83" s="3" t="n">
        <f aca="false">Model_Data!G82</f>
        <v>0.172</v>
      </c>
      <c r="E83" s="3" t="n">
        <f aca="false">Model_Data!M82</f>
        <v>0</v>
      </c>
      <c r="F83" s="3" t="n">
        <f aca="false">Model_Data!N82</f>
        <v>0</v>
      </c>
      <c r="G83" s="3" t="n">
        <f aca="false">Model_Data!O82</f>
        <v>0</v>
      </c>
      <c r="H83" s="3" t="n">
        <f aca="false">Model_Data!S82</f>
        <v>776922.17</v>
      </c>
    </row>
    <row r="84" customFormat="false" ht="15" hidden="false" customHeight="true" outlineLevel="0" collapsed="false">
      <c r="A84" s="3" t="n">
        <f aca="false">Model_Data!F83</f>
        <v>5974</v>
      </c>
      <c r="B84" s="3" t="n">
        <f aca="false">Model_Data!E83</f>
        <v>77999.9</v>
      </c>
      <c r="C84" s="3" t="n">
        <f aca="false">Model_Data!I83</f>
        <v>81.3</v>
      </c>
      <c r="D84" s="3" t="n">
        <f aca="false">Model_Data!G83</f>
        <v>0.252</v>
      </c>
      <c r="E84" s="3" t="n">
        <f aca="false">Model_Data!M83</f>
        <v>0</v>
      </c>
      <c r="F84" s="3" t="n">
        <f aca="false">Model_Data!N83</f>
        <v>0</v>
      </c>
      <c r="G84" s="3" t="n">
        <f aca="false">Model_Data!O83</f>
        <v>0</v>
      </c>
      <c r="H84" s="3" t="n">
        <f aca="false">Model_Data!S83</f>
        <v>636561.34</v>
      </c>
    </row>
    <row r="85" customFormat="false" ht="15" hidden="false" customHeight="true" outlineLevel="0" collapsed="false">
      <c r="A85" s="3" t="n">
        <f aca="false">Model_Data!F84</f>
        <v>5410</v>
      </c>
      <c r="B85" s="3" t="n">
        <f aca="false">Model_Data!E84</f>
        <v>60881.01</v>
      </c>
      <c r="C85" s="3" t="n">
        <f aca="false">Model_Data!I84</f>
        <v>83.9</v>
      </c>
      <c r="D85" s="3" t="n">
        <f aca="false">Model_Data!G84</f>
        <v>0.179</v>
      </c>
      <c r="E85" s="3" t="n">
        <f aca="false">Model_Data!M84</f>
        <v>0</v>
      </c>
      <c r="F85" s="3" t="n">
        <f aca="false">Model_Data!N84</f>
        <v>1</v>
      </c>
      <c r="G85" s="3" t="n">
        <f aca="false">Model_Data!O84</f>
        <v>0</v>
      </c>
      <c r="H85" s="3" t="n">
        <f aca="false">Model_Data!S84</f>
        <v>621369.58</v>
      </c>
    </row>
    <row r="86" customFormat="false" ht="15" hidden="false" customHeight="true" outlineLevel="0" collapsed="false">
      <c r="A86" s="3" t="n">
        <f aca="false">Model_Data!F85</f>
        <v>4451</v>
      </c>
      <c r="B86" s="3" t="n">
        <f aca="false">Model_Data!E85</f>
        <v>60628.38</v>
      </c>
      <c r="C86" s="3" t="n">
        <f aca="false">Model_Data!I85</f>
        <v>89.6</v>
      </c>
      <c r="D86" s="3" t="n">
        <f aca="false">Model_Data!G85</f>
        <v>0.095</v>
      </c>
      <c r="E86" s="3" t="n">
        <f aca="false">Model_Data!M85</f>
        <v>0</v>
      </c>
      <c r="F86" s="3" t="n">
        <f aca="false">Model_Data!N85</f>
        <v>1</v>
      </c>
      <c r="G86" s="3" t="n">
        <f aca="false">Model_Data!O85</f>
        <v>0</v>
      </c>
      <c r="H86" s="3" t="n">
        <f aca="false">Model_Data!S85</f>
        <v>682208.01</v>
      </c>
    </row>
    <row r="87" customFormat="false" ht="15" hidden="false" customHeight="true" outlineLevel="0" collapsed="false">
      <c r="A87" s="3" t="n">
        <f aca="false">Model_Data!F86</f>
        <v>4644</v>
      </c>
      <c r="B87" s="3" t="n">
        <f aca="false">Model_Data!E86</f>
        <v>72731.14</v>
      </c>
      <c r="C87" s="3" t="n">
        <f aca="false">Model_Data!I86</f>
        <v>87.1</v>
      </c>
      <c r="D87" s="3" t="n">
        <f aca="false">Model_Data!G86</f>
        <v>0.084</v>
      </c>
      <c r="E87" s="3" t="n">
        <f aca="false">Model_Data!M86</f>
        <v>0</v>
      </c>
      <c r="F87" s="3" t="n">
        <f aca="false">Model_Data!N86</f>
        <v>1</v>
      </c>
      <c r="G87" s="3" t="n">
        <f aca="false">Model_Data!O86</f>
        <v>0</v>
      </c>
      <c r="H87" s="3" t="n">
        <f aca="false">Model_Data!S86</f>
        <v>727241.86</v>
      </c>
    </row>
    <row r="88" customFormat="false" ht="15" hidden="false" customHeight="true" outlineLevel="0" collapsed="false">
      <c r="A88" s="3" t="n">
        <f aca="false">Model_Data!F87</f>
        <v>3559</v>
      </c>
      <c r="B88" s="3" t="n">
        <f aca="false">Model_Data!E87</f>
        <v>36475.71</v>
      </c>
      <c r="C88" s="3" t="n">
        <f aca="false">Model_Data!I87</f>
        <v>83.6</v>
      </c>
      <c r="D88" s="3" t="n">
        <f aca="false">Model_Data!G87</f>
        <v>0.03</v>
      </c>
      <c r="E88" s="3" t="n">
        <f aca="false">Model_Data!M87</f>
        <v>0</v>
      </c>
      <c r="F88" s="3" t="n">
        <f aca="false">Model_Data!N87</f>
        <v>1</v>
      </c>
      <c r="G88" s="3" t="n">
        <f aca="false">Model_Data!O87</f>
        <v>0</v>
      </c>
      <c r="H88" s="3" t="n">
        <f aca="false">Model_Data!S87</f>
        <v>569100.78</v>
      </c>
    </row>
    <row r="89" customFormat="false" ht="15" hidden="false" customHeight="true" outlineLevel="0" collapsed="false">
      <c r="A89" s="3" t="n">
        <f aca="false">Model_Data!F88</f>
        <v>3091</v>
      </c>
      <c r="B89" s="3" t="n">
        <f aca="false">Model_Data!E88</f>
        <v>55388.11</v>
      </c>
      <c r="C89" s="3" t="n">
        <f aca="false">Model_Data!I88</f>
        <v>85.4</v>
      </c>
      <c r="D89" s="3" t="n">
        <f aca="false">Model_Data!G88</f>
        <v>0.108</v>
      </c>
      <c r="E89" s="3" t="n">
        <f aca="false">Model_Data!M88</f>
        <v>0</v>
      </c>
      <c r="F89" s="3" t="n">
        <f aca="false">Model_Data!N88</f>
        <v>0</v>
      </c>
      <c r="G89" s="3" t="n">
        <f aca="false">Model_Data!O88</f>
        <v>0</v>
      </c>
      <c r="H89" s="3" t="n">
        <f aca="false">Model_Data!S88</f>
        <v>574436.29</v>
      </c>
    </row>
    <row r="90" customFormat="false" ht="15" hidden="false" customHeight="true" outlineLevel="0" collapsed="false">
      <c r="A90" s="3" t="n">
        <f aca="false">Model_Data!F89</f>
        <v>4004</v>
      </c>
      <c r="B90" s="3" t="n">
        <f aca="false">Model_Data!E89</f>
        <v>88443.77</v>
      </c>
      <c r="C90" s="3" t="n">
        <f aca="false">Model_Data!I89</f>
        <v>91.9</v>
      </c>
      <c r="D90" s="3" t="n">
        <f aca="false">Model_Data!G89</f>
        <v>0.206</v>
      </c>
      <c r="E90" s="3" t="n">
        <f aca="false">Model_Data!M89</f>
        <v>0</v>
      </c>
      <c r="F90" s="3" t="n">
        <f aca="false">Model_Data!N89</f>
        <v>0</v>
      </c>
      <c r="G90" s="3" t="n">
        <f aca="false">Model_Data!O89</f>
        <v>0</v>
      </c>
      <c r="H90" s="3" t="n">
        <f aca="false">Model_Data!S89</f>
        <v>611766.72</v>
      </c>
    </row>
    <row r="91" customFormat="false" ht="15" hidden="false" customHeight="true" outlineLevel="0" collapsed="false">
      <c r="A91" s="3" t="n">
        <f aca="false">Model_Data!F90</f>
        <v>3788</v>
      </c>
      <c r="B91" s="3" t="n">
        <f aca="false">Model_Data!E90</f>
        <v>78231.91</v>
      </c>
      <c r="C91" s="3" t="n">
        <f aca="false">Model_Data!I90</f>
        <v>88.5</v>
      </c>
      <c r="D91" s="3" t="n">
        <f aca="false">Model_Data!G90</f>
        <v>0.059</v>
      </c>
      <c r="E91" s="3" t="n">
        <f aca="false">Model_Data!M90</f>
        <v>0</v>
      </c>
      <c r="F91" s="3" t="n">
        <f aca="false">Model_Data!N90</f>
        <v>0</v>
      </c>
      <c r="G91" s="3" t="n">
        <f aca="false">Model_Data!O90</f>
        <v>0</v>
      </c>
      <c r="H91" s="3" t="n">
        <f aca="false">Model_Data!S90</f>
        <v>614596.32</v>
      </c>
    </row>
    <row r="92" customFormat="false" ht="15" hidden="false" customHeight="true" outlineLevel="0" collapsed="false">
      <c r="A92" s="3" t="n">
        <f aca="false">Model_Data!F91</f>
        <v>1260</v>
      </c>
      <c r="B92" s="3" t="n">
        <f aca="false">Model_Data!E91</f>
        <v>18996.32</v>
      </c>
      <c r="C92" s="3" t="n">
        <f aca="false">Model_Data!I91</f>
        <v>86.4</v>
      </c>
      <c r="D92" s="3" t="n">
        <f aca="false">Model_Data!G91</f>
        <v>0.145</v>
      </c>
      <c r="E92" s="3" t="n">
        <f aca="false">Model_Data!M91</f>
        <v>0</v>
      </c>
      <c r="F92" s="3" t="n">
        <f aca="false">Model_Data!N91</f>
        <v>0</v>
      </c>
      <c r="G92" s="3" t="n">
        <f aca="false">Model_Data!O91</f>
        <v>0</v>
      </c>
      <c r="H92" s="3" t="n">
        <f aca="false">Model_Data!S91</f>
        <v>450711.92</v>
      </c>
    </row>
    <row r="93" customFormat="false" ht="15" hidden="false" customHeight="true" outlineLevel="0" collapsed="false">
      <c r="A93" s="3" t="n">
        <f aca="false">Model_Data!F92</f>
        <v>7024</v>
      </c>
      <c r="B93" s="3" t="n">
        <f aca="false">Model_Data!E92</f>
        <v>50517.94</v>
      </c>
      <c r="C93" s="3" t="n">
        <f aca="false">Model_Data!I92</f>
        <v>79.2</v>
      </c>
      <c r="D93" s="3" t="n">
        <f aca="false">Model_Data!G92</f>
        <v>0.029</v>
      </c>
      <c r="E93" s="3" t="n">
        <f aca="false">Model_Data!M92</f>
        <v>0</v>
      </c>
      <c r="F93" s="3" t="n">
        <f aca="false">Model_Data!N92</f>
        <v>1</v>
      </c>
      <c r="G93" s="3" t="n">
        <f aca="false">Model_Data!O92</f>
        <v>0</v>
      </c>
      <c r="H93" s="3" t="n">
        <f aca="false">Model_Data!S92</f>
        <v>711213.46</v>
      </c>
    </row>
    <row r="94" customFormat="false" ht="15" hidden="false" customHeight="true" outlineLevel="0" collapsed="false">
      <c r="A94" s="3" t="n">
        <f aca="false">Model_Data!F93</f>
        <v>5400</v>
      </c>
      <c r="B94" s="3" t="n">
        <f aca="false">Model_Data!E93</f>
        <v>141540.29</v>
      </c>
      <c r="C94" s="3" t="n">
        <f aca="false">Model_Data!I93</f>
        <v>87</v>
      </c>
      <c r="D94" s="3" t="n">
        <f aca="false">Model_Data!G93</f>
        <v>0.013</v>
      </c>
      <c r="E94" s="3" t="n">
        <f aca="false">Model_Data!M93</f>
        <v>0</v>
      </c>
      <c r="F94" s="3" t="n">
        <f aca="false">Model_Data!N93</f>
        <v>1</v>
      </c>
      <c r="G94" s="3" t="n">
        <f aca="false">Model_Data!O93</f>
        <v>0</v>
      </c>
      <c r="H94" s="3" t="n">
        <f aca="false">Model_Data!S93</f>
        <v>627171.9</v>
      </c>
    </row>
    <row r="95" customFormat="false" ht="15" hidden="false" customHeight="true" outlineLevel="0" collapsed="false">
      <c r="A95" s="3" t="n">
        <f aca="false">Model_Data!F94</f>
        <v>5988</v>
      </c>
      <c r="B95" s="3" t="n">
        <f aca="false">Model_Data!E94</f>
        <v>82116.19</v>
      </c>
      <c r="C95" s="3" t="n">
        <f aca="false">Model_Data!I94</f>
        <v>91.8</v>
      </c>
      <c r="D95" s="3" t="n">
        <f aca="false">Model_Data!G94</f>
        <v>0.04</v>
      </c>
      <c r="E95" s="3" t="n">
        <f aca="false">Model_Data!M94</f>
        <v>0</v>
      </c>
      <c r="F95" s="3" t="n">
        <f aca="false">Model_Data!N94</f>
        <v>1</v>
      </c>
      <c r="G95" s="3" t="n">
        <f aca="false">Model_Data!O94</f>
        <v>0</v>
      </c>
      <c r="H95" s="3" t="n">
        <f aca="false">Model_Data!S94</f>
        <v>739852.58</v>
      </c>
    </row>
    <row r="96" customFormat="false" ht="15" hidden="false" customHeight="true" outlineLevel="0" collapsed="false">
      <c r="A96" s="3" t="n">
        <f aca="false">Model_Data!F95</f>
        <v>3701</v>
      </c>
      <c r="B96" s="3" t="n">
        <f aca="false">Model_Data!E95</f>
        <v>31207.51</v>
      </c>
      <c r="C96" s="3" t="n">
        <f aca="false">Model_Data!I95</f>
        <v>84.7</v>
      </c>
      <c r="D96" s="3" t="n">
        <f aca="false">Model_Data!G95</f>
        <v>0.043</v>
      </c>
      <c r="E96" s="3" t="n">
        <f aca="false">Model_Data!M95</f>
        <v>0</v>
      </c>
      <c r="F96" s="3" t="n">
        <f aca="false">Model_Data!N95</f>
        <v>1</v>
      </c>
      <c r="G96" s="3" t="n">
        <f aca="false">Model_Data!O95</f>
        <v>0</v>
      </c>
      <c r="H96" s="3" t="n">
        <f aca="false">Model_Data!S95</f>
        <v>586307.22</v>
      </c>
    </row>
    <row r="97" customFormat="false" ht="15" hidden="false" customHeight="true" outlineLevel="0" collapsed="false">
      <c r="A97" s="3" t="n">
        <f aca="false">Model_Data!F96</f>
        <v>4509</v>
      </c>
      <c r="B97" s="3" t="n">
        <f aca="false">Model_Data!E96</f>
        <v>38966.59</v>
      </c>
      <c r="C97" s="3" t="n">
        <f aca="false">Model_Data!I96</f>
        <v>91.1</v>
      </c>
      <c r="D97" s="3" t="n">
        <f aca="false">Model_Data!G96</f>
        <v>0.194</v>
      </c>
      <c r="E97" s="3" t="n">
        <f aca="false">Model_Data!M96</f>
        <v>0</v>
      </c>
      <c r="F97" s="3" t="n">
        <f aca="false">Model_Data!N96</f>
        <v>0</v>
      </c>
      <c r="G97" s="3" t="n">
        <f aca="false">Model_Data!O96</f>
        <v>1</v>
      </c>
      <c r="H97" s="3" t="n">
        <f aca="false">Model_Data!S96</f>
        <v>585937.48</v>
      </c>
    </row>
    <row r="98" customFormat="false" ht="15" hidden="false" customHeight="true" outlineLevel="0" collapsed="false">
      <c r="A98" s="3" t="n">
        <f aca="false">Model_Data!F97</f>
        <v>6477</v>
      </c>
      <c r="B98" s="3" t="n">
        <f aca="false">Model_Data!E97</f>
        <v>67439.3</v>
      </c>
      <c r="C98" s="3" t="n">
        <f aca="false">Model_Data!I97</f>
        <v>90.9</v>
      </c>
      <c r="D98" s="3" t="n">
        <f aca="false">Model_Data!G97</f>
        <v>0</v>
      </c>
      <c r="E98" s="3" t="n">
        <f aca="false">Model_Data!M97</f>
        <v>0</v>
      </c>
      <c r="F98" s="3" t="n">
        <f aca="false">Model_Data!N97</f>
        <v>0</v>
      </c>
      <c r="G98" s="3" t="n">
        <f aca="false">Model_Data!O97</f>
        <v>1</v>
      </c>
      <c r="H98" s="3" t="n">
        <f aca="false">Model_Data!S97</f>
        <v>753473.55</v>
      </c>
    </row>
    <row r="99" customFormat="false" ht="15" hidden="false" customHeight="true" outlineLevel="0" collapsed="false">
      <c r="A99" s="3" t="n">
        <f aca="false">Model_Data!F98</f>
        <v>7970</v>
      </c>
      <c r="B99" s="3" t="n">
        <f aca="false">Model_Data!E98</f>
        <v>86421.88</v>
      </c>
      <c r="C99" s="3" t="n">
        <f aca="false">Model_Data!I98</f>
        <v>91.3</v>
      </c>
      <c r="D99" s="3" t="n">
        <f aca="false">Model_Data!G98</f>
        <v>0.073</v>
      </c>
      <c r="E99" s="3" t="n">
        <f aca="false">Model_Data!M98</f>
        <v>0</v>
      </c>
      <c r="F99" s="3" t="n">
        <f aca="false">Model_Data!N98</f>
        <v>0</v>
      </c>
      <c r="G99" s="3" t="n">
        <f aca="false">Model_Data!O98</f>
        <v>1</v>
      </c>
      <c r="H99" s="3" t="n">
        <f aca="false">Model_Data!S98</f>
        <v>838250.32</v>
      </c>
    </row>
    <row r="100" customFormat="false" ht="15" hidden="false" customHeight="true" outlineLevel="0" collapsed="false">
      <c r="A100" s="3" t="n">
        <f aca="false">Model_Data!F99</f>
        <v>6057</v>
      </c>
      <c r="B100" s="3" t="n">
        <f aca="false">Model_Data!E99</f>
        <v>9534.65</v>
      </c>
      <c r="C100" s="3" t="n">
        <f aca="false">Model_Data!I99</f>
        <v>94.1</v>
      </c>
      <c r="D100" s="3" t="n">
        <f aca="false">Model_Data!G99</f>
        <v>0.074</v>
      </c>
      <c r="E100" s="3" t="n">
        <f aca="false">Model_Data!M99</f>
        <v>0</v>
      </c>
      <c r="F100" s="3" t="n">
        <f aca="false">Model_Data!N99</f>
        <v>0</v>
      </c>
      <c r="G100" s="3" t="n">
        <f aca="false">Model_Data!O99</f>
        <v>1</v>
      </c>
      <c r="H100" s="3" t="n">
        <f aca="false">Model_Data!S99</f>
        <v>607898.12</v>
      </c>
    </row>
    <row r="101" customFormat="false" ht="15" hidden="false" customHeight="true" outlineLevel="0" collapsed="false">
      <c r="A101" s="3" t="n">
        <f aca="false">Model_Data!F100</f>
        <v>6394</v>
      </c>
      <c r="B101" s="3" t="n">
        <f aca="false">Model_Data!E100</f>
        <v>61132.07</v>
      </c>
      <c r="C101" s="3" t="n">
        <f aca="false">Model_Data!I100</f>
        <v>91</v>
      </c>
      <c r="D101" s="3" t="n">
        <f aca="false">Model_Data!G100</f>
        <v>0.163</v>
      </c>
      <c r="E101" s="3" t="n">
        <f aca="false">Model_Data!M100</f>
        <v>0</v>
      </c>
      <c r="F101" s="3" t="n">
        <f aca="false">Model_Data!N100</f>
        <v>1</v>
      </c>
      <c r="G101" s="3" t="n">
        <f aca="false">Model_Data!O100</f>
        <v>0</v>
      </c>
      <c r="H101" s="3" t="n">
        <f aca="false">Model_Data!S100</f>
        <v>691113.62</v>
      </c>
    </row>
    <row r="102" customFormat="false" ht="15" hidden="false" customHeight="true" outlineLevel="0" collapsed="false">
      <c r="A102" s="3" t="n">
        <f aca="false">Model_Data!F101</f>
        <v>5150</v>
      </c>
      <c r="B102" s="3" t="n">
        <f aca="false">Model_Data!E101</f>
        <v>78839.39</v>
      </c>
      <c r="C102" s="3" t="n">
        <f aca="false">Model_Data!I101</f>
        <v>85.8</v>
      </c>
      <c r="D102" s="3" t="n">
        <f aca="false">Model_Data!G101</f>
        <v>0.171</v>
      </c>
      <c r="E102" s="3" t="n">
        <f aca="false">Model_Data!M101</f>
        <v>0</v>
      </c>
      <c r="F102" s="3" t="n">
        <f aca="false">Model_Data!N101</f>
        <v>1</v>
      </c>
      <c r="G102" s="3" t="n">
        <f aca="false">Model_Data!O101</f>
        <v>0</v>
      </c>
      <c r="H102" s="3" t="n">
        <f aca="false">Model_Data!S101</f>
        <v>735509.4</v>
      </c>
    </row>
    <row r="103" customFormat="false" ht="15" hidden="false" customHeight="true" outlineLevel="0" collapsed="false">
      <c r="A103" s="3" t="n">
        <f aca="false">Model_Data!F102</f>
        <v>4712</v>
      </c>
      <c r="B103" s="3" t="n">
        <f aca="false">Model_Data!E102</f>
        <v>38752.8</v>
      </c>
      <c r="C103" s="3" t="n">
        <f aca="false">Model_Data!I102</f>
        <v>89.7</v>
      </c>
      <c r="D103" s="3" t="n">
        <f aca="false">Model_Data!G102</f>
        <v>0.075</v>
      </c>
      <c r="E103" s="3" t="n">
        <f aca="false">Model_Data!M102</f>
        <v>0</v>
      </c>
      <c r="F103" s="3" t="n">
        <f aca="false">Model_Data!N102</f>
        <v>1</v>
      </c>
      <c r="G103" s="3" t="n">
        <f aca="false">Model_Data!O102</f>
        <v>0</v>
      </c>
      <c r="H103" s="3" t="n">
        <f aca="false">Model_Data!S102</f>
        <v>605775.33</v>
      </c>
    </row>
    <row r="104" customFormat="false" ht="15" hidden="false" customHeight="true" outlineLevel="0" collapsed="false">
      <c r="A104" s="3" t="n">
        <f aca="false">Model_Data!F103</f>
        <v>5281</v>
      </c>
      <c r="B104" s="3" t="n">
        <f aca="false">Model_Data!E103</f>
        <v>55101.1</v>
      </c>
      <c r="C104" s="3" t="n">
        <f aca="false">Model_Data!I103</f>
        <v>91</v>
      </c>
      <c r="D104" s="3" t="n">
        <f aca="false">Model_Data!G103</f>
        <v>0.189</v>
      </c>
      <c r="E104" s="3" t="n">
        <f aca="false">Model_Data!M103</f>
        <v>0</v>
      </c>
      <c r="F104" s="3" t="n">
        <f aca="false">Model_Data!N103</f>
        <v>1</v>
      </c>
      <c r="G104" s="3" t="n">
        <f aca="false">Model_Data!O103</f>
        <v>0</v>
      </c>
      <c r="H104" s="3" t="n">
        <f aca="false">Model_Data!S103</f>
        <v>675177.68</v>
      </c>
    </row>
    <row r="105" customFormat="false" ht="15" hidden="false" customHeight="true" outlineLevel="0" collapsed="false">
      <c r="A105" s="3" t="n">
        <f aca="false">Model_Data!F104</f>
        <v>3642</v>
      </c>
      <c r="B105" s="3" t="n">
        <f aca="false">Model_Data!E104</f>
        <v>53084.76</v>
      </c>
      <c r="C105" s="3" t="n">
        <f aca="false">Model_Data!I104</f>
        <v>91.4</v>
      </c>
      <c r="D105" s="3" t="n">
        <f aca="false">Model_Data!G104</f>
        <v>0.15</v>
      </c>
      <c r="E105" s="3" t="n">
        <f aca="false">Model_Data!M104</f>
        <v>0</v>
      </c>
      <c r="F105" s="3" t="n">
        <f aca="false">Model_Data!N104</f>
        <v>1</v>
      </c>
      <c r="G105" s="3" t="n">
        <f aca="false">Model_Data!O104</f>
        <v>0</v>
      </c>
      <c r="H105" s="3" t="n">
        <f aca="false">Model_Data!S104</f>
        <v>635181.35</v>
      </c>
    </row>
    <row r="106" customFormat="false" ht="15" hidden="false" customHeight="true" outlineLevel="0" collapsed="false">
      <c r="A106" s="3" t="n">
        <f aca="false">Model_Data!F105</f>
        <v>4373</v>
      </c>
      <c r="B106" s="3" t="n">
        <f aca="false">Model_Data!E105</f>
        <v>63101.59</v>
      </c>
      <c r="C106" s="3" t="n">
        <f aca="false">Model_Data!I105</f>
        <v>90.4</v>
      </c>
      <c r="D106" s="3" t="n">
        <f aca="false">Model_Data!G105</f>
        <v>0.173</v>
      </c>
      <c r="E106" s="3" t="n">
        <f aca="false">Model_Data!M105</f>
        <v>0</v>
      </c>
      <c r="F106" s="3" t="n">
        <f aca="false">Model_Data!N105</f>
        <v>1</v>
      </c>
      <c r="G106" s="3" t="n">
        <f aca="false">Model_Data!O105</f>
        <v>0</v>
      </c>
      <c r="H106" s="3" t="n">
        <f aca="false">Model_Data!S105</f>
        <v>586626.94</v>
      </c>
    </row>
    <row r="107" customFormat="false" ht="15" hidden="false" customHeight="true" outlineLevel="0" collapsed="false">
      <c r="A107" s="3" t="n">
        <f aca="false">Model_Data!F106</f>
        <v>6832</v>
      </c>
      <c r="B107" s="3" t="n">
        <f aca="false">Model_Data!E106</f>
        <v>90084.4</v>
      </c>
      <c r="C107" s="3" t="n">
        <f aca="false">Model_Data!I106</f>
        <v>80.5</v>
      </c>
      <c r="D107" s="3" t="n">
        <f aca="false">Model_Data!G106</f>
        <v>0.185</v>
      </c>
      <c r="E107" s="3" t="n">
        <f aca="false">Model_Data!M106</f>
        <v>0</v>
      </c>
      <c r="F107" s="3" t="n">
        <f aca="false">Model_Data!N106</f>
        <v>1</v>
      </c>
      <c r="G107" s="3" t="n">
        <f aca="false">Model_Data!O106</f>
        <v>0</v>
      </c>
      <c r="H107" s="3" t="n">
        <f aca="false">Model_Data!S106</f>
        <v>740102.64</v>
      </c>
    </row>
    <row r="108" customFormat="false" ht="15" hidden="false" customHeight="true" outlineLevel="0" collapsed="false">
      <c r="A108" s="3" t="n">
        <f aca="false">Model_Data!F107</f>
        <v>2414</v>
      </c>
      <c r="B108" s="3" t="n">
        <f aca="false">Model_Data!E107</f>
        <v>32266.64</v>
      </c>
      <c r="C108" s="3" t="n">
        <f aca="false">Model_Data!I107</f>
        <v>92.1</v>
      </c>
      <c r="D108" s="3" t="n">
        <f aca="false">Model_Data!G107</f>
        <v>0.08</v>
      </c>
      <c r="E108" s="3" t="n">
        <f aca="false">Model_Data!M107</f>
        <v>0</v>
      </c>
      <c r="F108" s="3" t="n">
        <f aca="false">Model_Data!N107</f>
        <v>1</v>
      </c>
      <c r="G108" s="3" t="n">
        <f aca="false">Model_Data!O107</f>
        <v>0</v>
      </c>
      <c r="H108" s="3" t="n">
        <f aca="false">Model_Data!S107</f>
        <v>625514.04</v>
      </c>
    </row>
    <row r="109" customFormat="false" ht="15" hidden="false" customHeight="true" outlineLevel="0" collapsed="false">
      <c r="A109" s="3" t="n">
        <f aca="false">Model_Data!F108</f>
        <v>7374</v>
      </c>
      <c r="B109" s="3" t="n">
        <f aca="false">Model_Data!E108</f>
        <v>57919.07</v>
      </c>
      <c r="C109" s="3" t="n">
        <f aca="false">Model_Data!I108</f>
        <v>82.3</v>
      </c>
      <c r="D109" s="3" t="n">
        <f aca="false">Model_Data!G108</f>
        <v>0.103</v>
      </c>
      <c r="E109" s="3" t="n">
        <f aca="false">Model_Data!M108</f>
        <v>0</v>
      </c>
      <c r="F109" s="3" t="n">
        <f aca="false">Model_Data!N108</f>
        <v>0</v>
      </c>
      <c r="G109" s="3" t="n">
        <f aca="false">Model_Data!O108</f>
        <v>0</v>
      </c>
      <c r="H109" s="3" t="n">
        <f aca="false">Model_Data!S108</f>
        <v>727227.2</v>
      </c>
    </row>
    <row r="110" customFormat="false" ht="15" hidden="false" customHeight="true" outlineLevel="0" collapsed="false">
      <c r="A110" s="3" t="n">
        <f aca="false">Model_Data!F109</f>
        <v>8739</v>
      </c>
      <c r="B110" s="3" t="n">
        <f aca="false">Model_Data!E109</f>
        <v>74679.35</v>
      </c>
      <c r="C110" s="3" t="n">
        <f aca="false">Model_Data!I109</f>
        <v>91.8</v>
      </c>
      <c r="D110" s="3" t="n">
        <f aca="false">Model_Data!G109</f>
        <v>0.056</v>
      </c>
      <c r="E110" s="3" t="n">
        <f aca="false">Model_Data!M109</f>
        <v>0</v>
      </c>
      <c r="F110" s="3" t="n">
        <f aca="false">Model_Data!N109</f>
        <v>0</v>
      </c>
      <c r="G110" s="3" t="n">
        <f aca="false">Model_Data!O109</f>
        <v>0</v>
      </c>
      <c r="H110" s="3" t="n">
        <f aca="false">Model_Data!S109</f>
        <v>783797.89</v>
      </c>
    </row>
    <row r="111" customFormat="false" ht="15" hidden="false" customHeight="true" outlineLevel="0" collapsed="false">
      <c r="A111" s="3" t="n">
        <f aca="false">Model_Data!F110</f>
        <v>6992</v>
      </c>
      <c r="B111" s="3" t="n">
        <f aca="false">Model_Data!E110</f>
        <v>64294.23</v>
      </c>
      <c r="C111" s="3" t="n">
        <f aca="false">Model_Data!I110</f>
        <v>94.1</v>
      </c>
      <c r="D111" s="3" t="n">
        <f aca="false">Model_Data!G110</f>
        <v>0.133</v>
      </c>
      <c r="E111" s="3" t="n">
        <f aca="false">Model_Data!M110</f>
        <v>0</v>
      </c>
      <c r="F111" s="3" t="n">
        <f aca="false">Model_Data!N110</f>
        <v>0</v>
      </c>
      <c r="G111" s="3" t="n">
        <f aca="false">Model_Data!O110</f>
        <v>0</v>
      </c>
      <c r="H111" s="3" t="n">
        <f aca="false">Model_Data!S110</f>
        <v>795153.84</v>
      </c>
    </row>
    <row r="112" customFormat="false" ht="15" hidden="false" customHeight="true" outlineLevel="0" collapsed="false">
      <c r="A112" s="3" t="n">
        <f aca="false">Model_Data!F111</f>
        <v>7107</v>
      </c>
      <c r="B112" s="3" t="n">
        <f aca="false">Model_Data!E111</f>
        <v>31042.03</v>
      </c>
      <c r="C112" s="3" t="n">
        <f aca="false">Model_Data!I111</f>
        <v>87</v>
      </c>
      <c r="D112" s="3" t="n">
        <f aca="false">Model_Data!G111</f>
        <v>0.051</v>
      </c>
      <c r="E112" s="3" t="n">
        <f aca="false">Model_Data!M111</f>
        <v>0</v>
      </c>
      <c r="F112" s="3" t="n">
        <f aca="false">Model_Data!N111</f>
        <v>0</v>
      </c>
      <c r="G112" s="3" t="n">
        <f aca="false">Model_Data!O111</f>
        <v>0</v>
      </c>
      <c r="H112" s="3" t="n">
        <f aca="false">Model_Data!S111</f>
        <v>665594.94</v>
      </c>
    </row>
    <row r="113" customFormat="false" ht="15" hidden="false" customHeight="true" outlineLevel="0" collapsed="false">
      <c r="A113" s="3" t="n">
        <f aca="false">Model_Data!F112</f>
        <v>6975</v>
      </c>
      <c r="B113" s="3" t="n">
        <f aca="false">Model_Data!E112</f>
        <v>75265.02</v>
      </c>
      <c r="C113" s="3" t="n">
        <f aca="false">Model_Data!I112</f>
        <v>73.8</v>
      </c>
      <c r="D113" s="3" t="n">
        <f aca="false">Model_Data!G112</f>
        <v>0.157</v>
      </c>
      <c r="E113" s="3" t="n">
        <f aca="false">Model_Data!M112</f>
        <v>0</v>
      </c>
      <c r="F113" s="3" t="n">
        <f aca="false">Model_Data!N112</f>
        <v>1</v>
      </c>
      <c r="G113" s="3" t="n">
        <f aca="false">Model_Data!O112</f>
        <v>0</v>
      </c>
      <c r="H113" s="3" t="n">
        <f aca="false">Model_Data!S112</f>
        <v>709478.39</v>
      </c>
    </row>
    <row r="114" customFormat="false" ht="15" hidden="false" customHeight="true" outlineLevel="0" collapsed="false">
      <c r="A114" s="3" t="n">
        <f aca="false">Model_Data!F113</f>
        <v>5493</v>
      </c>
      <c r="B114" s="3" t="n">
        <f aca="false">Model_Data!E113</f>
        <v>69411.7</v>
      </c>
      <c r="C114" s="3" t="n">
        <f aca="false">Model_Data!I113</f>
        <v>86.5</v>
      </c>
      <c r="D114" s="3" t="n">
        <f aca="false">Model_Data!G113</f>
        <v>0.292</v>
      </c>
      <c r="E114" s="3" t="n">
        <f aca="false">Model_Data!M113</f>
        <v>0</v>
      </c>
      <c r="F114" s="3" t="n">
        <f aca="false">Model_Data!N113</f>
        <v>1</v>
      </c>
      <c r="G114" s="3" t="n">
        <f aca="false">Model_Data!O113</f>
        <v>0</v>
      </c>
      <c r="H114" s="3" t="n">
        <f aca="false">Model_Data!S113</f>
        <v>664162.49</v>
      </c>
    </row>
    <row r="115" customFormat="false" ht="15" hidden="false" customHeight="true" outlineLevel="0" collapsed="false">
      <c r="A115" s="3" t="n">
        <f aca="false">Model_Data!F114</f>
        <v>5686</v>
      </c>
      <c r="B115" s="3" t="n">
        <f aca="false">Model_Data!E114</f>
        <v>51056.15</v>
      </c>
      <c r="C115" s="3" t="n">
        <f aca="false">Model_Data!I114</f>
        <v>89.9</v>
      </c>
      <c r="D115" s="3" t="n">
        <f aca="false">Model_Data!G114</f>
        <v>0.089</v>
      </c>
      <c r="E115" s="3" t="n">
        <f aca="false">Model_Data!M114</f>
        <v>0</v>
      </c>
      <c r="F115" s="3" t="n">
        <f aca="false">Model_Data!N114</f>
        <v>1</v>
      </c>
      <c r="G115" s="3" t="n">
        <f aca="false">Model_Data!O114</f>
        <v>0</v>
      </c>
      <c r="H115" s="3" t="n">
        <f aca="false">Model_Data!S114</f>
        <v>633494.21</v>
      </c>
    </row>
    <row r="116" customFormat="false" ht="15" hidden="false" customHeight="true" outlineLevel="0" collapsed="false">
      <c r="A116" s="3" t="n">
        <f aca="false">Model_Data!F115</f>
        <v>4063</v>
      </c>
      <c r="B116" s="3" t="n">
        <f aca="false">Model_Data!E115</f>
        <v>52758.01</v>
      </c>
      <c r="C116" s="3" t="n">
        <f aca="false">Model_Data!I115</f>
        <v>91.7</v>
      </c>
      <c r="D116" s="3" t="n">
        <f aca="false">Model_Data!G115</f>
        <v>0.057</v>
      </c>
      <c r="E116" s="3" t="n">
        <f aca="false">Model_Data!M115</f>
        <v>0</v>
      </c>
      <c r="F116" s="3" t="n">
        <f aca="false">Model_Data!N115</f>
        <v>1</v>
      </c>
      <c r="G116" s="3" t="n">
        <f aca="false">Model_Data!O115</f>
        <v>0</v>
      </c>
      <c r="H116" s="3" t="n">
        <f aca="false">Model_Data!S115</f>
        <v>713611.16</v>
      </c>
    </row>
    <row r="117" customFormat="false" ht="15" hidden="false" customHeight="true" outlineLevel="0" collapsed="false">
      <c r="A117" s="3" t="n">
        <f aca="false">Model_Data!F116</f>
        <v>8966</v>
      </c>
      <c r="B117" s="3" t="n">
        <f aca="false">Model_Data!E116</f>
        <v>61426.04</v>
      </c>
      <c r="C117" s="3" t="n">
        <f aca="false">Model_Data!I116</f>
        <v>76.4</v>
      </c>
      <c r="D117" s="3" t="n">
        <f aca="false">Model_Data!G116</f>
        <v>0.173</v>
      </c>
      <c r="E117" s="3" t="n">
        <f aca="false">Model_Data!M116</f>
        <v>0</v>
      </c>
      <c r="F117" s="3" t="n">
        <f aca="false">Model_Data!N116</f>
        <v>1</v>
      </c>
      <c r="G117" s="3" t="n">
        <f aca="false">Model_Data!O116</f>
        <v>0</v>
      </c>
      <c r="H117" s="3" t="n">
        <f aca="false">Model_Data!S116</f>
        <v>778397.97</v>
      </c>
    </row>
    <row r="118" customFormat="false" ht="15" hidden="false" customHeight="true" outlineLevel="0" collapsed="false">
      <c r="A118" s="3" t="n">
        <f aca="false">Model_Data!F117</f>
        <v>9489</v>
      </c>
      <c r="B118" s="3" t="n">
        <f aca="false">Model_Data!E117</f>
        <v>80176.34</v>
      </c>
      <c r="C118" s="3" t="n">
        <f aca="false">Model_Data!I117</f>
        <v>94.3</v>
      </c>
      <c r="D118" s="3" t="n">
        <f aca="false">Model_Data!G117</f>
        <v>0.142</v>
      </c>
      <c r="E118" s="3" t="n">
        <f aca="false">Model_Data!M117</f>
        <v>0</v>
      </c>
      <c r="F118" s="3" t="n">
        <f aca="false">Model_Data!N117</f>
        <v>1</v>
      </c>
      <c r="G118" s="3" t="n">
        <f aca="false">Model_Data!O117</f>
        <v>0</v>
      </c>
      <c r="H118" s="3" t="n">
        <f aca="false">Model_Data!S117</f>
        <v>873380.02</v>
      </c>
    </row>
    <row r="119" customFormat="false" ht="15" hidden="false" customHeight="true" outlineLevel="0" collapsed="false">
      <c r="A119" s="3" t="n">
        <f aca="false">Model_Data!F118</f>
        <v>9225</v>
      </c>
      <c r="B119" s="3" t="n">
        <f aca="false">Model_Data!E118</f>
        <v>33605.18</v>
      </c>
      <c r="C119" s="3" t="n">
        <f aca="false">Model_Data!I118</f>
        <v>88.4</v>
      </c>
      <c r="D119" s="3" t="n">
        <f aca="false">Model_Data!G118</f>
        <v>0.159</v>
      </c>
      <c r="E119" s="3" t="n">
        <f aca="false">Model_Data!M118</f>
        <v>0</v>
      </c>
      <c r="F119" s="3" t="n">
        <f aca="false">Model_Data!N118</f>
        <v>1</v>
      </c>
      <c r="G119" s="3" t="n">
        <f aca="false">Model_Data!O118</f>
        <v>0</v>
      </c>
      <c r="H119" s="3" t="n">
        <f aca="false">Model_Data!S118</f>
        <v>697287.9</v>
      </c>
    </row>
    <row r="120" customFormat="false" ht="15" hidden="false" customHeight="true" outlineLevel="0" collapsed="false">
      <c r="A120" s="3" t="n">
        <f aca="false">Model_Data!F119</f>
        <v>9249</v>
      </c>
      <c r="B120" s="3" t="n">
        <f aca="false">Model_Data!E119</f>
        <v>25990.54</v>
      </c>
      <c r="C120" s="3" t="n">
        <f aca="false">Model_Data!I119</f>
        <v>92.5</v>
      </c>
      <c r="D120" s="3" t="n">
        <f aca="false">Model_Data!G119</f>
        <v>0.139</v>
      </c>
      <c r="E120" s="3" t="n">
        <f aca="false">Model_Data!M119</f>
        <v>0</v>
      </c>
      <c r="F120" s="3" t="n">
        <f aca="false">Model_Data!N119</f>
        <v>1</v>
      </c>
      <c r="G120" s="3" t="n">
        <f aca="false">Model_Data!O119</f>
        <v>0</v>
      </c>
      <c r="H120" s="3" t="n">
        <f aca="false">Model_Data!S119</f>
        <v>718074.79</v>
      </c>
    </row>
    <row r="121" customFormat="false" ht="15" hidden="false" customHeight="true" outlineLevel="0" collapsed="false">
      <c r="A121" s="3" t="n">
        <f aca="false">Model_Data!F120</f>
        <v>7821</v>
      </c>
      <c r="B121" s="3" t="n">
        <f aca="false">Model_Data!E120</f>
        <v>43685.14</v>
      </c>
      <c r="C121" s="3" t="n">
        <f aca="false">Model_Data!I120</f>
        <v>91</v>
      </c>
      <c r="D121" s="3" t="n">
        <f aca="false">Model_Data!G120</f>
        <v>0.19</v>
      </c>
      <c r="E121" s="3" t="n">
        <f aca="false">Model_Data!M120</f>
        <v>0</v>
      </c>
      <c r="F121" s="3" t="n">
        <f aca="false">Model_Data!N120</f>
        <v>0</v>
      </c>
      <c r="G121" s="3" t="n">
        <f aca="false">Model_Data!O120</f>
        <v>1</v>
      </c>
      <c r="H121" s="3" t="n">
        <f aca="false">Model_Data!S120</f>
        <v>714942.43</v>
      </c>
    </row>
    <row r="122" customFormat="false" ht="15" hidden="false" customHeight="true" outlineLevel="0" collapsed="false">
      <c r="A122" s="3" t="n">
        <f aca="false">Model_Data!F121</f>
        <v>8434</v>
      </c>
      <c r="B122" s="3" t="n">
        <f aca="false">Model_Data!E121</f>
        <v>57360.01</v>
      </c>
      <c r="C122" s="3" t="n">
        <f aca="false">Model_Data!I121</f>
        <v>84.1</v>
      </c>
      <c r="D122" s="3" t="n">
        <f aca="false">Model_Data!G121</f>
        <v>0.151</v>
      </c>
      <c r="E122" s="3" t="n">
        <f aca="false">Model_Data!M121</f>
        <v>0</v>
      </c>
      <c r="F122" s="3" t="n">
        <f aca="false">Model_Data!N121</f>
        <v>0</v>
      </c>
      <c r="G122" s="3" t="n">
        <f aca="false">Model_Data!O121</f>
        <v>1</v>
      </c>
      <c r="H122" s="3" t="n">
        <f aca="false">Model_Data!S121</f>
        <v>820519.04</v>
      </c>
    </row>
    <row r="123" customFormat="false" ht="15" hidden="false" customHeight="true" outlineLevel="0" collapsed="false">
      <c r="A123" s="3" t="n">
        <f aca="false">Model_Data!F122</f>
        <v>8512</v>
      </c>
      <c r="B123" s="3" t="n">
        <f aca="false">Model_Data!E122</f>
        <v>42415.47</v>
      </c>
      <c r="C123" s="3" t="n">
        <f aca="false">Model_Data!I122</f>
        <v>96.8</v>
      </c>
      <c r="D123" s="3" t="n">
        <f aca="false">Model_Data!G122</f>
        <v>0.133</v>
      </c>
      <c r="E123" s="3" t="n">
        <f aca="false">Model_Data!M122</f>
        <v>0</v>
      </c>
      <c r="F123" s="3" t="n">
        <f aca="false">Model_Data!N122</f>
        <v>0</v>
      </c>
      <c r="G123" s="3" t="n">
        <f aca="false">Model_Data!O122</f>
        <v>1</v>
      </c>
      <c r="H123" s="3" t="n">
        <f aca="false">Model_Data!S122</f>
        <v>684217.32</v>
      </c>
    </row>
    <row r="124" customFormat="false" ht="15" hidden="false" customHeight="true" outlineLevel="0" collapsed="false">
      <c r="A124" s="3" t="n">
        <f aca="false">Model_Data!F123</f>
        <v>7816</v>
      </c>
      <c r="B124" s="3" t="n">
        <f aca="false">Model_Data!E123</f>
        <v>54968.98</v>
      </c>
      <c r="C124" s="3" t="n">
        <f aca="false">Model_Data!I123</f>
        <v>95.7</v>
      </c>
      <c r="D124" s="3" t="n">
        <f aca="false">Model_Data!G123</f>
        <v>0.232</v>
      </c>
      <c r="E124" s="3" t="n">
        <f aca="false">Model_Data!M123</f>
        <v>0</v>
      </c>
      <c r="F124" s="3" t="n">
        <f aca="false">Model_Data!N123</f>
        <v>0</v>
      </c>
      <c r="G124" s="3" t="n">
        <f aca="false">Model_Data!O123</f>
        <v>1</v>
      </c>
      <c r="H124" s="3" t="n">
        <f aca="false">Model_Data!S123</f>
        <v>735480.19</v>
      </c>
    </row>
    <row r="125" customFormat="false" ht="15" hidden="false" customHeight="true" outlineLevel="0" collapsed="false">
      <c r="A125" s="3" t="n">
        <f aca="false">Model_Data!F124</f>
        <v>3853</v>
      </c>
      <c r="B125" s="3" t="n">
        <f aca="false">Model_Data!E124</f>
        <v>43896.13</v>
      </c>
      <c r="C125" s="3" t="n">
        <f aca="false">Model_Data!I124</f>
        <v>83</v>
      </c>
      <c r="D125" s="3" t="n">
        <f aca="false">Model_Data!G124</f>
        <v>0.088</v>
      </c>
      <c r="E125" s="3" t="n">
        <f aca="false">Model_Data!M124</f>
        <v>0</v>
      </c>
      <c r="F125" s="3" t="n">
        <f aca="false">Model_Data!N124</f>
        <v>0</v>
      </c>
      <c r="G125" s="3" t="n">
        <f aca="false">Model_Data!O124</f>
        <v>0</v>
      </c>
      <c r="H125" s="3" t="n">
        <f aca="false">Model_Data!S124</f>
        <v>509484.81</v>
      </c>
    </row>
    <row r="126" customFormat="false" ht="15" hidden="false" customHeight="true" outlineLevel="0" collapsed="false">
      <c r="A126" s="3" t="n">
        <f aca="false">Model_Data!F125</f>
        <v>3694</v>
      </c>
      <c r="B126" s="3" t="n">
        <f aca="false">Model_Data!E125</f>
        <v>83044.17</v>
      </c>
      <c r="C126" s="3" t="n">
        <f aca="false">Model_Data!I125</f>
        <v>89.4</v>
      </c>
      <c r="D126" s="3" t="n">
        <f aca="false">Model_Data!G125</f>
        <v>0</v>
      </c>
      <c r="E126" s="3" t="n">
        <f aca="false">Model_Data!M125</f>
        <v>0</v>
      </c>
      <c r="F126" s="3" t="n">
        <f aca="false">Model_Data!N125</f>
        <v>0</v>
      </c>
      <c r="G126" s="3" t="n">
        <f aca="false">Model_Data!O125</f>
        <v>0</v>
      </c>
      <c r="H126" s="3" t="n">
        <f aca="false">Model_Data!S125</f>
        <v>654317.09</v>
      </c>
    </row>
    <row r="127" customFormat="false" ht="15" hidden="false" customHeight="true" outlineLevel="0" collapsed="false">
      <c r="A127" s="3" t="n">
        <f aca="false">Model_Data!F126</f>
        <v>4423</v>
      </c>
      <c r="B127" s="3" t="n">
        <f aca="false">Model_Data!E126</f>
        <v>48396.13</v>
      </c>
      <c r="C127" s="3" t="n">
        <f aca="false">Model_Data!I126</f>
        <v>85.7</v>
      </c>
      <c r="D127" s="3" t="n">
        <f aca="false">Model_Data!G126</f>
        <v>0.069</v>
      </c>
      <c r="E127" s="3" t="n">
        <f aca="false">Model_Data!M126</f>
        <v>0</v>
      </c>
      <c r="F127" s="3" t="n">
        <f aca="false">Model_Data!N126</f>
        <v>0</v>
      </c>
      <c r="G127" s="3" t="n">
        <f aca="false">Model_Data!O126</f>
        <v>0</v>
      </c>
      <c r="H127" s="3" t="n">
        <f aca="false">Model_Data!S126</f>
        <v>557487.26</v>
      </c>
    </row>
    <row r="128" customFormat="false" ht="15" hidden="false" customHeight="true" outlineLevel="0" collapsed="false">
      <c r="A128" s="3" t="n">
        <f aca="false">Model_Data!F127</f>
        <v>1906</v>
      </c>
      <c r="B128" s="3" t="n">
        <f aca="false">Model_Data!E127</f>
        <v>19063.48</v>
      </c>
      <c r="C128" s="3" t="n">
        <f aca="false">Model_Data!I127</f>
        <v>97.8</v>
      </c>
      <c r="D128" s="3" t="n">
        <f aca="false">Model_Data!G127</f>
        <v>0.216</v>
      </c>
      <c r="E128" s="3" t="n">
        <f aca="false">Model_Data!M127</f>
        <v>0</v>
      </c>
      <c r="F128" s="3" t="n">
        <f aca="false">Model_Data!N127</f>
        <v>0</v>
      </c>
      <c r="G128" s="3" t="n">
        <f aca="false">Model_Data!O127</f>
        <v>0</v>
      </c>
      <c r="H128" s="3" t="n">
        <f aca="false">Model_Data!S127</f>
        <v>441275.42</v>
      </c>
    </row>
    <row r="129" customFormat="false" ht="15" hidden="false" customHeight="true" outlineLevel="0" collapsed="false">
      <c r="A129" s="3" t="n">
        <f aca="false">Model_Data!F128</f>
        <v>10396</v>
      </c>
      <c r="B129" s="3" t="n">
        <f aca="false">Model_Data!E128</f>
        <v>61541.21</v>
      </c>
      <c r="C129" s="3" t="n">
        <f aca="false">Model_Data!I128</f>
        <v>88.1</v>
      </c>
      <c r="D129" s="3" t="n">
        <f aca="false">Model_Data!G128</f>
        <v>0.123</v>
      </c>
      <c r="E129" s="3" t="n">
        <f aca="false">Model_Data!M128</f>
        <v>0</v>
      </c>
      <c r="F129" s="3" t="n">
        <f aca="false">Model_Data!N128</f>
        <v>0</v>
      </c>
      <c r="G129" s="3" t="n">
        <f aca="false">Model_Data!O128</f>
        <v>0</v>
      </c>
      <c r="H129" s="3" t="n">
        <f aca="false">Model_Data!S128</f>
        <v>914544.17</v>
      </c>
    </row>
    <row r="130" customFormat="false" ht="15" hidden="false" customHeight="true" outlineLevel="0" collapsed="false">
      <c r="A130" s="3" t="n">
        <f aca="false">Model_Data!F129</f>
        <v>11076</v>
      </c>
      <c r="B130" s="3" t="n">
        <f aca="false">Model_Data!E129</f>
        <v>44747</v>
      </c>
      <c r="C130" s="3" t="n">
        <f aca="false">Model_Data!I129</f>
        <v>98.3</v>
      </c>
      <c r="D130" s="3" t="n">
        <f aca="false">Model_Data!G129</f>
        <v>0.176</v>
      </c>
      <c r="E130" s="3" t="n">
        <f aca="false">Model_Data!M129</f>
        <v>0</v>
      </c>
      <c r="F130" s="3" t="n">
        <f aca="false">Model_Data!N129</f>
        <v>0</v>
      </c>
      <c r="G130" s="3" t="n">
        <f aca="false">Model_Data!O129</f>
        <v>0</v>
      </c>
      <c r="H130" s="3" t="n">
        <f aca="false">Model_Data!S129</f>
        <v>842439.67</v>
      </c>
    </row>
    <row r="131" customFormat="false" ht="15" hidden="false" customHeight="true" outlineLevel="0" collapsed="false">
      <c r="A131" s="3" t="n">
        <f aca="false">Model_Data!F130</f>
        <v>9574</v>
      </c>
      <c r="B131" s="3" t="n">
        <f aca="false">Model_Data!E130</f>
        <v>56517.9</v>
      </c>
      <c r="C131" s="3" t="n">
        <f aca="false">Model_Data!I130</f>
        <v>88.2</v>
      </c>
      <c r="D131" s="3" t="n">
        <f aca="false">Model_Data!G130</f>
        <v>0.204</v>
      </c>
      <c r="E131" s="3" t="n">
        <f aca="false">Model_Data!M130</f>
        <v>0</v>
      </c>
      <c r="F131" s="3" t="n">
        <f aca="false">Model_Data!N130</f>
        <v>0</v>
      </c>
      <c r="G131" s="3" t="n">
        <f aca="false">Model_Data!O130</f>
        <v>0</v>
      </c>
      <c r="H131" s="3" t="n">
        <f aca="false">Model_Data!S130</f>
        <v>842157.92</v>
      </c>
    </row>
    <row r="132" customFormat="false" ht="15" hidden="false" customHeight="true" outlineLevel="0" collapsed="false">
      <c r="A132" s="3" t="n">
        <f aca="false">Model_Data!F131</f>
        <v>8221</v>
      </c>
      <c r="B132" s="3" t="n">
        <f aca="false">Model_Data!E131</f>
        <v>37828.5</v>
      </c>
      <c r="C132" s="3" t="n">
        <f aca="false">Model_Data!I131</f>
        <v>81.5</v>
      </c>
      <c r="D132" s="3" t="n">
        <f aca="false">Model_Data!G131</f>
        <v>0.096</v>
      </c>
      <c r="E132" s="3" t="n">
        <f aca="false">Model_Data!M131</f>
        <v>0</v>
      </c>
      <c r="F132" s="3" t="n">
        <f aca="false">Model_Data!N131</f>
        <v>0</v>
      </c>
      <c r="G132" s="3" t="n">
        <f aca="false">Model_Data!O131</f>
        <v>0</v>
      </c>
      <c r="H132" s="3" t="n">
        <f aca="false">Model_Data!S131</f>
        <v>697155.3</v>
      </c>
    </row>
    <row r="133" customFormat="false" ht="15" hidden="false" customHeight="true" outlineLevel="0" collapsed="false">
      <c r="A133" s="3" t="n">
        <f aca="false">Model_Data!F132</f>
        <v>10618</v>
      </c>
      <c r="B133" s="3" t="n">
        <f aca="false">Model_Data!E132</f>
        <v>66250.53</v>
      </c>
      <c r="C133" s="3" t="n">
        <f aca="false">Model_Data!I132</f>
        <v>88.3</v>
      </c>
      <c r="D133" s="3" t="n">
        <f aca="false">Model_Data!G132</f>
        <v>0.142</v>
      </c>
      <c r="E133" s="3" t="n">
        <f aca="false">Model_Data!M132</f>
        <v>0</v>
      </c>
      <c r="F133" s="3" t="n">
        <f aca="false">Model_Data!N132</f>
        <v>0</v>
      </c>
      <c r="G133" s="3" t="n">
        <f aca="false">Model_Data!O132</f>
        <v>0</v>
      </c>
      <c r="H133" s="3" t="n">
        <f aca="false">Model_Data!S132</f>
        <v>849018.3</v>
      </c>
    </row>
    <row r="134" customFormat="false" ht="15" hidden="false" customHeight="true" outlineLevel="0" collapsed="false">
      <c r="A134" s="3" t="n">
        <f aca="false">Model_Data!F133</f>
        <v>10596</v>
      </c>
      <c r="B134" s="3" t="n">
        <f aca="false">Model_Data!E133</f>
        <v>68410.93</v>
      </c>
      <c r="C134" s="3" t="n">
        <f aca="false">Model_Data!I133</f>
        <v>81.2</v>
      </c>
      <c r="D134" s="3" t="n">
        <f aca="false">Model_Data!G133</f>
        <v>0.207</v>
      </c>
      <c r="E134" s="3" t="n">
        <f aca="false">Model_Data!M133</f>
        <v>0</v>
      </c>
      <c r="F134" s="3" t="n">
        <f aca="false">Model_Data!N133</f>
        <v>0</v>
      </c>
      <c r="G134" s="3" t="n">
        <f aca="false">Model_Data!O133</f>
        <v>0</v>
      </c>
      <c r="H134" s="3" t="n">
        <f aca="false">Model_Data!S133</f>
        <v>801830.35</v>
      </c>
    </row>
    <row r="135" customFormat="false" ht="15" hidden="false" customHeight="true" outlineLevel="0" collapsed="false">
      <c r="A135" s="3" t="n">
        <f aca="false">Model_Data!F134</f>
        <v>9619</v>
      </c>
      <c r="B135" s="3" t="n">
        <f aca="false">Model_Data!E134</f>
        <v>50735.63</v>
      </c>
      <c r="C135" s="3" t="n">
        <f aca="false">Model_Data!I134</f>
        <v>93.8</v>
      </c>
      <c r="D135" s="3" t="n">
        <f aca="false">Model_Data!G134</f>
        <v>0.144</v>
      </c>
      <c r="E135" s="3" t="n">
        <f aca="false">Model_Data!M134</f>
        <v>0</v>
      </c>
      <c r="F135" s="3" t="n">
        <f aca="false">Model_Data!N134</f>
        <v>0</v>
      </c>
      <c r="G135" s="3" t="n">
        <f aca="false">Model_Data!O134</f>
        <v>0</v>
      </c>
      <c r="H135" s="3" t="n">
        <f aca="false">Model_Data!S134</f>
        <v>725235.28</v>
      </c>
    </row>
    <row r="136" customFormat="false" ht="15" hidden="false" customHeight="true" outlineLevel="0" collapsed="false">
      <c r="A136" s="3" t="n">
        <f aca="false">Model_Data!F135</f>
        <v>10836</v>
      </c>
      <c r="B136" s="3" t="n">
        <f aca="false">Model_Data!E135</f>
        <v>66455.8</v>
      </c>
      <c r="C136" s="3" t="n">
        <f aca="false">Model_Data!I135</f>
        <v>85</v>
      </c>
      <c r="D136" s="3" t="n">
        <f aca="false">Model_Data!G135</f>
        <v>0.089</v>
      </c>
      <c r="E136" s="3" t="n">
        <f aca="false">Model_Data!M135</f>
        <v>0</v>
      </c>
      <c r="F136" s="3" t="n">
        <f aca="false">Model_Data!N135</f>
        <v>0</v>
      </c>
      <c r="G136" s="3" t="n">
        <f aca="false">Model_Data!O135</f>
        <v>0</v>
      </c>
      <c r="H136" s="3" t="n">
        <f aca="false">Model_Data!S135</f>
        <v>811452.72</v>
      </c>
    </row>
    <row r="137" customFormat="false" ht="15" hidden="false" customHeight="true" outlineLevel="0" collapsed="false">
      <c r="A137" s="3" t="n">
        <f aca="false">Model_Data!F136</f>
        <v>3043</v>
      </c>
      <c r="B137" s="3" t="n">
        <f aca="false">Model_Data!E136</f>
        <v>70276.28</v>
      </c>
      <c r="C137" s="3" t="n">
        <f aca="false">Model_Data!I136</f>
        <v>87.9</v>
      </c>
      <c r="D137" s="3" t="n">
        <f aca="false">Model_Data!G136</f>
        <v>0.079</v>
      </c>
      <c r="E137" s="3" t="n">
        <f aca="false">Model_Data!M136</f>
        <v>0</v>
      </c>
      <c r="F137" s="3" t="n">
        <f aca="false">Model_Data!N136</f>
        <v>0</v>
      </c>
      <c r="G137" s="3" t="n">
        <f aca="false">Model_Data!O136</f>
        <v>0</v>
      </c>
      <c r="H137" s="3" t="n">
        <f aca="false">Model_Data!S136</f>
        <v>527300.13</v>
      </c>
    </row>
    <row r="138" customFormat="false" ht="15" hidden="false" customHeight="true" outlineLevel="0" collapsed="false">
      <c r="A138" s="3" t="n">
        <f aca="false">Model_Data!F137</f>
        <v>1814</v>
      </c>
      <c r="B138" s="3" t="n">
        <f aca="false">Model_Data!E137</f>
        <v>22071.64</v>
      </c>
      <c r="C138" s="3" t="n">
        <f aca="false">Model_Data!I137</f>
        <v>81.1</v>
      </c>
      <c r="D138" s="3" t="n">
        <f aca="false">Model_Data!G137</f>
        <v>0.196</v>
      </c>
      <c r="E138" s="3" t="n">
        <f aca="false">Model_Data!M137</f>
        <v>0</v>
      </c>
      <c r="F138" s="3" t="n">
        <f aca="false">Model_Data!N137</f>
        <v>0</v>
      </c>
      <c r="G138" s="3" t="n">
        <f aca="false">Model_Data!O137</f>
        <v>0</v>
      </c>
      <c r="H138" s="3" t="n">
        <f aca="false">Model_Data!S137</f>
        <v>400831.65</v>
      </c>
    </row>
    <row r="139" customFormat="false" ht="15" hidden="false" customHeight="true" outlineLevel="0" collapsed="false">
      <c r="A139" s="3" t="n">
        <f aca="false">Model_Data!F138</f>
        <v>3618</v>
      </c>
      <c r="B139" s="3" t="n">
        <f aca="false">Model_Data!E138</f>
        <v>52285.45</v>
      </c>
      <c r="C139" s="3" t="n">
        <f aca="false">Model_Data!I138</f>
        <v>95.6</v>
      </c>
      <c r="D139" s="3" t="n">
        <f aca="false">Model_Data!G138</f>
        <v>0.086</v>
      </c>
      <c r="E139" s="3" t="n">
        <f aca="false">Model_Data!M138</f>
        <v>0</v>
      </c>
      <c r="F139" s="3" t="n">
        <f aca="false">Model_Data!N138</f>
        <v>0</v>
      </c>
      <c r="G139" s="3" t="n">
        <f aca="false">Model_Data!O138</f>
        <v>0</v>
      </c>
      <c r="H139" s="3" t="n">
        <f aca="false">Model_Data!S138</f>
        <v>593247.25</v>
      </c>
    </row>
    <row r="140" customFormat="false" ht="15" hidden="false" customHeight="true" outlineLevel="0" collapsed="false">
      <c r="A140" s="3" t="n">
        <f aca="false">Model_Data!F139</f>
        <v>1963</v>
      </c>
      <c r="B140" s="3" t="n">
        <f aca="false">Model_Data!E139</f>
        <v>70366.76</v>
      </c>
      <c r="C140" s="3" t="n">
        <f aca="false">Model_Data!I139</f>
        <v>89.8</v>
      </c>
      <c r="D140" s="3" t="n">
        <f aca="false">Model_Data!G139</f>
        <v>0.182</v>
      </c>
      <c r="E140" s="3" t="n">
        <f aca="false">Model_Data!M139</f>
        <v>0</v>
      </c>
      <c r="F140" s="3" t="n">
        <f aca="false">Model_Data!N139</f>
        <v>0</v>
      </c>
      <c r="G140" s="3" t="n">
        <f aca="false">Model_Data!O139</f>
        <v>0</v>
      </c>
      <c r="H140" s="3" t="n">
        <f aca="false">Model_Data!S139</f>
        <v>529075.95</v>
      </c>
    </row>
    <row r="141" customFormat="false" ht="15" hidden="false" customHeight="true" outlineLevel="0" collapsed="false">
      <c r="A141" s="3" t="n">
        <f aca="false">Model_Data!F140</f>
        <v>7888</v>
      </c>
      <c r="B141" s="3" t="n">
        <f aca="false">Model_Data!E140</f>
        <v>71320.66</v>
      </c>
      <c r="C141" s="3" t="n">
        <f aca="false">Model_Data!I140</f>
        <v>78.1</v>
      </c>
      <c r="D141" s="3" t="n">
        <f aca="false">Model_Data!G140</f>
        <v>0.048</v>
      </c>
      <c r="E141" s="3" t="n">
        <f aca="false">Model_Data!M140</f>
        <v>0</v>
      </c>
      <c r="F141" s="3" t="n">
        <f aca="false">Model_Data!N140</f>
        <v>0</v>
      </c>
      <c r="G141" s="3" t="n">
        <f aca="false">Model_Data!O140</f>
        <v>1</v>
      </c>
      <c r="H141" s="3" t="n">
        <f aca="false">Model_Data!S140</f>
        <v>633638.03</v>
      </c>
    </row>
    <row r="142" customFormat="false" ht="15" hidden="false" customHeight="true" outlineLevel="0" collapsed="false">
      <c r="A142" s="3" t="n">
        <f aca="false">Model_Data!F141</f>
        <v>6244</v>
      </c>
      <c r="B142" s="3" t="n">
        <f aca="false">Model_Data!E141</f>
        <v>75109.67</v>
      </c>
      <c r="C142" s="3" t="n">
        <f aca="false">Model_Data!I141</f>
        <v>96.3</v>
      </c>
      <c r="D142" s="3" t="n">
        <f aca="false">Model_Data!G141</f>
        <v>0.079</v>
      </c>
      <c r="E142" s="3" t="n">
        <f aca="false">Model_Data!M141</f>
        <v>0</v>
      </c>
      <c r="F142" s="3" t="n">
        <f aca="false">Model_Data!N141</f>
        <v>0</v>
      </c>
      <c r="G142" s="3" t="n">
        <f aca="false">Model_Data!O141</f>
        <v>1</v>
      </c>
      <c r="H142" s="3" t="n">
        <f aca="false">Model_Data!S141</f>
        <v>743348.84</v>
      </c>
    </row>
    <row r="143" customFormat="false" ht="15" hidden="false" customHeight="true" outlineLevel="0" collapsed="false">
      <c r="A143" s="3" t="n">
        <f aca="false">Model_Data!F142</f>
        <v>6544</v>
      </c>
      <c r="B143" s="3" t="n">
        <f aca="false">Model_Data!E142</f>
        <v>69779</v>
      </c>
      <c r="C143" s="3" t="n">
        <f aca="false">Model_Data!I142</f>
        <v>90.2</v>
      </c>
      <c r="D143" s="3" t="n">
        <f aca="false">Model_Data!G142</f>
        <v>0.152</v>
      </c>
      <c r="E143" s="3" t="n">
        <f aca="false">Model_Data!M142</f>
        <v>0</v>
      </c>
      <c r="F143" s="3" t="n">
        <f aca="false">Model_Data!N142</f>
        <v>0</v>
      </c>
      <c r="G143" s="3" t="n">
        <f aca="false">Model_Data!O142</f>
        <v>1</v>
      </c>
      <c r="H143" s="3" t="n">
        <f aca="false">Model_Data!S142</f>
        <v>758827.64</v>
      </c>
    </row>
    <row r="144" customFormat="false" ht="15" hidden="false" customHeight="true" outlineLevel="0" collapsed="false">
      <c r="A144" s="3" t="n">
        <f aca="false">Model_Data!F143</f>
        <v>5465</v>
      </c>
      <c r="B144" s="3" t="n">
        <f aca="false">Model_Data!E143</f>
        <v>44211.95</v>
      </c>
      <c r="C144" s="3" t="n">
        <f aca="false">Model_Data!I143</f>
        <v>90</v>
      </c>
      <c r="D144" s="3" t="n">
        <f aca="false">Model_Data!G143</f>
        <v>0.187</v>
      </c>
      <c r="E144" s="3" t="n">
        <f aca="false">Model_Data!M143</f>
        <v>0</v>
      </c>
      <c r="F144" s="3" t="n">
        <f aca="false">Model_Data!N143</f>
        <v>0</v>
      </c>
      <c r="G144" s="3" t="n">
        <f aca="false">Model_Data!O143</f>
        <v>1</v>
      </c>
      <c r="H144" s="3" t="n">
        <f aca="false">Model_Data!S143</f>
        <v>646559.71</v>
      </c>
    </row>
    <row r="145" customFormat="false" ht="15" hidden="false" customHeight="true" outlineLevel="0" collapsed="false">
      <c r="A145" s="3" t="n">
        <f aca="false">Model_Data!F144</f>
        <v>6427</v>
      </c>
      <c r="B145" s="3" t="n">
        <f aca="false">Model_Data!E144</f>
        <v>51430.31</v>
      </c>
      <c r="C145" s="3" t="n">
        <f aca="false">Model_Data!I144</f>
        <v>88.8</v>
      </c>
      <c r="D145" s="3" t="n">
        <f aca="false">Model_Data!G144</f>
        <v>0.234</v>
      </c>
      <c r="E145" s="3" t="n">
        <f aca="false">Model_Data!M144</f>
        <v>0</v>
      </c>
      <c r="F145" s="3" t="n">
        <f aca="false">Model_Data!N144</f>
        <v>0</v>
      </c>
      <c r="G145" s="3" t="n">
        <f aca="false">Model_Data!O144</f>
        <v>0</v>
      </c>
      <c r="H145" s="3" t="n">
        <f aca="false">Model_Data!S144</f>
        <v>715890.53</v>
      </c>
    </row>
    <row r="146" customFormat="false" ht="15" hidden="false" customHeight="true" outlineLevel="0" collapsed="false">
      <c r="A146" s="3" t="n">
        <f aca="false">Model_Data!F145</f>
        <v>6704</v>
      </c>
      <c r="B146" s="3" t="n">
        <f aca="false">Model_Data!E145</f>
        <v>45706.49</v>
      </c>
      <c r="C146" s="3" t="n">
        <f aca="false">Model_Data!I145</f>
        <v>94.2</v>
      </c>
      <c r="D146" s="3" t="n">
        <f aca="false">Model_Data!G145</f>
        <v>0.038</v>
      </c>
      <c r="E146" s="3" t="n">
        <f aca="false">Model_Data!M145</f>
        <v>0</v>
      </c>
      <c r="F146" s="3" t="n">
        <f aca="false">Model_Data!N145</f>
        <v>0</v>
      </c>
      <c r="G146" s="3" t="n">
        <f aca="false">Model_Data!O145</f>
        <v>0</v>
      </c>
      <c r="H146" s="3" t="n">
        <f aca="false">Model_Data!S145</f>
        <v>715097.57</v>
      </c>
    </row>
    <row r="147" customFormat="false" ht="15" hidden="false" customHeight="true" outlineLevel="0" collapsed="false">
      <c r="A147" s="3" t="n">
        <f aca="false">Model_Data!F146</f>
        <v>5645</v>
      </c>
      <c r="B147" s="3" t="n">
        <f aca="false">Model_Data!E146</f>
        <v>44034.6</v>
      </c>
      <c r="C147" s="3" t="n">
        <f aca="false">Model_Data!I146</f>
        <v>88.5</v>
      </c>
      <c r="D147" s="3" t="n">
        <f aca="false">Model_Data!G146</f>
        <v>0.069</v>
      </c>
      <c r="E147" s="3" t="n">
        <f aca="false">Model_Data!M146</f>
        <v>0</v>
      </c>
      <c r="F147" s="3" t="n">
        <f aca="false">Model_Data!N146</f>
        <v>0</v>
      </c>
      <c r="G147" s="3" t="n">
        <f aca="false">Model_Data!O146</f>
        <v>0</v>
      </c>
      <c r="H147" s="3" t="n">
        <f aca="false">Model_Data!S146</f>
        <v>682639.28</v>
      </c>
    </row>
    <row r="148" customFormat="false" ht="15" hidden="false" customHeight="true" outlineLevel="0" collapsed="false">
      <c r="A148" s="3" t="n">
        <f aca="false">Model_Data!F147</f>
        <v>6089</v>
      </c>
      <c r="B148" s="3" t="n">
        <f aca="false">Model_Data!E147</f>
        <v>50198.12</v>
      </c>
      <c r="C148" s="3" t="n">
        <f aca="false">Model_Data!I147</f>
        <v>94</v>
      </c>
      <c r="D148" s="3" t="n">
        <f aca="false">Model_Data!G147</f>
        <v>0.182</v>
      </c>
      <c r="E148" s="3" t="n">
        <f aca="false">Model_Data!M147</f>
        <v>0</v>
      </c>
      <c r="F148" s="3" t="n">
        <f aca="false">Model_Data!N147</f>
        <v>0</v>
      </c>
      <c r="G148" s="3" t="n">
        <f aca="false">Model_Data!O147</f>
        <v>0</v>
      </c>
      <c r="H148" s="3" t="n">
        <f aca="false">Model_Data!S147</f>
        <v>695098.51</v>
      </c>
    </row>
    <row r="149" customFormat="false" ht="15" hidden="false" customHeight="true" outlineLevel="0" collapsed="false">
      <c r="A149" s="3" t="n">
        <f aca="false">Model_Data!F148</f>
        <v>4312</v>
      </c>
      <c r="B149" s="3" t="n">
        <f aca="false">Model_Data!E148</f>
        <v>70488.2</v>
      </c>
      <c r="C149" s="3" t="n">
        <f aca="false">Model_Data!I148</f>
        <v>90.2</v>
      </c>
      <c r="D149" s="3" t="n">
        <f aca="false">Model_Data!G148</f>
        <v>0.169</v>
      </c>
      <c r="E149" s="3" t="n">
        <f aca="false">Model_Data!M148</f>
        <v>0</v>
      </c>
      <c r="F149" s="3" t="n">
        <f aca="false">Model_Data!N148</f>
        <v>0</v>
      </c>
      <c r="G149" s="3" t="n">
        <f aca="false">Model_Data!O148</f>
        <v>1</v>
      </c>
      <c r="H149" s="3" t="n">
        <f aca="false">Model_Data!S148</f>
        <v>577732.57</v>
      </c>
    </row>
    <row r="150" customFormat="false" ht="15" hidden="false" customHeight="true" outlineLevel="0" collapsed="false">
      <c r="A150" s="3" t="n">
        <f aca="false">Model_Data!F149</f>
        <v>3152</v>
      </c>
      <c r="B150" s="3" t="n">
        <f aca="false">Model_Data!E149</f>
        <v>50909.27</v>
      </c>
      <c r="C150" s="3" t="n">
        <f aca="false">Model_Data!I149</f>
        <v>93.7</v>
      </c>
      <c r="D150" s="3" t="n">
        <f aca="false">Model_Data!G149</f>
        <v>0.06</v>
      </c>
      <c r="E150" s="3" t="n">
        <f aca="false">Model_Data!M149</f>
        <v>0</v>
      </c>
      <c r="F150" s="3" t="n">
        <f aca="false">Model_Data!N149</f>
        <v>0</v>
      </c>
      <c r="G150" s="3" t="n">
        <f aca="false">Model_Data!O149</f>
        <v>1</v>
      </c>
      <c r="H150" s="3" t="n">
        <f aca="false">Model_Data!S149</f>
        <v>537058.33</v>
      </c>
    </row>
    <row r="151" customFormat="false" ht="15" hidden="false" customHeight="true" outlineLevel="0" collapsed="false">
      <c r="A151" s="3" t="n">
        <f aca="false">Model_Data!F150</f>
        <v>4259</v>
      </c>
      <c r="B151" s="3" t="n">
        <f aca="false">Model_Data!E150</f>
        <v>53351.7</v>
      </c>
      <c r="C151" s="3" t="n">
        <f aca="false">Model_Data!I150</f>
        <v>93.7</v>
      </c>
      <c r="D151" s="3" t="n">
        <f aca="false">Model_Data!G150</f>
        <v>0.156</v>
      </c>
      <c r="E151" s="3" t="n">
        <f aca="false">Model_Data!M150</f>
        <v>0</v>
      </c>
      <c r="F151" s="3" t="n">
        <f aca="false">Model_Data!N150</f>
        <v>0</v>
      </c>
      <c r="G151" s="3" t="n">
        <f aca="false">Model_Data!O150</f>
        <v>1</v>
      </c>
      <c r="H151" s="3" t="n">
        <f aca="false">Model_Data!S150</f>
        <v>601568.87</v>
      </c>
    </row>
    <row r="152" customFormat="false" ht="15" hidden="false" customHeight="true" outlineLevel="0" collapsed="false">
      <c r="A152" s="3" t="n">
        <f aca="false">Model_Data!F151</f>
        <v>3350</v>
      </c>
      <c r="B152" s="3" t="n">
        <f aca="false">Model_Data!E151</f>
        <v>60322.4</v>
      </c>
      <c r="C152" s="3" t="n">
        <f aca="false">Model_Data!I151</f>
        <v>89.4</v>
      </c>
      <c r="D152" s="3" t="n">
        <f aca="false">Model_Data!G151</f>
        <v>0.108</v>
      </c>
      <c r="E152" s="3" t="n">
        <f aca="false">Model_Data!M151</f>
        <v>0</v>
      </c>
      <c r="F152" s="3" t="n">
        <f aca="false">Model_Data!N151</f>
        <v>0</v>
      </c>
      <c r="G152" s="3" t="n">
        <f aca="false">Model_Data!O151</f>
        <v>1</v>
      </c>
      <c r="H152" s="3" t="n">
        <f aca="false">Model_Data!S151</f>
        <v>570964.84</v>
      </c>
    </row>
    <row r="153" customFormat="false" ht="15" hidden="false" customHeight="true" outlineLevel="0" collapsed="false">
      <c r="A153" s="3" t="n">
        <f aca="false">Model_Data!F152</f>
        <v>5329</v>
      </c>
      <c r="B153" s="3" t="n">
        <f aca="false">Model_Data!E152</f>
        <v>51575.68</v>
      </c>
      <c r="C153" s="3" t="n">
        <f aca="false">Model_Data!I152</f>
        <v>88.1</v>
      </c>
      <c r="D153" s="3" t="n">
        <f aca="false">Model_Data!G152</f>
        <v>0.047</v>
      </c>
      <c r="E153" s="3" t="n">
        <f aca="false">Model_Data!M152</f>
        <v>0</v>
      </c>
      <c r="F153" s="3" t="n">
        <f aca="false">Model_Data!N152</f>
        <v>1</v>
      </c>
      <c r="G153" s="3" t="n">
        <f aca="false">Model_Data!O152</f>
        <v>0</v>
      </c>
      <c r="H153" s="3" t="n">
        <f aca="false">Model_Data!S152</f>
        <v>614024.91</v>
      </c>
    </row>
    <row r="154" customFormat="false" ht="15" hidden="false" customHeight="true" outlineLevel="0" collapsed="false">
      <c r="A154" s="3" t="n">
        <f aca="false">Model_Data!F153</f>
        <v>6551</v>
      </c>
      <c r="B154" s="3" t="n">
        <f aca="false">Model_Data!E153</f>
        <v>43319.94</v>
      </c>
      <c r="C154" s="3" t="n">
        <f aca="false">Model_Data!I153</f>
        <v>99</v>
      </c>
      <c r="D154" s="3" t="n">
        <f aca="false">Model_Data!G153</f>
        <v>0.044</v>
      </c>
      <c r="E154" s="3" t="n">
        <f aca="false">Model_Data!M153</f>
        <v>0</v>
      </c>
      <c r="F154" s="3" t="n">
        <f aca="false">Model_Data!N153</f>
        <v>1</v>
      </c>
      <c r="G154" s="3" t="n">
        <f aca="false">Model_Data!O153</f>
        <v>0</v>
      </c>
      <c r="H154" s="3" t="n">
        <f aca="false">Model_Data!S153</f>
        <v>712868.35</v>
      </c>
    </row>
    <row r="155" customFormat="false" ht="15" hidden="false" customHeight="true" outlineLevel="0" collapsed="false">
      <c r="A155" s="3" t="n">
        <f aca="false">Model_Data!F154</f>
        <v>5550</v>
      </c>
      <c r="B155" s="3" t="n">
        <f aca="false">Model_Data!E154</f>
        <v>47093.55</v>
      </c>
      <c r="C155" s="3" t="n">
        <f aca="false">Model_Data!I154</f>
        <v>95</v>
      </c>
      <c r="D155" s="3" t="n">
        <f aca="false">Model_Data!G154</f>
        <v>0.1</v>
      </c>
      <c r="E155" s="3" t="n">
        <f aca="false">Model_Data!M154</f>
        <v>0</v>
      </c>
      <c r="F155" s="3" t="n">
        <f aca="false">Model_Data!N154</f>
        <v>1</v>
      </c>
      <c r="G155" s="3" t="n">
        <f aca="false">Model_Data!O154</f>
        <v>0</v>
      </c>
      <c r="H155" s="3" t="n">
        <f aca="false">Model_Data!S154</f>
        <v>696744.15</v>
      </c>
    </row>
    <row r="156" customFormat="false" ht="15" hidden="false" customHeight="true" outlineLevel="0" collapsed="false">
      <c r="A156" s="3" t="n">
        <f aca="false">Model_Data!F155</f>
        <v>5911</v>
      </c>
      <c r="B156" s="3" t="n">
        <f aca="false">Model_Data!E155</f>
        <v>71855.09</v>
      </c>
      <c r="C156" s="3" t="n">
        <f aca="false">Model_Data!I155</f>
        <v>94.3</v>
      </c>
      <c r="D156" s="3" t="n">
        <f aca="false">Model_Data!G155</f>
        <v>0.197</v>
      </c>
      <c r="E156" s="3" t="n">
        <f aca="false">Model_Data!M155</f>
        <v>0</v>
      </c>
      <c r="F156" s="3" t="n">
        <f aca="false">Model_Data!N155</f>
        <v>1</v>
      </c>
      <c r="G156" s="3" t="n">
        <f aca="false">Model_Data!O155</f>
        <v>0</v>
      </c>
      <c r="H156" s="3" t="n">
        <f aca="false">Model_Data!S155</f>
        <v>725847.99</v>
      </c>
    </row>
    <row r="157" customFormat="false" ht="15" hidden="false" customHeight="true" outlineLevel="0" collapsed="false">
      <c r="A157" s="3" t="n">
        <f aca="false">Model_Data!F156</f>
        <v>9674</v>
      </c>
      <c r="B157" s="3" t="n">
        <f aca="false">Model_Data!E156</f>
        <v>75645.23</v>
      </c>
      <c r="C157" s="3" t="n">
        <f aca="false">Model_Data!I156</f>
        <v>87.4</v>
      </c>
      <c r="D157" s="3" t="n">
        <f aca="false">Model_Data!G156</f>
        <v>0.234</v>
      </c>
      <c r="E157" s="3" t="n">
        <f aca="false">Model_Data!M156</f>
        <v>0</v>
      </c>
      <c r="F157" s="3" t="n">
        <f aca="false">Model_Data!N156</f>
        <v>0</v>
      </c>
      <c r="G157" s="3" t="n">
        <f aca="false">Model_Data!O156</f>
        <v>0</v>
      </c>
      <c r="H157" s="3" t="n">
        <f aca="false">Model_Data!S156</f>
        <v>785028.25</v>
      </c>
    </row>
    <row r="158" customFormat="false" ht="15" hidden="false" customHeight="true" outlineLevel="0" collapsed="false">
      <c r="A158" s="3" t="n">
        <f aca="false">Model_Data!F157</f>
        <v>6740</v>
      </c>
      <c r="B158" s="3" t="n">
        <f aca="false">Model_Data!E157</f>
        <v>64374.75</v>
      </c>
      <c r="C158" s="3" t="n">
        <f aca="false">Model_Data!I157</f>
        <v>87</v>
      </c>
      <c r="D158" s="3" t="n">
        <f aca="false">Model_Data!G157</f>
        <v>0.169</v>
      </c>
      <c r="E158" s="3" t="n">
        <f aca="false">Model_Data!M157</f>
        <v>0</v>
      </c>
      <c r="F158" s="3" t="n">
        <f aca="false">Model_Data!N157</f>
        <v>0</v>
      </c>
      <c r="G158" s="3" t="n">
        <f aca="false">Model_Data!O157</f>
        <v>0</v>
      </c>
      <c r="H158" s="3" t="n">
        <f aca="false">Model_Data!S157</f>
        <v>698492.67</v>
      </c>
    </row>
    <row r="159" customFormat="false" ht="15" hidden="false" customHeight="true" outlineLevel="0" collapsed="false">
      <c r="A159" s="3" t="n">
        <f aca="false">Model_Data!F158</f>
        <v>7745</v>
      </c>
      <c r="B159" s="3" t="n">
        <f aca="false">Model_Data!E158</f>
        <v>61433.84</v>
      </c>
      <c r="C159" s="3" t="n">
        <f aca="false">Model_Data!I158</f>
        <v>90.5</v>
      </c>
      <c r="D159" s="3" t="n">
        <f aca="false">Model_Data!G158</f>
        <v>0.18</v>
      </c>
      <c r="E159" s="3" t="n">
        <f aca="false">Model_Data!M158</f>
        <v>0</v>
      </c>
      <c r="F159" s="3" t="n">
        <f aca="false">Model_Data!N158</f>
        <v>0</v>
      </c>
      <c r="G159" s="3" t="n">
        <f aca="false">Model_Data!O158</f>
        <v>0</v>
      </c>
      <c r="H159" s="3" t="n">
        <f aca="false">Model_Data!S158</f>
        <v>685830.24</v>
      </c>
    </row>
    <row r="160" customFormat="false" ht="15" hidden="false" customHeight="true" outlineLevel="0" collapsed="false">
      <c r="A160" s="3" t="n">
        <f aca="false">Model_Data!F159</f>
        <v>7693</v>
      </c>
      <c r="B160" s="3" t="n">
        <f aca="false">Model_Data!E159</f>
        <v>42698.14</v>
      </c>
      <c r="C160" s="3" t="n">
        <f aca="false">Model_Data!I159</f>
        <v>90.1</v>
      </c>
      <c r="D160" s="3" t="n">
        <f aca="false">Model_Data!G159</f>
        <v>0.187</v>
      </c>
      <c r="E160" s="3" t="n">
        <f aca="false">Model_Data!M159</f>
        <v>0</v>
      </c>
      <c r="F160" s="3" t="n">
        <f aca="false">Model_Data!N159</f>
        <v>0</v>
      </c>
      <c r="G160" s="3" t="n">
        <f aca="false">Model_Data!O159</f>
        <v>0</v>
      </c>
      <c r="H160" s="3" t="n">
        <f aca="false">Model_Data!S159</f>
        <v>702318.94</v>
      </c>
    </row>
    <row r="161" customFormat="false" ht="15" hidden="false" customHeight="true" outlineLevel="0" collapsed="false">
      <c r="A161" s="3" t="n">
        <f aca="false">Model_Data!F160</f>
        <v>6424</v>
      </c>
      <c r="B161" s="3" t="n">
        <f aca="false">Model_Data!E160</f>
        <v>86883.31</v>
      </c>
      <c r="C161" s="3" t="n">
        <f aca="false">Model_Data!I160</f>
        <v>85.2</v>
      </c>
      <c r="D161" s="3" t="n">
        <f aca="false">Model_Data!G160</f>
        <v>0.057</v>
      </c>
      <c r="E161" s="3" t="n">
        <f aca="false">Model_Data!M160</f>
        <v>0</v>
      </c>
      <c r="F161" s="3" t="n">
        <f aca="false">Model_Data!N160</f>
        <v>1</v>
      </c>
      <c r="G161" s="3" t="n">
        <f aca="false">Model_Data!O160</f>
        <v>0</v>
      </c>
      <c r="H161" s="3" t="n">
        <f aca="false">Model_Data!S160</f>
        <v>700078.32</v>
      </c>
    </row>
    <row r="162" customFormat="false" ht="15" hidden="false" customHeight="true" outlineLevel="0" collapsed="false">
      <c r="A162" s="3" t="n">
        <f aca="false">Model_Data!F161</f>
        <v>5400</v>
      </c>
      <c r="B162" s="3" t="n">
        <f aca="false">Model_Data!E161</f>
        <v>41863.08</v>
      </c>
      <c r="C162" s="3" t="n">
        <f aca="false">Model_Data!I161</f>
        <v>91.6</v>
      </c>
      <c r="D162" s="3" t="n">
        <f aca="false">Model_Data!G161</f>
        <v>0.114</v>
      </c>
      <c r="E162" s="3" t="n">
        <f aca="false">Model_Data!M161</f>
        <v>0</v>
      </c>
      <c r="F162" s="3" t="n">
        <f aca="false">Model_Data!N161</f>
        <v>1</v>
      </c>
      <c r="G162" s="3" t="n">
        <f aca="false">Model_Data!O161</f>
        <v>0</v>
      </c>
      <c r="H162" s="3" t="n">
        <f aca="false">Model_Data!S161</f>
        <v>602002.32</v>
      </c>
    </row>
    <row r="163" customFormat="false" ht="15" hidden="false" customHeight="true" outlineLevel="0" collapsed="false">
      <c r="A163" s="3" t="n">
        <f aca="false">Model_Data!F162</f>
        <v>7015</v>
      </c>
      <c r="B163" s="3" t="n">
        <f aca="false">Model_Data!E162</f>
        <v>56918.16</v>
      </c>
      <c r="C163" s="3" t="n">
        <f aca="false">Model_Data!I162</f>
        <v>74.2</v>
      </c>
      <c r="D163" s="3" t="n">
        <f aca="false">Model_Data!G162</f>
        <v>0.158</v>
      </c>
      <c r="E163" s="3" t="n">
        <f aca="false">Model_Data!M162</f>
        <v>0</v>
      </c>
      <c r="F163" s="3" t="n">
        <f aca="false">Model_Data!N162</f>
        <v>1</v>
      </c>
      <c r="G163" s="3" t="n">
        <f aca="false">Model_Data!O162</f>
        <v>0</v>
      </c>
      <c r="H163" s="3" t="n">
        <f aca="false">Model_Data!S162</f>
        <v>724216.07</v>
      </c>
    </row>
    <row r="164" customFormat="false" ht="15" hidden="false" customHeight="true" outlineLevel="0" collapsed="false">
      <c r="A164" s="3" t="n">
        <f aca="false">Model_Data!F163</f>
        <v>3847</v>
      </c>
      <c r="B164" s="3" t="n">
        <f aca="false">Model_Data!E163</f>
        <v>23254.57</v>
      </c>
      <c r="C164" s="3" t="n">
        <f aca="false">Model_Data!I163</f>
        <v>93</v>
      </c>
      <c r="D164" s="3" t="n">
        <f aca="false">Model_Data!G163</f>
        <v>0.159</v>
      </c>
      <c r="E164" s="3" t="n">
        <f aca="false">Model_Data!M163</f>
        <v>0</v>
      </c>
      <c r="F164" s="3" t="n">
        <f aca="false">Model_Data!N163</f>
        <v>1</v>
      </c>
      <c r="G164" s="3" t="n">
        <f aca="false">Model_Data!O163</f>
        <v>0</v>
      </c>
      <c r="H164" s="3" t="n">
        <f aca="false">Model_Data!S163</f>
        <v>620973.03</v>
      </c>
    </row>
    <row r="165" customFormat="false" ht="15" hidden="false" customHeight="true" outlineLevel="0" collapsed="false">
      <c r="A165" s="3" t="n">
        <f aca="false">Model_Data!F164</f>
        <v>7455</v>
      </c>
      <c r="B165" s="3" t="n">
        <f aca="false">Model_Data!E164</f>
        <v>41443.41</v>
      </c>
      <c r="C165" s="3" t="n">
        <f aca="false">Model_Data!I164</f>
        <v>90.1</v>
      </c>
      <c r="D165" s="3" t="n">
        <f aca="false">Model_Data!G164</f>
        <v>0.175</v>
      </c>
      <c r="E165" s="3" t="n">
        <f aca="false">Model_Data!M164</f>
        <v>0</v>
      </c>
      <c r="F165" s="3" t="n">
        <f aca="false">Model_Data!N164</f>
        <v>0</v>
      </c>
      <c r="G165" s="3" t="n">
        <f aca="false">Model_Data!O164</f>
        <v>0</v>
      </c>
      <c r="H165" s="3" t="n">
        <f aca="false">Model_Data!S164</f>
        <v>650480.06</v>
      </c>
    </row>
    <row r="166" customFormat="false" ht="15" hidden="false" customHeight="true" outlineLevel="0" collapsed="false">
      <c r="A166" s="3" t="n">
        <f aca="false">Model_Data!F165</f>
        <v>6992</v>
      </c>
      <c r="B166" s="3" t="n">
        <f aca="false">Model_Data!E165</f>
        <v>48438.85</v>
      </c>
      <c r="C166" s="3" t="n">
        <f aca="false">Model_Data!I165</f>
        <v>91</v>
      </c>
      <c r="D166" s="3" t="n">
        <f aca="false">Model_Data!G165</f>
        <v>0.034</v>
      </c>
      <c r="E166" s="3" t="n">
        <f aca="false">Model_Data!M165</f>
        <v>0</v>
      </c>
      <c r="F166" s="3" t="n">
        <f aca="false">Model_Data!N165</f>
        <v>0</v>
      </c>
      <c r="G166" s="3" t="n">
        <f aca="false">Model_Data!O165</f>
        <v>0</v>
      </c>
      <c r="H166" s="3" t="n">
        <f aca="false">Model_Data!S165</f>
        <v>778298.88</v>
      </c>
    </row>
    <row r="167" customFormat="false" ht="15" hidden="false" customHeight="true" outlineLevel="0" collapsed="false">
      <c r="A167" s="3" t="n">
        <f aca="false">Model_Data!F166</f>
        <v>8038</v>
      </c>
      <c r="B167" s="3" t="n">
        <f aca="false">Model_Data!E166</f>
        <v>57143.3</v>
      </c>
      <c r="C167" s="3" t="n">
        <f aca="false">Model_Data!I166</f>
        <v>72.6</v>
      </c>
      <c r="D167" s="3" t="n">
        <f aca="false">Model_Data!G166</f>
        <v>0.193</v>
      </c>
      <c r="E167" s="3" t="n">
        <f aca="false">Model_Data!M166</f>
        <v>0</v>
      </c>
      <c r="F167" s="3" t="n">
        <f aca="false">Model_Data!N166</f>
        <v>0</v>
      </c>
      <c r="G167" s="3" t="n">
        <f aca="false">Model_Data!O166</f>
        <v>0</v>
      </c>
      <c r="H167" s="3" t="n">
        <f aca="false">Model_Data!S166</f>
        <v>677096.71</v>
      </c>
    </row>
    <row r="168" customFormat="false" ht="15" hidden="false" customHeight="true" outlineLevel="0" collapsed="false">
      <c r="A168" s="3" t="n">
        <f aca="false">Model_Data!F167</f>
        <v>6055</v>
      </c>
      <c r="B168" s="3" t="n">
        <f aca="false">Model_Data!E167</f>
        <v>66870.62</v>
      </c>
      <c r="C168" s="3" t="n">
        <f aca="false">Model_Data!I167</f>
        <v>93.8</v>
      </c>
      <c r="D168" s="3" t="n">
        <f aca="false">Model_Data!G167</f>
        <v>0.075</v>
      </c>
      <c r="E168" s="3" t="n">
        <f aca="false">Model_Data!M167</f>
        <v>0</v>
      </c>
      <c r="F168" s="3" t="n">
        <f aca="false">Model_Data!N167</f>
        <v>0</v>
      </c>
      <c r="G168" s="3" t="n">
        <f aca="false">Model_Data!O167</f>
        <v>0</v>
      </c>
      <c r="H168" s="3" t="n">
        <f aca="false">Model_Data!S167</f>
        <v>692008.64</v>
      </c>
    </row>
    <row r="169" customFormat="false" ht="15" hidden="false" customHeight="true" outlineLevel="0" collapsed="false">
      <c r="A169" s="3" t="n">
        <f aca="false">Model_Data!F168</f>
        <v>9323</v>
      </c>
      <c r="B169" s="3" t="n">
        <f aca="false">Model_Data!E168</f>
        <v>72150.53</v>
      </c>
      <c r="C169" s="3" t="n">
        <f aca="false">Model_Data!I168</f>
        <v>82.9</v>
      </c>
      <c r="D169" s="3" t="n">
        <f aca="false">Model_Data!G168</f>
        <v>0.157</v>
      </c>
      <c r="E169" s="3" t="n">
        <f aca="false">Model_Data!M168</f>
        <v>0</v>
      </c>
      <c r="F169" s="3" t="n">
        <f aca="false">Model_Data!N168</f>
        <v>1</v>
      </c>
      <c r="G169" s="3" t="n">
        <f aca="false">Model_Data!O168</f>
        <v>0</v>
      </c>
      <c r="H169" s="3" t="n">
        <f aca="false">Model_Data!S168</f>
        <v>825797.91</v>
      </c>
    </row>
    <row r="170" customFormat="false" ht="15" hidden="false" customHeight="true" outlineLevel="0" collapsed="false">
      <c r="A170" s="3" t="n">
        <f aca="false">Model_Data!F169</f>
        <v>8789</v>
      </c>
      <c r="B170" s="3" t="n">
        <f aca="false">Model_Data!E169</f>
        <v>35303.3</v>
      </c>
      <c r="C170" s="3" t="n">
        <f aca="false">Model_Data!I169</f>
        <v>86.1</v>
      </c>
      <c r="D170" s="3" t="n">
        <f aca="false">Model_Data!G169</f>
        <v>0.123</v>
      </c>
      <c r="E170" s="3" t="n">
        <f aca="false">Model_Data!M169</f>
        <v>0</v>
      </c>
      <c r="F170" s="3" t="n">
        <f aca="false">Model_Data!N169</f>
        <v>1</v>
      </c>
      <c r="G170" s="3" t="n">
        <f aca="false">Model_Data!O169</f>
        <v>0</v>
      </c>
      <c r="H170" s="3" t="n">
        <f aca="false">Model_Data!S169</f>
        <v>706285.52</v>
      </c>
    </row>
    <row r="171" customFormat="false" ht="15" hidden="false" customHeight="true" outlineLevel="0" collapsed="false">
      <c r="A171" s="3" t="n">
        <f aca="false">Model_Data!F170</f>
        <v>6939</v>
      </c>
      <c r="B171" s="3" t="n">
        <f aca="false">Model_Data!E170</f>
        <v>30301.86</v>
      </c>
      <c r="C171" s="3" t="n">
        <f aca="false">Model_Data!I170</f>
        <v>90.3</v>
      </c>
      <c r="D171" s="3" t="n">
        <f aca="false">Model_Data!G170</f>
        <v>0.09</v>
      </c>
      <c r="E171" s="3" t="n">
        <f aca="false">Model_Data!M170</f>
        <v>0</v>
      </c>
      <c r="F171" s="3" t="n">
        <f aca="false">Model_Data!N170</f>
        <v>1</v>
      </c>
      <c r="G171" s="3" t="n">
        <f aca="false">Model_Data!O170</f>
        <v>0</v>
      </c>
      <c r="H171" s="3" t="n">
        <f aca="false">Model_Data!S170</f>
        <v>665534.7</v>
      </c>
    </row>
    <row r="172" customFormat="false" ht="15" hidden="false" customHeight="true" outlineLevel="0" collapsed="false">
      <c r="A172" s="3" t="n">
        <f aca="false">Model_Data!F171</f>
        <v>9440</v>
      </c>
      <c r="B172" s="3" t="n">
        <f aca="false">Model_Data!E171</f>
        <v>78432.14</v>
      </c>
      <c r="C172" s="3" t="n">
        <f aca="false">Model_Data!I171</f>
        <v>89.2</v>
      </c>
      <c r="D172" s="3" t="n">
        <f aca="false">Model_Data!G171</f>
        <v>0.126</v>
      </c>
      <c r="E172" s="3" t="n">
        <f aca="false">Model_Data!M171</f>
        <v>0</v>
      </c>
      <c r="F172" s="3" t="n">
        <f aca="false">Model_Data!N171</f>
        <v>1</v>
      </c>
      <c r="G172" s="3" t="n">
        <f aca="false">Model_Data!O171</f>
        <v>0</v>
      </c>
      <c r="H172" s="3" t="n">
        <f aca="false">Model_Data!S171</f>
        <v>820729.29</v>
      </c>
    </row>
    <row r="173" customFormat="false" ht="15" hidden="false" customHeight="true" outlineLevel="0" collapsed="false">
      <c r="A173" s="3" t="n">
        <f aca="false">Model_Data!F172</f>
        <v>9374</v>
      </c>
      <c r="B173" s="3" t="n">
        <f aca="false">Model_Data!E172</f>
        <v>62059.18</v>
      </c>
      <c r="C173" s="3" t="n">
        <f aca="false">Model_Data!I172</f>
        <v>87.1</v>
      </c>
      <c r="D173" s="3" t="n">
        <f aca="false">Model_Data!G172</f>
        <v>0.136</v>
      </c>
      <c r="E173" s="3" t="n">
        <f aca="false">Model_Data!M172</f>
        <v>0</v>
      </c>
      <c r="F173" s="3" t="n">
        <f aca="false">Model_Data!N172</f>
        <v>0</v>
      </c>
      <c r="G173" s="3" t="n">
        <f aca="false">Model_Data!O172</f>
        <v>1</v>
      </c>
      <c r="H173" s="3" t="n">
        <f aca="false">Model_Data!S172</f>
        <v>739831.73</v>
      </c>
    </row>
    <row r="174" customFormat="false" ht="15" hidden="false" customHeight="true" outlineLevel="0" collapsed="false">
      <c r="A174" s="3" t="n">
        <f aca="false">Model_Data!F173</f>
        <v>7576</v>
      </c>
      <c r="B174" s="3" t="n">
        <f aca="false">Model_Data!E173</f>
        <v>32834.48</v>
      </c>
      <c r="C174" s="3" t="n">
        <f aca="false">Model_Data!I173</f>
        <v>84.1</v>
      </c>
      <c r="D174" s="3" t="n">
        <f aca="false">Model_Data!G173</f>
        <v>0.099</v>
      </c>
      <c r="E174" s="3" t="n">
        <f aca="false">Model_Data!M173</f>
        <v>0</v>
      </c>
      <c r="F174" s="3" t="n">
        <f aca="false">Model_Data!N173</f>
        <v>0</v>
      </c>
      <c r="G174" s="3" t="n">
        <f aca="false">Model_Data!O173</f>
        <v>1</v>
      </c>
      <c r="H174" s="3" t="n">
        <f aca="false">Model_Data!S173</f>
        <v>593637.14</v>
      </c>
    </row>
    <row r="175" customFormat="false" ht="15" hidden="false" customHeight="true" outlineLevel="0" collapsed="false">
      <c r="A175" s="3" t="n">
        <f aca="false">Model_Data!F174</f>
        <v>8949</v>
      </c>
      <c r="B175" s="3" t="n">
        <f aca="false">Model_Data!E174</f>
        <v>50825.08</v>
      </c>
      <c r="C175" s="3" t="n">
        <f aca="false">Model_Data!I174</f>
        <v>84.7</v>
      </c>
      <c r="D175" s="3" t="n">
        <f aca="false">Model_Data!G174</f>
        <v>0.157</v>
      </c>
      <c r="E175" s="3" t="n">
        <f aca="false">Model_Data!M174</f>
        <v>0</v>
      </c>
      <c r="F175" s="3" t="n">
        <f aca="false">Model_Data!N174</f>
        <v>0</v>
      </c>
      <c r="G175" s="3" t="n">
        <f aca="false">Model_Data!O174</f>
        <v>1</v>
      </c>
      <c r="H175" s="3" t="n">
        <f aca="false">Model_Data!S174</f>
        <v>769702.76</v>
      </c>
    </row>
    <row r="176" customFormat="false" ht="15" hidden="false" customHeight="true" outlineLevel="0" collapsed="false">
      <c r="A176" s="3" t="n">
        <f aca="false">Model_Data!F175</f>
        <v>7671</v>
      </c>
      <c r="B176" s="3" t="n">
        <f aca="false">Model_Data!E175</f>
        <v>36606.51</v>
      </c>
      <c r="C176" s="3" t="n">
        <f aca="false">Model_Data!I175</f>
        <v>89.8</v>
      </c>
      <c r="D176" s="3" t="n">
        <f aca="false">Model_Data!G175</f>
        <v>0.118</v>
      </c>
      <c r="E176" s="3" t="n">
        <f aca="false">Model_Data!M175</f>
        <v>0</v>
      </c>
      <c r="F176" s="3" t="n">
        <f aca="false">Model_Data!N175</f>
        <v>0</v>
      </c>
      <c r="G176" s="3" t="n">
        <f aca="false">Model_Data!O175</f>
        <v>1</v>
      </c>
      <c r="H176" s="3" t="n">
        <f aca="false">Model_Data!S175</f>
        <v>679731.57</v>
      </c>
    </row>
    <row r="177" customFormat="false" ht="15" hidden="false" customHeight="true" outlineLevel="0" collapsed="false">
      <c r="A177" s="3" t="n">
        <f aca="false">Model_Data!F176</f>
        <v>8741</v>
      </c>
      <c r="B177" s="3" t="n">
        <f aca="false">Model_Data!E176</f>
        <v>65237.79</v>
      </c>
      <c r="C177" s="3" t="n">
        <f aca="false">Model_Data!I176</f>
        <v>94.4</v>
      </c>
      <c r="D177" s="3" t="n">
        <f aca="false">Model_Data!G176</f>
        <v>0.157</v>
      </c>
      <c r="E177" s="3" t="n">
        <f aca="false">Model_Data!M176</f>
        <v>0</v>
      </c>
      <c r="F177" s="3" t="n">
        <f aca="false">Model_Data!N176</f>
        <v>0</v>
      </c>
      <c r="G177" s="3" t="n">
        <f aca="false">Model_Data!O176</f>
        <v>1</v>
      </c>
      <c r="H177" s="3" t="n">
        <f aca="false">Model_Data!S176</f>
        <v>780344.18</v>
      </c>
    </row>
    <row r="178" customFormat="false" ht="15" hidden="false" customHeight="true" outlineLevel="0" collapsed="false">
      <c r="A178" s="3" t="n">
        <f aca="false">Model_Data!F177</f>
        <v>9480</v>
      </c>
      <c r="B178" s="3" t="n">
        <f aca="false">Model_Data!E177</f>
        <v>43645.98</v>
      </c>
      <c r="C178" s="3" t="n">
        <f aca="false">Model_Data!I177</f>
        <v>89</v>
      </c>
      <c r="D178" s="3" t="n">
        <f aca="false">Model_Data!G177</f>
        <v>0.109</v>
      </c>
      <c r="E178" s="3" t="n">
        <f aca="false">Model_Data!M177</f>
        <v>0</v>
      </c>
      <c r="F178" s="3" t="n">
        <f aca="false">Model_Data!N177</f>
        <v>0</v>
      </c>
      <c r="G178" s="3" t="n">
        <f aca="false">Model_Data!O177</f>
        <v>1</v>
      </c>
      <c r="H178" s="3" t="n">
        <f aca="false">Model_Data!S177</f>
        <v>721364.11</v>
      </c>
    </row>
    <row r="179" customFormat="false" ht="15" hidden="false" customHeight="true" outlineLevel="0" collapsed="false">
      <c r="A179" s="3" t="n">
        <f aca="false">Model_Data!F178</f>
        <v>9826</v>
      </c>
      <c r="B179" s="3" t="n">
        <f aca="false">Model_Data!E178</f>
        <v>68040.15</v>
      </c>
      <c r="C179" s="3" t="n">
        <f aca="false">Model_Data!I178</f>
        <v>83.9</v>
      </c>
      <c r="D179" s="3" t="n">
        <f aca="false">Model_Data!G178</f>
        <v>0.125</v>
      </c>
      <c r="E179" s="3" t="n">
        <f aca="false">Model_Data!M178</f>
        <v>0</v>
      </c>
      <c r="F179" s="3" t="n">
        <f aca="false">Model_Data!N178</f>
        <v>0</v>
      </c>
      <c r="G179" s="3" t="n">
        <f aca="false">Model_Data!O178</f>
        <v>1</v>
      </c>
      <c r="H179" s="3" t="n">
        <f aca="false">Model_Data!S178</f>
        <v>758138.29</v>
      </c>
    </row>
    <row r="180" customFormat="false" ht="15" hidden="false" customHeight="true" outlineLevel="0" collapsed="false">
      <c r="A180" s="3" t="n">
        <f aca="false">Model_Data!F179</f>
        <v>10402</v>
      </c>
      <c r="B180" s="3" t="n">
        <f aca="false">Model_Data!E179</f>
        <v>63043.94</v>
      </c>
      <c r="C180" s="3" t="n">
        <f aca="false">Model_Data!I179</f>
        <v>93.9</v>
      </c>
      <c r="D180" s="3" t="n">
        <f aca="false">Model_Data!G179</f>
        <v>0.159</v>
      </c>
      <c r="E180" s="3" t="n">
        <f aca="false">Model_Data!M179</f>
        <v>0</v>
      </c>
      <c r="F180" s="3" t="n">
        <f aca="false">Model_Data!N179</f>
        <v>0</v>
      </c>
      <c r="G180" s="3" t="n">
        <f aca="false">Model_Data!O179</f>
        <v>1</v>
      </c>
      <c r="H180" s="3" t="n">
        <f aca="false">Model_Data!S179</f>
        <v>804264</v>
      </c>
    </row>
    <row r="181" customFormat="false" ht="15" hidden="false" customHeight="true" outlineLevel="0" collapsed="false">
      <c r="A181" s="3" t="n">
        <f aca="false">Model_Data!F180</f>
        <v>12361</v>
      </c>
      <c r="B181" s="3" t="n">
        <f aca="false">Model_Data!E180</f>
        <v>67494.09</v>
      </c>
      <c r="C181" s="3" t="n">
        <f aca="false">Model_Data!I180</f>
        <v>76.6</v>
      </c>
      <c r="D181" s="3" t="n">
        <f aca="false">Model_Data!G180</f>
        <v>0.046</v>
      </c>
      <c r="E181" s="3" t="n">
        <f aca="false">Model_Data!M180</f>
        <v>1</v>
      </c>
      <c r="F181" s="3" t="n">
        <f aca="false">Model_Data!N180</f>
        <v>0</v>
      </c>
      <c r="G181" s="3" t="n">
        <f aca="false">Model_Data!O180</f>
        <v>0</v>
      </c>
      <c r="H181" s="3" t="n">
        <f aca="false">Model_Data!S180</f>
        <v>887537.75</v>
      </c>
    </row>
    <row r="182" customFormat="false" ht="15" hidden="false" customHeight="true" outlineLevel="0" collapsed="false">
      <c r="A182" s="3" t="n">
        <f aca="false">Model_Data!F181</f>
        <v>7925</v>
      </c>
      <c r="B182" s="3" t="n">
        <f aca="false">Model_Data!E181</f>
        <v>29389.32</v>
      </c>
      <c r="C182" s="3" t="n">
        <f aca="false">Model_Data!I181</f>
        <v>90.9</v>
      </c>
      <c r="D182" s="3" t="n">
        <f aca="false">Model_Data!G181</f>
        <v>0.177</v>
      </c>
      <c r="E182" s="3" t="n">
        <f aca="false">Model_Data!M181</f>
        <v>1</v>
      </c>
      <c r="F182" s="3" t="n">
        <f aca="false">Model_Data!N181</f>
        <v>0</v>
      </c>
      <c r="G182" s="3" t="n">
        <f aca="false">Model_Data!O181</f>
        <v>0</v>
      </c>
      <c r="H182" s="3" t="n">
        <f aca="false">Model_Data!S181</f>
        <v>783582</v>
      </c>
    </row>
    <row r="183" customFormat="false" ht="15" hidden="false" customHeight="true" outlineLevel="0" collapsed="false">
      <c r="A183" s="3" t="n">
        <f aca="false">Model_Data!F182</f>
        <v>8870</v>
      </c>
      <c r="B183" s="3" t="n">
        <f aca="false">Model_Data!E182</f>
        <v>40535.09</v>
      </c>
      <c r="C183" s="3" t="n">
        <f aca="false">Model_Data!I182</f>
        <v>86.6</v>
      </c>
      <c r="D183" s="3" t="n">
        <f aca="false">Model_Data!G182</f>
        <v>0.041</v>
      </c>
      <c r="E183" s="3" t="n">
        <f aca="false">Model_Data!M182</f>
        <v>1</v>
      </c>
      <c r="F183" s="3" t="n">
        <f aca="false">Model_Data!N182</f>
        <v>0</v>
      </c>
      <c r="G183" s="3" t="n">
        <f aca="false">Model_Data!O182</f>
        <v>0</v>
      </c>
      <c r="H183" s="3" t="n">
        <f aca="false">Model_Data!S182</f>
        <v>781955.52</v>
      </c>
    </row>
    <row r="184" customFormat="false" ht="15" hidden="false" customHeight="true" outlineLevel="0" collapsed="false">
      <c r="A184" s="3" t="n">
        <f aca="false">Model_Data!F183</f>
        <v>9999</v>
      </c>
      <c r="B184" s="3" t="n">
        <f aca="false">Model_Data!E183</f>
        <v>74881.56</v>
      </c>
      <c r="C184" s="3" t="n">
        <f aca="false">Model_Data!I183</f>
        <v>89.6</v>
      </c>
      <c r="D184" s="3" t="n">
        <f aca="false">Model_Data!G183</f>
        <v>0.013</v>
      </c>
      <c r="E184" s="3" t="n">
        <f aca="false">Model_Data!M183</f>
        <v>1</v>
      </c>
      <c r="F184" s="3" t="n">
        <f aca="false">Model_Data!N183</f>
        <v>0</v>
      </c>
      <c r="G184" s="3" t="n">
        <f aca="false">Model_Data!O183</f>
        <v>0</v>
      </c>
      <c r="H184" s="3" t="n">
        <f aca="false">Model_Data!S183</f>
        <v>898031.04</v>
      </c>
    </row>
    <row r="185" customFormat="false" ht="15" hidden="false" customHeight="true" outlineLevel="0" collapsed="false">
      <c r="A185" s="3" t="n">
        <f aca="false">Model_Data!F184</f>
        <v>11154</v>
      </c>
      <c r="B185" s="3" t="n">
        <f aca="false">Model_Data!E184</f>
        <v>68491.11</v>
      </c>
      <c r="C185" s="3" t="n">
        <f aca="false">Model_Data!I184</f>
        <v>89.4</v>
      </c>
      <c r="D185" s="3" t="n">
        <f aca="false">Model_Data!G184</f>
        <v>0.001</v>
      </c>
      <c r="E185" s="3" t="n">
        <f aca="false">Model_Data!M184</f>
        <v>0</v>
      </c>
      <c r="F185" s="3" t="n">
        <f aca="false">Model_Data!N184</f>
        <v>0</v>
      </c>
      <c r="G185" s="3" t="n">
        <f aca="false">Model_Data!O184</f>
        <v>1</v>
      </c>
      <c r="H185" s="3" t="n">
        <f aca="false">Model_Data!S184</f>
        <v>855341.28</v>
      </c>
    </row>
    <row r="186" customFormat="false" ht="15" hidden="false" customHeight="true" outlineLevel="0" collapsed="false">
      <c r="A186" s="3" t="n">
        <f aca="false">Model_Data!F185</f>
        <v>9287</v>
      </c>
      <c r="B186" s="3" t="n">
        <f aca="false">Model_Data!E185</f>
        <v>45209.25</v>
      </c>
      <c r="C186" s="3" t="n">
        <f aca="false">Model_Data!I185</f>
        <v>86.4</v>
      </c>
      <c r="D186" s="3" t="n">
        <f aca="false">Model_Data!G185</f>
        <v>0.141</v>
      </c>
      <c r="E186" s="3" t="n">
        <f aca="false">Model_Data!M185</f>
        <v>0</v>
      </c>
      <c r="F186" s="3" t="n">
        <f aca="false">Model_Data!N185</f>
        <v>0</v>
      </c>
      <c r="G186" s="3" t="n">
        <f aca="false">Model_Data!O185</f>
        <v>1</v>
      </c>
      <c r="H186" s="3" t="n">
        <f aca="false">Model_Data!S185</f>
        <v>751393.88</v>
      </c>
    </row>
    <row r="187" customFormat="false" ht="15" hidden="false" customHeight="true" outlineLevel="0" collapsed="false">
      <c r="A187" s="3" t="n">
        <f aca="false">Model_Data!F186</f>
        <v>9812</v>
      </c>
      <c r="B187" s="3" t="n">
        <f aca="false">Model_Data!E186</f>
        <v>63010.23</v>
      </c>
      <c r="C187" s="3" t="n">
        <f aca="false">Model_Data!I186</f>
        <v>76.8</v>
      </c>
      <c r="D187" s="3" t="n">
        <f aca="false">Model_Data!G186</f>
        <v>0.113</v>
      </c>
      <c r="E187" s="3" t="n">
        <f aca="false">Model_Data!M186</f>
        <v>0</v>
      </c>
      <c r="F187" s="3" t="n">
        <f aca="false">Model_Data!N186</f>
        <v>0</v>
      </c>
      <c r="G187" s="3" t="n">
        <f aca="false">Model_Data!O186</f>
        <v>1</v>
      </c>
      <c r="H187" s="3" t="n">
        <f aca="false">Model_Data!S186</f>
        <v>761077.08</v>
      </c>
    </row>
    <row r="188" customFormat="false" ht="15" hidden="false" customHeight="true" outlineLevel="0" collapsed="false">
      <c r="A188" s="3" t="n">
        <f aca="false">Model_Data!F187</f>
        <v>10741</v>
      </c>
      <c r="B188" s="3" t="n">
        <f aca="false">Model_Data!E187</f>
        <v>57948.88</v>
      </c>
      <c r="C188" s="3" t="n">
        <f aca="false">Model_Data!I187</f>
        <v>90.1</v>
      </c>
      <c r="D188" s="3" t="n">
        <f aca="false">Model_Data!G187</f>
        <v>0.07</v>
      </c>
      <c r="E188" s="3" t="n">
        <f aca="false">Model_Data!M187</f>
        <v>0</v>
      </c>
      <c r="F188" s="3" t="n">
        <f aca="false">Model_Data!N187</f>
        <v>0</v>
      </c>
      <c r="G188" s="3" t="n">
        <f aca="false">Model_Data!O187</f>
        <v>1</v>
      </c>
      <c r="H188" s="3" t="n">
        <f aca="false">Model_Data!S187</f>
        <v>819660.59</v>
      </c>
    </row>
    <row r="189" customFormat="false" ht="15" hidden="false" customHeight="true" outlineLevel="0" collapsed="false">
      <c r="A189" s="3" t="n">
        <f aca="false">Model_Data!F188</f>
        <v>6084</v>
      </c>
      <c r="B189" s="3" t="n">
        <f aca="false">Model_Data!E188</f>
        <v>71941.62</v>
      </c>
      <c r="C189" s="3" t="n">
        <f aca="false">Model_Data!I188</f>
        <v>93.7</v>
      </c>
      <c r="D189" s="3" t="n">
        <f aca="false">Model_Data!G188</f>
        <v>0.072</v>
      </c>
      <c r="E189" s="3" t="n">
        <f aca="false">Model_Data!M188</f>
        <v>0</v>
      </c>
      <c r="F189" s="3" t="n">
        <f aca="false">Model_Data!N188</f>
        <v>0</v>
      </c>
      <c r="G189" s="3" t="n">
        <f aca="false">Model_Data!O188</f>
        <v>0</v>
      </c>
      <c r="H189" s="3" t="n">
        <f aca="false">Model_Data!S188</f>
        <v>681855.56</v>
      </c>
    </row>
    <row r="190" customFormat="false" ht="15" hidden="false" customHeight="true" outlineLevel="0" collapsed="false">
      <c r="A190" s="3" t="n">
        <f aca="false">Model_Data!F189</f>
        <v>5252</v>
      </c>
      <c r="B190" s="3" t="n">
        <f aca="false">Model_Data!E189</f>
        <v>57147.88</v>
      </c>
      <c r="C190" s="3" t="n">
        <f aca="false">Model_Data!I189</f>
        <v>95.5</v>
      </c>
      <c r="D190" s="3" t="n">
        <f aca="false">Model_Data!G189</f>
        <v>0.161</v>
      </c>
      <c r="E190" s="3" t="n">
        <f aca="false">Model_Data!M189</f>
        <v>0</v>
      </c>
      <c r="F190" s="3" t="n">
        <f aca="false">Model_Data!N189</f>
        <v>0</v>
      </c>
      <c r="G190" s="3" t="n">
        <f aca="false">Model_Data!O189</f>
        <v>0</v>
      </c>
      <c r="H190" s="3" t="n">
        <f aca="false">Model_Data!S189</f>
        <v>678311.17</v>
      </c>
    </row>
    <row r="191" customFormat="false" ht="15" hidden="false" customHeight="true" outlineLevel="0" collapsed="false">
      <c r="A191" s="3" t="n">
        <f aca="false">Model_Data!F190</f>
        <v>6516</v>
      </c>
      <c r="B191" s="3" t="n">
        <f aca="false">Model_Data!E190</f>
        <v>48031.74</v>
      </c>
      <c r="C191" s="3" t="n">
        <f aca="false">Model_Data!I190</f>
        <v>99</v>
      </c>
      <c r="D191" s="3" t="n">
        <f aca="false">Model_Data!G190</f>
        <v>0.067</v>
      </c>
      <c r="E191" s="3" t="n">
        <f aca="false">Model_Data!M190</f>
        <v>0</v>
      </c>
      <c r="F191" s="3" t="n">
        <f aca="false">Model_Data!N190</f>
        <v>0</v>
      </c>
      <c r="G191" s="3" t="n">
        <f aca="false">Model_Data!O190</f>
        <v>0</v>
      </c>
      <c r="H191" s="3" t="n">
        <f aca="false">Model_Data!S190</f>
        <v>765906.95</v>
      </c>
    </row>
    <row r="192" customFormat="false" ht="15" hidden="false" customHeight="true" outlineLevel="0" collapsed="false">
      <c r="A192" s="3" t="n">
        <f aca="false">Model_Data!F191</f>
        <v>7932</v>
      </c>
      <c r="B192" s="3" t="n">
        <f aca="false">Model_Data!E191</f>
        <v>72784.8</v>
      </c>
      <c r="C192" s="3" t="n">
        <f aca="false">Model_Data!I191</f>
        <v>74.9</v>
      </c>
      <c r="D192" s="3" t="n">
        <f aca="false">Model_Data!G191</f>
        <v>0.094</v>
      </c>
      <c r="E192" s="3" t="n">
        <f aca="false">Model_Data!M191</f>
        <v>0</v>
      </c>
      <c r="F192" s="3" t="n">
        <f aca="false">Model_Data!N191</f>
        <v>0</v>
      </c>
      <c r="G192" s="3" t="n">
        <f aca="false">Model_Data!O191</f>
        <v>0</v>
      </c>
      <c r="H192" s="3" t="n">
        <f aca="false">Model_Data!S191</f>
        <v>712546.38</v>
      </c>
    </row>
    <row r="193" customFormat="false" ht="15" hidden="false" customHeight="true" outlineLevel="0" collapsed="false">
      <c r="A193" s="3" t="n">
        <f aca="false">Model_Data!F192</f>
        <v>3506</v>
      </c>
      <c r="B193" s="3" t="n">
        <f aca="false">Model_Data!E192</f>
        <v>71641.9</v>
      </c>
      <c r="C193" s="3" t="n">
        <f aca="false">Model_Data!I192</f>
        <v>86.4</v>
      </c>
      <c r="D193" s="3" t="n">
        <f aca="false">Model_Data!G192</f>
        <v>0</v>
      </c>
      <c r="E193" s="3" t="n">
        <f aca="false">Model_Data!M192</f>
        <v>0</v>
      </c>
      <c r="F193" s="3" t="n">
        <f aca="false">Model_Data!N192</f>
        <v>0</v>
      </c>
      <c r="G193" s="3" t="n">
        <f aca="false">Model_Data!O192</f>
        <v>0</v>
      </c>
      <c r="H193" s="3" t="n">
        <f aca="false">Model_Data!S192</f>
        <v>625993.83</v>
      </c>
    </row>
    <row r="194" customFormat="false" ht="15" hidden="false" customHeight="true" outlineLevel="0" collapsed="false">
      <c r="A194" s="3" t="n">
        <f aca="false">Model_Data!F193</f>
        <v>2312</v>
      </c>
      <c r="B194" s="3" t="n">
        <f aca="false">Model_Data!E193</f>
        <v>55788.61</v>
      </c>
      <c r="C194" s="3" t="n">
        <f aca="false">Model_Data!I193</f>
        <v>91.3</v>
      </c>
      <c r="D194" s="3" t="n">
        <f aca="false">Model_Data!G193</f>
        <v>0.058</v>
      </c>
      <c r="E194" s="3" t="n">
        <f aca="false">Model_Data!M193</f>
        <v>0</v>
      </c>
      <c r="F194" s="3" t="n">
        <f aca="false">Model_Data!N193</f>
        <v>0</v>
      </c>
      <c r="G194" s="3" t="n">
        <f aca="false">Model_Data!O193</f>
        <v>0</v>
      </c>
      <c r="H194" s="3" t="n">
        <f aca="false">Model_Data!S193</f>
        <v>550962.93</v>
      </c>
    </row>
    <row r="195" customFormat="false" ht="15" hidden="false" customHeight="true" outlineLevel="0" collapsed="false">
      <c r="A195" s="3" t="n">
        <f aca="false">Model_Data!F194</f>
        <v>1268</v>
      </c>
      <c r="B195" s="3" t="n">
        <f aca="false">Model_Data!E194</f>
        <v>37705.88</v>
      </c>
      <c r="C195" s="3" t="n">
        <f aca="false">Model_Data!I194</f>
        <v>84.1</v>
      </c>
      <c r="D195" s="3" t="n">
        <f aca="false">Model_Data!G194</f>
        <v>0.259</v>
      </c>
      <c r="E195" s="3" t="n">
        <f aca="false">Model_Data!M194</f>
        <v>0</v>
      </c>
      <c r="F195" s="3" t="n">
        <f aca="false">Model_Data!N194</f>
        <v>0</v>
      </c>
      <c r="G195" s="3" t="n">
        <f aca="false">Model_Data!O194</f>
        <v>0</v>
      </c>
      <c r="H195" s="3" t="n">
        <f aca="false">Model_Data!S194</f>
        <v>443275.59</v>
      </c>
    </row>
    <row r="196" customFormat="false" ht="15" hidden="false" customHeight="true" outlineLevel="0" collapsed="false">
      <c r="A196" s="3" t="n">
        <f aca="false">Model_Data!F195</f>
        <v>4423</v>
      </c>
      <c r="B196" s="3" t="n">
        <f aca="false">Model_Data!E195</f>
        <v>54966.18</v>
      </c>
      <c r="C196" s="3" t="n">
        <f aca="false">Model_Data!I195</f>
        <v>88.7</v>
      </c>
      <c r="D196" s="3" t="n">
        <f aca="false">Model_Data!G195</f>
        <v>0.186</v>
      </c>
      <c r="E196" s="3" t="n">
        <f aca="false">Model_Data!M195</f>
        <v>0</v>
      </c>
      <c r="F196" s="3" t="n">
        <f aca="false">Model_Data!N195</f>
        <v>0</v>
      </c>
      <c r="G196" s="3" t="n">
        <f aca="false">Model_Data!O195</f>
        <v>0</v>
      </c>
      <c r="H196" s="3" t="n">
        <f aca="false">Model_Data!S195</f>
        <v>554012.07</v>
      </c>
    </row>
    <row r="197" customFormat="false" ht="15" hidden="false" customHeight="true" outlineLevel="0" collapsed="false">
      <c r="A197" s="3" t="n">
        <f aca="false">Model_Data!F196</f>
        <v>6177</v>
      </c>
      <c r="B197" s="3" t="n">
        <f aca="false">Model_Data!E196</f>
        <v>81796.74</v>
      </c>
      <c r="C197" s="3" t="n">
        <f aca="false">Model_Data!I196</f>
        <v>87.9</v>
      </c>
      <c r="D197" s="3" t="n">
        <f aca="false">Model_Data!G196</f>
        <v>0.164</v>
      </c>
      <c r="E197" s="3" t="n">
        <f aca="false">Model_Data!M196</f>
        <v>0</v>
      </c>
      <c r="F197" s="3" t="n">
        <f aca="false">Model_Data!N196</f>
        <v>0</v>
      </c>
      <c r="G197" s="3" t="n">
        <f aca="false">Model_Data!O196</f>
        <v>1</v>
      </c>
      <c r="H197" s="3" t="n">
        <f aca="false">Model_Data!S196</f>
        <v>643428.85</v>
      </c>
    </row>
    <row r="198" customFormat="false" ht="15" hidden="false" customHeight="true" outlineLevel="0" collapsed="false">
      <c r="A198" s="3" t="n">
        <f aca="false">Model_Data!F197</f>
        <v>5150</v>
      </c>
      <c r="B198" s="3" t="n">
        <f aca="false">Model_Data!E197</f>
        <v>51133.43</v>
      </c>
      <c r="C198" s="3" t="n">
        <f aca="false">Model_Data!I197</f>
        <v>88.5</v>
      </c>
      <c r="D198" s="3" t="n">
        <f aca="false">Model_Data!G197</f>
        <v>0.15</v>
      </c>
      <c r="E198" s="3" t="n">
        <f aca="false">Model_Data!M197</f>
        <v>0</v>
      </c>
      <c r="F198" s="3" t="n">
        <f aca="false">Model_Data!N197</f>
        <v>0</v>
      </c>
      <c r="G198" s="3" t="n">
        <f aca="false">Model_Data!O197</f>
        <v>1</v>
      </c>
      <c r="H198" s="3" t="n">
        <f aca="false">Model_Data!S197</f>
        <v>611924.27</v>
      </c>
    </row>
    <row r="199" customFormat="false" ht="15" hidden="false" customHeight="true" outlineLevel="0" collapsed="false">
      <c r="A199" s="3" t="n">
        <f aca="false">Model_Data!F198</f>
        <v>3783</v>
      </c>
      <c r="B199" s="3" t="n">
        <f aca="false">Model_Data!E198</f>
        <v>40220.18</v>
      </c>
      <c r="C199" s="3" t="n">
        <f aca="false">Model_Data!I198</f>
        <v>86.6</v>
      </c>
      <c r="D199" s="3" t="n">
        <f aca="false">Model_Data!G198</f>
        <v>0.089</v>
      </c>
      <c r="E199" s="3" t="n">
        <f aca="false">Model_Data!M198</f>
        <v>0</v>
      </c>
      <c r="F199" s="3" t="n">
        <f aca="false">Model_Data!N198</f>
        <v>0</v>
      </c>
      <c r="G199" s="3" t="n">
        <f aca="false">Model_Data!O198</f>
        <v>1</v>
      </c>
      <c r="H199" s="3" t="n">
        <f aca="false">Model_Data!S198</f>
        <v>559422.02</v>
      </c>
    </row>
    <row r="200" customFormat="false" ht="15" hidden="false" customHeight="true" outlineLevel="0" collapsed="false">
      <c r="A200" s="3" t="n">
        <f aca="false">Model_Data!F199</f>
        <v>3135</v>
      </c>
      <c r="B200" s="3" t="n">
        <f aca="false">Model_Data!E199</f>
        <v>41657.64</v>
      </c>
      <c r="C200" s="3" t="n">
        <f aca="false">Model_Data!I199</f>
        <v>85.4</v>
      </c>
      <c r="D200" s="3" t="n">
        <f aca="false">Model_Data!G199</f>
        <v>0.229</v>
      </c>
      <c r="E200" s="3" t="n">
        <f aca="false">Model_Data!M199</f>
        <v>0</v>
      </c>
      <c r="F200" s="3" t="n">
        <f aca="false">Model_Data!N199</f>
        <v>0</v>
      </c>
      <c r="G200" s="3" t="n">
        <f aca="false">Model_Data!O199</f>
        <v>1</v>
      </c>
      <c r="H200" s="3" t="n">
        <f aca="false">Model_Data!S199</f>
        <v>449465.06</v>
      </c>
    </row>
    <row r="201" customFormat="false" ht="15" hidden="false" customHeight="true" outlineLevel="0" collapsed="false">
      <c r="A201" s="3" t="n">
        <f aca="false">Model_Data!F200</f>
        <v>4970</v>
      </c>
      <c r="B201" s="3" t="n">
        <f aca="false">Model_Data!E200</f>
        <v>71851.45</v>
      </c>
      <c r="C201" s="3" t="n">
        <f aca="false">Model_Data!I200</f>
        <v>89.6</v>
      </c>
      <c r="D201" s="3" t="n">
        <f aca="false">Model_Data!G200</f>
        <v>0.098</v>
      </c>
      <c r="E201" s="3" t="n">
        <f aca="false">Model_Data!M200</f>
        <v>0</v>
      </c>
      <c r="F201" s="3" t="n">
        <f aca="false">Model_Data!N200</f>
        <v>0</v>
      </c>
      <c r="G201" s="3" t="n">
        <f aca="false">Model_Data!O200</f>
        <v>1</v>
      </c>
      <c r="H201" s="3" t="n">
        <f aca="false">Model_Data!S200</f>
        <v>691447.43</v>
      </c>
    </row>
    <row r="202" customFormat="false" ht="15" hidden="false" customHeight="true" outlineLevel="0" collapsed="false">
      <c r="A202" s="3" t="n">
        <f aca="false">Model_Data!F201</f>
        <v>4366</v>
      </c>
      <c r="B202" s="3" t="n">
        <f aca="false">Model_Data!E201</f>
        <v>54002.83</v>
      </c>
      <c r="C202" s="3" t="n">
        <f aca="false">Model_Data!I201</f>
        <v>90.6</v>
      </c>
      <c r="D202" s="3" t="n">
        <f aca="false">Model_Data!G201</f>
        <v>0.027</v>
      </c>
      <c r="E202" s="3" t="n">
        <f aca="false">Model_Data!M201</f>
        <v>0</v>
      </c>
      <c r="F202" s="3" t="n">
        <f aca="false">Model_Data!N201</f>
        <v>0</v>
      </c>
      <c r="G202" s="3" t="n">
        <f aca="false">Model_Data!O201</f>
        <v>1</v>
      </c>
      <c r="H202" s="3" t="n">
        <f aca="false">Model_Data!S201</f>
        <v>574066.61</v>
      </c>
    </row>
    <row r="203" customFormat="false" ht="15" hidden="false" customHeight="true" outlineLevel="0" collapsed="false">
      <c r="A203" s="3" t="n">
        <f aca="false">Model_Data!F202</f>
        <v>5012</v>
      </c>
      <c r="B203" s="3" t="n">
        <f aca="false">Model_Data!E202</f>
        <v>54479.33</v>
      </c>
      <c r="C203" s="3" t="n">
        <f aca="false">Model_Data!I202</f>
        <v>86</v>
      </c>
      <c r="D203" s="3" t="n">
        <f aca="false">Model_Data!G202</f>
        <v>0.284</v>
      </c>
      <c r="E203" s="3" t="n">
        <f aca="false">Model_Data!M202</f>
        <v>0</v>
      </c>
      <c r="F203" s="3" t="n">
        <f aca="false">Model_Data!N202</f>
        <v>0</v>
      </c>
      <c r="G203" s="3" t="n">
        <f aca="false">Model_Data!O202</f>
        <v>1</v>
      </c>
      <c r="H203" s="3" t="n">
        <f aca="false">Model_Data!S202</f>
        <v>578949.84</v>
      </c>
    </row>
    <row r="204" customFormat="false" ht="15" hidden="false" customHeight="true" outlineLevel="0" collapsed="false">
      <c r="A204" s="3" t="n">
        <f aca="false">Model_Data!F203</f>
        <v>5575</v>
      </c>
      <c r="B204" s="3" t="n">
        <f aca="false">Model_Data!E203</f>
        <v>61391.8</v>
      </c>
      <c r="C204" s="3" t="n">
        <f aca="false">Model_Data!I203</f>
        <v>90</v>
      </c>
      <c r="D204" s="3" t="n">
        <f aca="false">Model_Data!G203</f>
        <v>0.189</v>
      </c>
      <c r="E204" s="3" t="n">
        <f aca="false">Model_Data!M203</f>
        <v>0</v>
      </c>
      <c r="F204" s="3" t="n">
        <f aca="false">Model_Data!N203</f>
        <v>0</v>
      </c>
      <c r="G204" s="3" t="n">
        <f aca="false">Model_Data!O203</f>
        <v>1</v>
      </c>
      <c r="H204" s="3" t="n">
        <f aca="false">Model_Data!S203</f>
        <v>735786.64</v>
      </c>
    </row>
    <row r="205" customFormat="false" ht="15" hidden="false" customHeight="true" outlineLevel="0" collapsed="false">
      <c r="A205" s="3" t="n">
        <f aca="false">Model_Data!F204</f>
        <v>5955</v>
      </c>
      <c r="B205" s="3" t="n">
        <f aca="false">Model_Data!E204</f>
        <v>22312.93</v>
      </c>
      <c r="C205" s="3" t="n">
        <f aca="false">Model_Data!I204</f>
        <v>84.2</v>
      </c>
      <c r="D205" s="3" t="n">
        <f aca="false">Model_Data!G204</f>
        <v>0.123</v>
      </c>
      <c r="E205" s="3" t="n">
        <f aca="false">Model_Data!M204</f>
        <v>1</v>
      </c>
      <c r="F205" s="3" t="n">
        <f aca="false">Model_Data!N204</f>
        <v>0</v>
      </c>
      <c r="G205" s="3" t="n">
        <f aca="false">Model_Data!O204</f>
        <v>0</v>
      </c>
      <c r="H205" s="3" t="n">
        <f aca="false">Model_Data!S204</f>
        <v>598904.9</v>
      </c>
    </row>
    <row r="206" customFormat="false" ht="15" hidden="false" customHeight="true" outlineLevel="0" collapsed="false">
      <c r="A206" s="3" t="n">
        <f aca="false">Model_Data!F205</f>
        <v>6389</v>
      </c>
      <c r="B206" s="3" t="n">
        <f aca="false">Model_Data!E205</f>
        <v>78111.97</v>
      </c>
      <c r="C206" s="3" t="n">
        <f aca="false">Model_Data!I205</f>
        <v>83.9</v>
      </c>
      <c r="D206" s="3" t="n">
        <f aca="false">Model_Data!G205</f>
        <v>0.15</v>
      </c>
      <c r="E206" s="3" t="n">
        <f aca="false">Model_Data!M205</f>
        <v>1</v>
      </c>
      <c r="F206" s="3" t="n">
        <f aca="false">Model_Data!N205</f>
        <v>0</v>
      </c>
      <c r="G206" s="3" t="n">
        <f aca="false">Model_Data!O205</f>
        <v>0</v>
      </c>
      <c r="H206" s="3" t="n">
        <f aca="false">Model_Data!S205</f>
        <v>787715.51</v>
      </c>
    </row>
    <row r="207" customFormat="false" ht="15" hidden="false" customHeight="true" outlineLevel="0" collapsed="false">
      <c r="A207" s="3" t="n">
        <f aca="false">Model_Data!F206</f>
        <v>6896</v>
      </c>
      <c r="B207" s="3" t="n">
        <f aca="false">Model_Data!E206</f>
        <v>35203.23</v>
      </c>
      <c r="C207" s="3" t="n">
        <f aca="false">Model_Data!I206</f>
        <v>80.8</v>
      </c>
      <c r="D207" s="3" t="n">
        <f aca="false">Model_Data!G206</f>
        <v>0.032</v>
      </c>
      <c r="E207" s="3" t="n">
        <f aca="false">Model_Data!M206</f>
        <v>1</v>
      </c>
      <c r="F207" s="3" t="n">
        <f aca="false">Model_Data!N206</f>
        <v>0</v>
      </c>
      <c r="G207" s="3" t="n">
        <f aca="false">Model_Data!O206</f>
        <v>0</v>
      </c>
      <c r="H207" s="3" t="n">
        <f aca="false">Model_Data!S206</f>
        <v>607084.92</v>
      </c>
    </row>
    <row r="208" customFormat="false" ht="15" hidden="false" customHeight="true" outlineLevel="0" collapsed="false">
      <c r="A208" s="3" t="n">
        <f aca="false">Model_Data!F207</f>
        <v>6015</v>
      </c>
      <c r="B208" s="3" t="n">
        <f aca="false">Model_Data!E207</f>
        <v>64104.28</v>
      </c>
      <c r="C208" s="3" t="n">
        <f aca="false">Model_Data!I207</f>
        <v>88.7</v>
      </c>
      <c r="D208" s="3" t="n">
        <f aca="false">Model_Data!G207</f>
        <v>0.127</v>
      </c>
      <c r="E208" s="3" t="n">
        <f aca="false">Model_Data!M207</f>
        <v>1</v>
      </c>
      <c r="F208" s="3" t="n">
        <f aca="false">Model_Data!N207</f>
        <v>0</v>
      </c>
      <c r="G208" s="3" t="n">
        <f aca="false">Model_Data!O207</f>
        <v>0</v>
      </c>
      <c r="H208" s="3" t="n">
        <f aca="false">Model_Data!S207</f>
        <v>650795.49</v>
      </c>
    </row>
    <row r="209" customFormat="false" ht="15" hidden="false" customHeight="true" outlineLevel="0" collapsed="false">
      <c r="A209" s="3" t="n">
        <f aca="false">Model_Data!F208</f>
        <v>9476</v>
      </c>
      <c r="B209" s="3" t="n">
        <f aca="false">Model_Data!E208</f>
        <v>92090.14</v>
      </c>
      <c r="C209" s="3" t="n">
        <f aca="false">Model_Data!I208</f>
        <v>94.3</v>
      </c>
      <c r="D209" s="3" t="n">
        <f aca="false">Model_Data!G208</f>
        <v>0.07</v>
      </c>
      <c r="E209" s="3" t="n">
        <f aca="false">Model_Data!M208</f>
        <v>0</v>
      </c>
      <c r="F209" s="3" t="n">
        <f aca="false">Model_Data!N208</f>
        <v>1</v>
      </c>
      <c r="G209" s="3" t="n">
        <f aca="false">Model_Data!O208</f>
        <v>0</v>
      </c>
      <c r="H209" s="3" t="n">
        <f aca="false">Model_Data!S208</f>
        <v>825060.52</v>
      </c>
    </row>
    <row r="210" customFormat="false" ht="15" hidden="false" customHeight="true" outlineLevel="0" collapsed="false">
      <c r="A210" s="3" t="n">
        <f aca="false">Model_Data!F209</f>
        <v>7875</v>
      </c>
      <c r="B210" s="3" t="n">
        <f aca="false">Model_Data!E209</f>
        <v>54300.87</v>
      </c>
      <c r="C210" s="3" t="n">
        <f aca="false">Model_Data!I209</f>
        <v>94.1</v>
      </c>
      <c r="D210" s="3" t="n">
        <f aca="false">Model_Data!G209</f>
        <v>0.107</v>
      </c>
      <c r="E210" s="3" t="n">
        <f aca="false">Model_Data!M209</f>
        <v>0</v>
      </c>
      <c r="F210" s="3" t="n">
        <f aca="false">Model_Data!N209</f>
        <v>1</v>
      </c>
      <c r="G210" s="3" t="n">
        <f aca="false">Model_Data!O209</f>
        <v>0</v>
      </c>
      <c r="H210" s="3" t="n">
        <f aca="false">Model_Data!S209</f>
        <v>795464.47</v>
      </c>
    </row>
    <row r="211" customFormat="false" ht="15" hidden="false" customHeight="true" outlineLevel="0" collapsed="false">
      <c r="A211" s="3" t="n">
        <f aca="false">Model_Data!F210</f>
        <v>9283</v>
      </c>
      <c r="B211" s="3" t="n">
        <f aca="false">Model_Data!E210</f>
        <v>37983.35</v>
      </c>
      <c r="C211" s="3" t="n">
        <f aca="false">Model_Data!I210</f>
        <v>83.2</v>
      </c>
      <c r="D211" s="3" t="n">
        <f aca="false">Model_Data!G210</f>
        <v>0.149</v>
      </c>
      <c r="E211" s="3" t="n">
        <f aca="false">Model_Data!M210</f>
        <v>0</v>
      </c>
      <c r="F211" s="3" t="n">
        <f aca="false">Model_Data!N210</f>
        <v>1</v>
      </c>
      <c r="G211" s="3" t="n">
        <f aca="false">Model_Data!O210</f>
        <v>0</v>
      </c>
      <c r="H211" s="3" t="n">
        <f aca="false">Model_Data!S210</f>
        <v>671868.59</v>
      </c>
    </row>
    <row r="212" customFormat="false" ht="15" hidden="false" customHeight="true" outlineLevel="0" collapsed="false">
      <c r="A212" s="3" t="n">
        <f aca="false">Model_Data!F211</f>
        <v>8303</v>
      </c>
      <c r="B212" s="3" t="n">
        <f aca="false">Model_Data!E211</f>
        <v>56413.83</v>
      </c>
      <c r="C212" s="3" t="n">
        <f aca="false">Model_Data!I211</f>
        <v>93.6</v>
      </c>
      <c r="D212" s="3" t="n">
        <f aca="false">Model_Data!G211</f>
        <v>0.116</v>
      </c>
      <c r="E212" s="3" t="n">
        <f aca="false">Model_Data!M211</f>
        <v>0</v>
      </c>
      <c r="F212" s="3" t="n">
        <f aca="false">Model_Data!N211</f>
        <v>1</v>
      </c>
      <c r="G212" s="3" t="n">
        <f aca="false">Model_Data!O211</f>
        <v>0</v>
      </c>
      <c r="H212" s="3" t="n">
        <f aca="false">Model_Data!S211</f>
        <v>675917.63</v>
      </c>
    </row>
    <row r="213" customFormat="false" ht="15" hidden="false" customHeight="true" outlineLevel="0" collapsed="false">
      <c r="A213" s="3" t="n">
        <f aca="false">Model_Data!F212</f>
        <v>10125</v>
      </c>
      <c r="B213" s="3" t="n">
        <f aca="false">Model_Data!E212</f>
        <v>63457.19</v>
      </c>
      <c r="C213" s="3" t="n">
        <f aca="false">Model_Data!I212</f>
        <v>87</v>
      </c>
      <c r="D213" s="3" t="n">
        <f aca="false">Model_Data!G212</f>
        <v>0.097</v>
      </c>
      <c r="E213" s="3" t="n">
        <f aca="false">Model_Data!M212</f>
        <v>0</v>
      </c>
      <c r="F213" s="3" t="n">
        <f aca="false">Model_Data!N212</f>
        <v>0</v>
      </c>
      <c r="G213" s="3" t="n">
        <f aca="false">Model_Data!O212</f>
        <v>0</v>
      </c>
      <c r="H213" s="3" t="n">
        <f aca="false">Model_Data!S212</f>
        <v>810446.53</v>
      </c>
    </row>
    <row r="214" customFormat="false" ht="15" hidden="false" customHeight="true" outlineLevel="0" collapsed="false">
      <c r="A214" s="3" t="n">
        <f aca="false">Model_Data!F213</f>
        <v>9458</v>
      </c>
      <c r="B214" s="3" t="n">
        <f aca="false">Model_Data!E213</f>
        <v>62949.7</v>
      </c>
      <c r="C214" s="3" t="n">
        <f aca="false">Model_Data!I213</f>
        <v>84.9</v>
      </c>
      <c r="D214" s="3" t="n">
        <f aca="false">Model_Data!G213</f>
        <v>0.171</v>
      </c>
      <c r="E214" s="3" t="n">
        <f aca="false">Model_Data!M213</f>
        <v>0</v>
      </c>
      <c r="F214" s="3" t="n">
        <f aca="false">Model_Data!N213</f>
        <v>0</v>
      </c>
      <c r="G214" s="3" t="n">
        <f aca="false">Model_Data!O213</f>
        <v>0</v>
      </c>
      <c r="H214" s="3" t="n">
        <f aca="false">Model_Data!S213</f>
        <v>691288.19</v>
      </c>
    </row>
    <row r="215" customFormat="false" ht="15" hidden="false" customHeight="true" outlineLevel="0" collapsed="false">
      <c r="A215" s="3" t="n">
        <f aca="false">Model_Data!F214</f>
        <v>12870</v>
      </c>
      <c r="B215" s="3" t="n">
        <f aca="false">Model_Data!E214</f>
        <v>107970.19</v>
      </c>
      <c r="C215" s="3" t="n">
        <f aca="false">Model_Data!I214</f>
        <v>91.7</v>
      </c>
      <c r="D215" s="3" t="n">
        <f aca="false">Model_Data!G214</f>
        <v>0.029</v>
      </c>
      <c r="E215" s="3" t="n">
        <f aca="false">Model_Data!M214</f>
        <v>0</v>
      </c>
      <c r="F215" s="3" t="n">
        <f aca="false">Model_Data!N214</f>
        <v>0</v>
      </c>
      <c r="G215" s="3" t="n">
        <f aca="false">Model_Data!O214</f>
        <v>0</v>
      </c>
      <c r="H215" s="3" t="n">
        <f aca="false">Model_Data!S214</f>
        <v>946833.54</v>
      </c>
    </row>
    <row r="216" customFormat="false" ht="15" hidden="false" customHeight="true" outlineLevel="0" collapsed="false">
      <c r="A216" s="3" t="n">
        <f aca="false">Model_Data!F215</f>
        <v>9752</v>
      </c>
      <c r="B216" s="3" t="n">
        <f aca="false">Model_Data!E215</f>
        <v>49405.75</v>
      </c>
      <c r="C216" s="3" t="n">
        <f aca="false">Model_Data!I215</f>
        <v>87</v>
      </c>
      <c r="D216" s="3" t="n">
        <f aca="false">Model_Data!G215</f>
        <v>0.093</v>
      </c>
      <c r="E216" s="3" t="n">
        <f aca="false">Model_Data!M215</f>
        <v>0</v>
      </c>
      <c r="F216" s="3" t="n">
        <f aca="false">Model_Data!N215</f>
        <v>0</v>
      </c>
      <c r="G216" s="3" t="n">
        <f aca="false">Model_Data!O215</f>
        <v>0</v>
      </c>
      <c r="H216" s="3" t="n">
        <f aca="false">Model_Data!S215</f>
        <v>761963.23</v>
      </c>
    </row>
    <row r="217" customFormat="false" ht="15" hidden="false" customHeight="true" outlineLevel="0" collapsed="false">
      <c r="A217" s="3" t="n">
        <f aca="false">Model_Data!F216</f>
        <v>9505</v>
      </c>
      <c r="B217" s="3" t="n">
        <f aca="false">Model_Data!E216</f>
        <v>50887.46</v>
      </c>
      <c r="C217" s="3" t="n">
        <f aca="false">Model_Data!I216</f>
        <v>89.7</v>
      </c>
      <c r="D217" s="3" t="n">
        <f aca="false">Model_Data!G216</f>
        <v>0.091</v>
      </c>
      <c r="E217" s="3" t="n">
        <f aca="false">Model_Data!M216</f>
        <v>0</v>
      </c>
      <c r="F217" s="3" t="n">
        <f aca="false">Model_Data!N216</f>
        <v>0</v>
      </c>
      <c r="G217" s="3" t="n">
        <f aca="false">Model_Data!O216</f>
        <v>1</v>
      </c>
      <c r="H217" s="3" t="n">
        <f aca="false">Model_Data!S216</f>
        <v>812152.6</v>
      </c>
    </row>
    <row r="218" customFormat="false" ht="15" hidden="false" customHeight="true" outlineLevel="0" collapsed="false">
      <c r="A218" s="3" t="n">
        <f aca="false">Model_Data!F217</f>
        <v>9412</v>
      </c>
      <c r="B218" s="3" t="n">
        <f aca="false">Model_Data!E217</f>
        <v>41819.45</v>
      </c>
      <c r="C218" s="3" t="n">
        <f aca="false">Model_Data!I217</f>
        <v>91</v>
      </c>
      <c r="D218" s="3" t="n">
        <f aca="false">Model_Data!G217</f>
        <v>0.15</v>
      </c>
      <c r="E218" s="3" t="n">
        <f aca="false">Model_Data!M217</f>
        <v>0</v>
      </c>
      <c r="F218" s="3" t="n">
        <f aca="false">Model_Data!N217</f>
        <v>0</v>
      </c>
      <c r="G218" s="3" t="n">
        <f aca="false">Model_Data!O217</f>
        <v>1</v>
      </c>
      <c r="H218" s="3" t="n">
        <f aca="false">Model_Data!S217</f>
        <v>804975.5</v>
      </c>
    </row>
    <row r="219" customFormat="false" ht="15" hidden="false" customHeight="true" outlineLevel="0" collapsed="false">
      <c r="A219" s="3" t="n">
        <f aca="false">Model_Data!F218</f>
        <v>9644</v>
      </c>
      <c r="B219" s="3" t="n">
        <f aca="false">Model_Data!E218</f>
        <v>35296.54</v>
      </c>
      <c r="C219" s="3" t="n">
        <f aca="false">Model_Data!I218</f>
        <v>88</v>
      </c>
      <c r="D219" s="3" t="n">
        <f aca="false">Model_Data!G218</f>
        <v>0</v>
      </c>
      <c r="E219" s="3" t="n">
        <f aca="false">Model_Data!M218</f>
        <v>0</v>
      </c>
      <c r="F219" s="3" t="n">
        <f aca="false">Model_Data!N218</f>
        <v>0</v>
      </c>
      <c r="G219" s="3" t="n">
        <f aca="false">Model_Data!O218</f>
        <v>1</v>
      </c>
      <c r="H219" s="3" t="n">
        <f aca="false">Model_Data!S218</f>
        <v>752321.72</v>
      </c>
    </row>
    <row r="220" customFormat="false" ht="15" hidden="false" customHeight="true" outlineLevel="0" collapsed="false">
      <c r="A220" s="3" t="n">
        <f aca="false">Model_Data!F219</f>
        <v>11224</v>
      </c>
      <c r="B220" s="3" t="n">
        <f aca="false">Model_Data!E219</f>
        <v>47391.09</v>
      </c>
      <c r="C220" s="3" t="n">
        <f aca="false">Model_Data!I219</f>
        <v>88.4</v>
      </c>
      <c r="D220" s="3" t="n">
        <f aca="false">Model_Data!G219</f>
        <v>0.147</v>
      </c>
      <c r="E220" s="3" t="n">
        <f aca="false">Model_Data!M219</f>
        <v>0</v>
      </c>
      <c r="F220" s="3" t="n">
        <f aca="false">Model_Data!N219</f>
        <v>0</v>
      </c>
      <c r="G220" s="3" t="n">
        <f aca="false">Model_Data!O219</f>
        <v>1</v>
      </c>
      <c r="H220" s="3" t="n">
        <f aca="false">Model_Data!S219</f>
        <v>836908.24</v>
      </c>
    </row>
    <row r="221" customFormat="false" ht="15" hidden="false" customHeight="true" outlineLevel="0" collapsed="false">
      <c r="A221" s="3" t="n">
        <f aca="false">Model_Data!F220</f>
        <v>5394</v>
      </c>
      <c r="B221" s="3" t="n">
        <f aca="false">Model_Data!E220</f>
        <v>69180.54</v>
      </c>
      <c r="C221" s="3" t="n">
        <f aca="false">Model_Data!I220</f>
        <v>82.9</v>
      </c>
      <c r="D221" s="3" t="n">
        <f aca="false">Model_Data!G220</f>
        <v>0.126</v>
      </c>
      <c r="E221" s="3" t="n">
        <f aca="false">Model_Data!M220</f>
        <v>1</v>
      </c>
      <c r="F221" s="3" t="n">
        <f aca="false">Model_Data!N220</f>
        <v>0</v>
      </c>
      <c r="G221" s="3" t="n">
        <f aca="false">Model_Data!O220</f>
        <v>0</v>
      </c>
      <c r="H221" s="3" t="n">
        <f aca="false">Model_Data!S220</f>
        <v>674289.1</v>
      </c>
    </row>
    <row r="222" customFormat="false" ht="15" hidden="false" customHeight="true" outlineLevel="0" collapsed="false">
      <c r="A222" s="3" t="n">
        <f aca="false">Model_Data!F221</f>
        <v>5014</v>
      </c>
      <c r="B222" s="3" t="n">
        <f aca="false">Model_Data!E221</f>
        <v>33987.33</v>
      </c>
      <c r="C222" s="3" t="n">
        <f aca="false">Model_Data!I221</f>
        <v>94.3</v>
      </c>
      <c r="D222" s="3" t="n">
        <f aca="false">Model_Data!G221</f>
        <v>0.246</v>
      </c>
      <c r="E222" s="3" t="n">
        <f aca="false">Model_Data!M221</f>
        <v>1</v>
      </c>
      <c r="F222" s="3" t="n">
        <f aca="false">Model_Data!N221</f>
        <v>0</v>
      </c>
      <c r="G222" s="3" t="n">
        <f aca="false">Model_Data!O221</f>
        <v>0</v>
      </c>
      <c r="H222" s="3" t="n">
        <f aca="false">Model_Data!S221</f>
        <v>622892.42</v>
      </c>
    </row>
    <row r="223" customFormat="false" ht="15" hidden="false" customHeight="true" outlineLevel="0" collapsed="false">
      <c r="A223" s="3" t="n">
        <f aca="false">Model_Data!F222</f>
        <v>4467</v>
      </c>
      <c r="B223" s="3" t="n">
        <f aca="false">Model_Data!E222</f>
        <v>58785.33</v>
      </c>
      <c r="C223" s="3" t="n">
        <f aca="false">Model_Data!I222</f>
        <v>90.7</v>
      </c>
      <c r="D223" s="3" t="n">
        <f aca="false">Model_Data!G222</f>
        <v>0.229</v>
      </c>
      <c r="E223" s="3" t="n">
        <f aca="false">Model_Data!M222</f>
        <v>1</v>
      </c>
      <c r="F223" s="3" t="n">
        <f aca="false">Model_Data!N222</f>
        <v>0</v>
      </c>
      <c r="G223" s="3" t="n">
        <f aca="false">Model_Data!O222</f>
        <v>0</v>
      </c>
      <c r="H223" s="3" t="n">
        <f aca="false">Model_Data!S222</f>
        <v>673348.56</v>
      </c>
    </row>
    <row r="224" customFormat="false" ht="15" hidden="false" customHeight="true" outlineLevel="0" collapsed="false">
      <c r="A224" s="3" t="n">
        <f aca="false">Model_Data!F223</f>
        <v>4678</v>
      </c>
      <c r="B224" s="3" t="n">
        <f aca="false">Model_Data!E223</f>
        <v>16451.85</v>
      </c>
      <c r="C224" s="3" t="n">
        <f aca="false">Model_Data!I223</f>
        <v>95.9</v>
      </c>
      <c r="D224" s="3" t="n">
        <f aca="false">Model_Data!G223</f>
        <v>0.133</v>
      </c>
      <c r="E224" s="3" t="n">
        <f aca="false">Model_Data!M223</f>
        <v>1</v>
      </c>
      <c r="F224" s="3" t="n">
        <f aca="false">Model_Data!N223</f>
        <v>0</v>
      </c>
      <c r="G224" s="3" t="n">
        <f aca="false">Model_Data!O223</f>
        <v>0</v>
      </c>
      <c r="H224" s="3" t="n">
        <f aca="false">Model_Data!S223</f>
        <v>606278.3</v>
      </c>
    </row>
    <row r="225" customFormat="false" ht="15" hidden="false" customHeight="true" outlineLevel="0" collapsed="false">
      <c r="A225" s="3" t="n">
        <f aca="false">Model_Data!F224</f>
        <v>7291</v>
      </c>
      <c r="B225" s="3" t="n">
        <f aca="false">Model_Data!E224</f>
        <v>53367.73</v>
      </c>
      <c r="C225" s="3" t="n">
        <f aca="false">Model_Data!I224</f>
        <v>90.6</v>
      </c>
      <c r="D225" s="3" t="n">
        <f aca="false">Model_Data!G224</f>
        <v>0.146</v>
      </c>
      <c r="E225" s="3" t="n">
        <f aca="false">Model_Data!M224</f>
        <v>0</v>
      </c>
      <c r="F225" s="3" t="n">
        <f aca="false">Model_Data!N224</f>
        <v>0</v>
      </c>
      <c r="G225" s="3" t="n">
        <f aca="false">Model_Data!O224</f>
        <v>0</v>
      </c>
      <c r="H225" s="3" t="n">
        <f aca="false">Model_Data!S224</f>
        <v>712219.81</v>
      </c>
    </row>
    <row r="226" customFormat="false" ht="15" hidden="false" customHeight="true" outlineLevel="0" collapsed="false">
      <c r="A226" s="3" t="n">
        <f aca="false">Model_Data!F225</f>
        <v>7404</v>
      </c>
      <c r="B226" s="3" t="n">
        <f aca="false">Model_Data!E225</f>
        <v>27194.64</v>
      </c>
      <c r="C226" s="3" t="n">
        <f aca="false">Model_Data!I225</f>
        <v>90.2</v>
      </c>
      <c r="D226" s="3" t="n">
        <f aca="false">Model_Data!G225</f>
        <v>0.088</v>
      </c>
      <c r="E226" s="3" t="n">
        <f aca="false">Model_Data!M225</f>
        <v>0</v>
      </c>
      <c r="F226" s="3" t="n">
        <f aca="false">Model_Data!N225</f>
        <v>0</v>
      </c>
      <c r="G226" s="3" t="n">
        <f aca="false">Model_Data!O225</f>
        <v>0</v>
      </c>
      <c r="H226" s="3" t="n">
        <f aca="false">Model_Data!S225</f>
        <v>672670.54</v>
      </c>
    </row>
    <row r="227" customFormat="false" ht="15" hidden="false" customHeight="true" outlineLevel="0" collapsed="false">
      <c r="A227" s="3" t="n">
        <f aca="false">Model_Data!F226</f>
        <v>7880</v>
      </c>
      <c r="B227" s="3" t="n">
        <f aca="false">Model_Data!E226</f>
        <v>66962.74</v>
      </c>
      <c r="C227" s="3" t="n">
        <f aca="false">Model_Data!I226</f>
        <v>90.4</v>
      </c>
      <c r="D227" s="3" t="n">
        <f aca="false">Model_Data!G226</f>
        <v>0.116</v>
      </c>
      <c r="E227" s="3" t="n">
        <f aca="false">Model_Data!M226</f>
        <v>0</v>
      </c>
      <c r="F227" s="3" t="n">
        <f aca="false">Model_Data!N226</f>
        <v>0</v>
      </c>
      <c r="G227" s="3" t="n">
        <f aca="false">Model_Data!O226</f>
        <v>0</v>
      </c>
      <c r="H227" s="3" t="n">
        <f aca="false">Model_Data!S226</f>
        <v>732667.92</v>
      </c>
    </row>
    <row r="228" customFormat="false" ht="15" hidden="false" customHeight="true" outlineLevel="0" collapsed="false">
      <c r="A228" s="3" t="n">
        <f aca="false">Model_Data!F227</f>
        <v>8773</v>
      </c>
      <c r="B228" s="3" t="n">
        <f aca="false">Model_Data!E227</f>
        <v>73540.99</v>
      </c>
      <c r="C228" s="3" t="n">
        <f aca="false">Model_Data!I227</f>
        <v>84.4</v>
      </c>
      <c r="D228" s="3" t="n">
        <f aca="false">Model_Data!G227</f>
        <v>0.035</v>
      </c>
      <c r="E228" s="3" t="n">
        <f aca="false">Model_Data!M227</f>
        <v>0</v>
      </c>
      <c r="F228" s="3" t="n">
        <f aca="false">Model_Data!N227</f>
        <v>0</v>
      </c>
      <c r="G228" s="3" t="n">
        <f aca="false">Model_Data!O227</f>
        <v>0</v>
      </c>
      <c r="H228" s="3" t="n">
        <f aca="false">Model_Data!S227</f>
        <v>723531.4</v>
      </c>
    </row>
    <row r="229" customFormat="false" ht="15" hidden="false" customHeight="true" outlineLevel="0" collapsed="false">
      <c r="A229" s="3" t="n">
        <f aca="false">Model_Data!F228</f>
        <v>4713</v>
      </c>
      <c r="B229" s="3" t="n">
        <f aca="false">Model_Data!E228</f>
        <v>68212.29</v>
      </c>
      <c r="C229" s="3" t="n">
        <f aca="false">Model_Data!I228</f>
        <v>82.6</v>
      </c>
      <c r="D229" s="3" t="n">
        <f aca="false">Model_Data!G228</f>
        <v>0.198</v>
      </c>
      <c r="E229" s="3" t="n">
        <f aca="false">Model_Data!M228</f>
        <v>0</v>
      </c>
      <c r="F229" s="3" t="n">
        <f aca="false">Model_Data!N228</f>
        <v>1</v>
      </c>
      <c r="G229" s="3" t="n">
        <f aca="false">Model_Data!O228</f>
        <v>0</v>
      </c>
      <c r="H229" s="3" t="n">
        <f aca="false">Model_Data!S228</f>
        <v>641564.6</v>
      </c>
    </row>
    <row r="230" customFormat="false" ht="15" hidden="false" customHeight="true" outlineLevel="0" collapsed="false">
      <c r="A230" s="3" t="n">
        <f aca="false">Model_Data!F229</f>
        <v>2842</v>
      </c>
      <c r="B230" s="3" t="n">
        <f aca="false">Model_Data!E229</f>
        <v>57225.98</v>
      </c>
      <c r="C230" s="3" t="n">
        <f aca="false">Model_Data!I229</f>
        <v>79.5</v>
      </c>
      <c r="D230" s="3" t="n">
        <f aca="false">Model_Data!G229</f>
        <v>0.112</v>
      </c>
      <c r="E230" s="3" t="n">
        <f aca="false">Model_Data!M229</f>
        <v>0</v>
      </c>
      <c r="F230" s="3" t="n">
        <f aca="false">Model_Data!N229</f>
        <v>1</v>
      </c>
      <c r="G230" s="3" t="n">
        <f aca="false">Model_Data!O229</f>
        <v>0</v>
      </c>
      <c r="H230" s="3" t="n">
        <f aca="false">Model_Data!S229</f>
        <v>536545.49</v>
      </c>
    </row>
    <row r="231" customFormat="false" ht="15" hidden="false" customHeight="true" outlineLevel="0" collapsed="false">
      <c r="A231" s="3" t="n">
        <f aca="false">Model_Data!F230</f>
        <v>3872</v>
      </c>
      <c r="B231" s="3" t="n">
        <f aca="false">Model_Data!E230</f>
        <v>42932.02</v>
      </c>
      <c r="C231" s="3" t="n">
        <f aca="false">Model_Data!I230</f>
        <v>83.2</v>
      </c>
      <c r="D231" s="3" t="n">
        <f aca="false">Model_Data!G230</f>
        <v>0.171</v>
      </c>
      <c r="E231" s="3" t="n">
        <f aca="false">Model_Data!M230</f>
        <v>0</v>
      </c>
      <c r="F231" s="3" t="n">
        <f aca="false">Model_Data!N230</f>
        <v>1</v>
      </c>
      <c r="G231" s="3" t="n">
        <f aca="false">Model_Data!O230</f>
        <v>0</v>
      </c>
      <c r="H231" s="3" t="n">
        <f aca="false">Model_Data!S230</f>
        <v>527681.56</v>
      </c>
    </row>
    <row r="232" customFormat="false" ht="15" hidden="false" customHeight="true" outlineLevel="0" collapsed="false">
      <c r="A232" s="3" t="n">
        <f aca="false">Model_Data!F231</f>
        <v>1375</v>
      </c>
      <c r="B232" s="3" t="n">
        <f aca="false">Model_Data!E231</f>
        <v>39341.45</v>
      </c>
      <c r="C232" s="3" t="n">
        <f aca="false">Model_Data!I231</f>
        <v>95</v>
      </c>
      <c r="D232" s="3" t="n">
        <f aca="false">Model_Data!G231</f>
        <v>0.093</v>
      </c>
      <c r="E232" s="3" t="n">
        <f aca="false">Model_Data!M231</f>
        <v>0</v>
      </c>
      <c r="F232" s="3" t="n">
        <f aca="false">Model_Data!N231</f>
        <v>1</v>
      </c>
      <c r="G232" s="3" t="n">
        <f aca="false">Model_Data!O231</f>
        <v>0</v>
      </c>
      <c r="H232" s="3" t="n">
        <f aca="false">Model_Data!S231</f>
        <v>529598.94</v>
      </c>
    </row>
    <row r="233" customFormat="false" ht="15" hidden="false" customHeight="true" outlineLevel="0" collapsed="false">
      <c r="A233" s="3" t="n">
        <f aca="false">Model_Data!F232</f>
        <v>5957</v>
      </c>
      <c r="B233" s="3" t="n">
        <f aca="false">Model_Data!E232</f>
        <v>37324.23</v>
      </c>
      <c r="C233" s="3" t="n">
        <f aca="false">Model_Data!I232</f>
        <v>85.9</v>
      </c>
      <c r="D233" s="3" t="n">
        <f aca="false">Model_Data!G232</f>
        <v>0.071</v>
      </c>
      <c r="E233" s="3" t="n">
        <f aca="false">Model_Data!M232</f>
        <v>0</v>
      </c>
      <c r="F233" s="3" t="n">
        <f aca="false">Model_Data!N232</f>
        <v>0</v>
      </c>
      <c r="G233" s="3" t="n">
        <f aca="false">Model_Data!O232</f>
        <v>0</v>
      </c>
      <c r="H233" s="3" t="n">
        <f aca="false">Model_Data!S232</f>
        <v>570963.31</v>
      </c>
    </row>
    <row r="234" customFormat="false" ht="15" hidden="false" customHeight="true" outlineLevel="0" collapsed="false">
      <c r="A234" s="3" t="n">
        <f aca="false">Model_Data!F233</f>
        <v>8961</v>
      </c>
      <c r="B234" s="3" t="n">
        <f aca="false">Model_Data!E233</f>
        <v>113736</v>
      </c>
      <c r="C234" s="3" t="n">
        <f aca="false">Model_Data!I233</f>
        <v>86.2</v>
      </c>
      <c r="D234" s="3" t="n">
        <f aca="false">Model_Data!G233</f>
        <v>0.202</v>
      </c>
      <c r="E234" s="3" t="n">
        <f aca="false">Model_Data!M233</f>
        <v>0</v>
      </c>
      <c r="F234" s="3" t="n">
        <f aca="false">Model_Data!N233</f>
        <v>0</v>
      </c>
      <c r="G234" s="3" t="n">
        <f aca="false">Model_Data!O233</f>
        <v>0</v>
      </c>
      <c r="H234" s="3" t="n">
        <f aca="false">Model_Data!S233</f>
        <v>870937.4</v>
      </c>
    </row>
    <row r="235" customFormat="false" ht="15" hidden="false" customHeight="true" outlineLevel="0" collapsed="false">
      <c r="A235" s="3" t="n">
        <f aca="false">Model_Data!F234</f>
        <v>6545</v>
      </c>
      <c r="B235" s="3" t="n">
        <f aca="false">Model_Data!E234</f>
        <v>33173.95</v>
      </c>
      <c r="C235" s="3" t="n">
        <f aca="false">Model_Data!I234</f>
        <v>84.4</v>
      </c>
      <c r="D235" s="3" t="n">
        <f aca="false">Model_Data!G234</f>
        <v>0.169</v>
      </c>
      <c r="E235" s="3" t="n">
        <f aca="false">Model_Data!M234</f>
        <v>0</v>
      </c>
      <c r="F235" s="3" t="n">
        <f aca="false">Model_Data!N234</f>
        <v>0</v>
      </c>
      <c r="G235" s="3" t="n">
        <f aca="false">Model_Data!O234</f>
        <v>0</v>
      </c>
      <c r="H235" s="3" t="n">
        <f aca="false">Model_Data!S234</f>
        <v>596969.27</v>
      </c>
    </row>
    <row r="236" customFormat="false" ht="15" hidden="false" customHeight="true" outlineLevel="0" collapsed="false">
      <c r="A236" s="3" t="n">
        <f aca="false">Model_Data!F235</f>
        <v>5457</v>
      </c>
      <c r="B236" s="3" t="n">
        <f aca="false">Model_Data!E235</f>
        <v>25818.08</v>
      </c>
      <c r="C236" s="3" t="n">
        <f aca="false">Model_Data!I235</f>
        <v>95.4</v>
      </c>
      <c r="D236" s="3" t="n">
        <f aca="false">Model_Data!G235</f>
        <v>0</v>
      </c>
      <c r="E236" s="3" t="n">
        <f aca="false">Model_Data!M235</f>
        <v>0</v>
      </c>
      <c r="F236" s="3" t="n">
        <f aca="false">Model_Data!N235</f>
        <v>0</v>
      </c>
      <c r="G236" s="3" t="n">
        <f aca="false">Model_Data!O235</f>
        <v>0</v>
      </c>
      <c r="H236" s="3" t="n">
        <f aca="false">Model_Data!S235</f>
        <v>647512.85</v>
      </c>
    </row>
    <row r="237" customFormat="false" ht="15" hidden="false" customHeight="true" outlineLevel="0" collapsed="false">
      <c r="A237" s="3" t="n">
        <f aca="false">Model_Data!F236</f>
        <v>4264</v>
      </c>
      <c r="B237" s="3" t="n">
        <f aca="false">Model_Data!E236</f>
        <v>47241.92</v>
      </c>
      <c r="C237" s="3" t="n">
        <f aca="false">Model_Data!I236</f>
        <v>95.3</v>
      </c>
      <c r="D237" s="3" t="n">
        <f aca="false">Model_Data!G236</f>
        <v>0.069</v>
      </c>
      <c r="E237" s="3" t="n">
        <f aca="false">Model_Data!M236</f>
        <v>0</v>
      </c>
      <c r="F237" s="3" t="n">
        <f aca="false">Model_Data!N236</f>
        <v>0</v>
      </c>
      <c r="G237" s="3" t="n">
        <f aca="false">Model_Data!O236</f>
        <v>1</v>
      </c>
      <c r="H237" s="3" t="n">
        <f aca="false">Model_Data!S236</f>
        <v>658072.14</v>
      </c>
    </row>
    <row r="238" customFormat="false" ht="15" hidden="false" customHeight="true" outlineLevel="0" collapsed="false">
      <c r="A238" s="3" t="n">
        <f aca="false">Model_Data!F237</f>
        <v>5321</v>
      </c>
      <c r="B238" s="3" t="n">
        <f aca="false">Model_Data!E237</f>
        <v>61650.79</v>
      </c>
      <c r="C238" s="3" t="n">
        <f aca="false">Model_Data!I237</f>
        <v>89.2</v>
      </c>
      <c r="D238" s="3" t="n">
        <f aca="false">Model_Data!G237</f>
        <v>0.126</v>
      </c>
      <c r="E238" s="3" t="n">
        <f aca="false">Model_Data!M237</f>
        <v>0</v>
      </c>
      <c r="F238" s="3" t="n">
        <f aca="false">Model_Data!N237</f>
        <v>0</v>
      </c>
      <c r="G238" s="3" t="n">
        <f aca="false">Model_Data!O237</f>
        <v>1</v>
      </c>
      <c r="H238" s="3" t="n">
        <f aca="false">Model_Data!S237</f>
        <v>723305.11</v>
      </c>
    </row>
    <row r="239" customFormat="false" ht="15" hidden="false" customHeight="true" outlineLevel="0" collapsed="false">
      <c r="A239" s="3" t="n">
        <f aca="false">Model_Data!F238</f>
        <v>5479</v>
      </c>
      <c r="B239" s="3" t="n">
        <f aca="false">Model_Data!E238</f>
        <v>62582.71</v>
      </c>
      <c r="C239" s="3" t="n">
        <f aca="false">Model_Data!I238</f>
        <v>81.2</v>
      </c>
      <c r="D239" s="3" t="n">
        <f aca="false">Model_Data!G238</f>
        <v>0.048</v>
      </c>
      <c r="E239" s="3" t="n">
        <f aca="false">Model_Data!M238</f>
        <v>0</v>
      </c>
      <c r="F239" s="3" t="n">
        <f aca="false">Model_Data!N238</f>
        <v>0</v>
      </c>
      <c r="G239" s="3" t="n">
        <f aca="false">Model_Data!O238</f>
        <v>1</v>
      </c>
      <c r="H239" s="3" t="n">
        <f aca="false">Model_Data!S238</f>
        <v>640666.53</v>
      </c>
    </row>
    <row r="240" customFormat="false" ht="15" hidden="false" customHeight="true" outlineLevel="0" collapsed="false">
      <c r="A240" s="3" t="n">
        <f aca="false">Model_Data!F239</f>
        <v>6169</v>
      </c>
      <c r="B240" s="3" t="n">
        <f aca="false">Model_Data!E239</f>
        <v>47944.14</v>
      </c>
      <c r="C240" s="3" t="n">
        <f aca="false">Model_Data!I239</f>
        <v>92.2</v>
      </c>
      <c r="D240" s="3" t="n">
        <f aca="false">Model_Data!G239</f>
        <v>0.119</v>
      </c>
      <c r="E240" s="3" t="n">
        <f aca="false">Model_Data!M239</f>
        <v>0</v>
      </c>
      <c r="F240" s="3" t="n">
        <f aca="false">Model_Data!N239</f>
        <v>0</v>
      </c>
      <c r="G240" s="3" t="n">
        <f aca="false">Model_Data!O239</f>
        <v>1</v>
      </c>
      <c r="H240" s="3" t="n">
        <f aca="false">Model_Data!S239</f>
        <v>670629.48</v>
      </c>
    </row>
    <row r="241" customFormat="false" ht="15" hidden="false" customHeight="true" outlineLevel="0" collapsed="false">
      <c r="A241" s="3" t="n">
        <f aca="false">Model_Data!F240</f>
        <v>9908</v>
      </c>
      <c r="B241" s="3" t="n">
        <f aca="false">Model_Data!E240</f>
        <v>46495.4</v>
      </c>
      <c r="C241" s="3" t="n">
        <f aca="false">Model_Data!I240</f>
        <v>89.4</v>
      </c>
      <c r="D241" s="3" t="n">
        <f aca="false">Model_Data!G240</f>
        <v>0.121</v>
      </c>
      <c r="E241" s="3" t="n">
        <f aca="false">Model_Data!M240</f>
        <v>0</v>
      </c>
      <c r="F241" s="3" t="n">
        <f aca="false">Model_Data!N240</f>
        <v>1</v>
      </c>
      <c r="G241" s="3" t="n">
        <f aca="false">Model_Data!O240</f>
        <v>0</v>
      </c>
      <c r="H241" s="3" t="n">
        <f aca="false">Model_Data!S240</f>
        <v>721079.35</v>
      </c>
    </row>
    <row r="242" customFormat="false" ht="15" hidden="false" customHeight="true" outlineLevel="0" collapsed="false">
      <c r="A242" s="3" t="n">
        <f aca="false">Model_Data!F241</f>
        <v>9996</v>
      </c>
      <c r="B242" s="3" t="n">
        <f aca="false">Model_Data!E241</f>
        <v>72961.95</v>
      </c>
      <c r="C242" s="3" t="n">
        <f aca="false">Model_Data!I241</f>
        <v>89.1</v>
      </c>
      <c r="D242" s="3" t="n">
        <f aca="false">Model_Data!G241</f>
        <v>0.106</v>
      </c>
      <c r="E242" s="3" t="n">
        <f aca="false">Model_Data!M241</f>
        <v>0</v>
      </c>
      <c r="F242" s="3" t="n">
        <f aca="false">Model_Data!N241</f>
        <v>1</v>
      </c>
      <c r="G242" s="3" t="n">
        <f aca="false">Model_Data!O241</f>
        <v>0</v>
      </c>
      <c r="H242" s="3" t="n">
        <f aca="false">Model_Data!S241</f>
        <v>810355.02</v>
      </c>
    </row>
    <row r="243" customFormat="false" ht="15" hidden="false" customHeight="true" outlineLevel="0" collapsed="false">
      <c r="A243" s="3" t="n">
        <f aca="false">Model_Data!F242</f>
        <v>9702</v>
      </c>
      <c r="B243" s="3" t="n">
        <f aca="false">Model_Data!E242</f>
        <v>59060.05</v>
      </c>
      <c r="C243" s="3" t="n">
        <f aca="false">Model_Data!I242</f>
        <v>80.9</v>
      </c>
      <c r="D243" s="3" t="n">
        <f aca="false">Model_Data!G242</f>
        <v>0.201</v>
      </c>
      <c r="E243" s="3" t="n">
        <f aca="false">Model_Data!M242</f>
        <v>0</v>
      </c>
      <c r="F243" s="3" t="n">
        <f aca="false">Model_Data!N242</f>
        <v>1</v>
      </c>
      <c r="G243" s="3" t="n">
        <f aca="false">Model_Data!O242</f>
        <v>0</v>
      </c>
      <c r="H243" s="3" t="n">
        <f aca="false">Model_Data!S242</f>
        <v>761919.25</v>
      </c>
    </row>
    <row r="244" customFormat="false" ht="15" hidden="false" customHeight="true" outlineLevel="0" collapsed="false">
      <c r="A244" s="3" t="n">
        <f aca="false">Model_Data!F243</f>
        <v>9314</v>
      </c>
      <c r="B244" s="3" t="n">
        <f aca="false">Model_Data!E243</f>
        <v>26248.1</v>
      </c>
      <c r="C244" s="3" t="n">
        <f aca="false">Model_Data!I243</f>
        <v>83.7</v>
      </c>
      <c r="D244" s="3" t="n">
        <f aca="false">Model_Data!G243</f>
        <v>0.186</v>
      </c>
      <c r="E244" s="3" t="n">
        <f aca="false">Model_Data!M243</f>
        <v>0</v>
      </c>
      <c r="F244" s="3" t="n">
        <f aca="false">Model_Data!N243</f>
        <v>1</v>
      </c>
      <c r="G244" s="3" t="n">
        <f aca="false">Model_Data!O243</f>
        <v>0</v>
      </c>
      <c r="H244" s="3" t="n">
        <f aca="false">Model_Data!S243</f>
        <v>737070.18</v>
      </c>
    </row>
    <row r="245" customFormat="false" ht="15" hidden="false" customHeight="true" outlineLevel="0" collapsed="false">
      <c r="A245" s="3" t="n">
        <f aca="false">Model_Data!F244</f>
        <v>8055</v>
      </c>
      <c r="B245" s="3" t="n">
        <f aca="false">Model_Data!E244</f>
        <v>69900.12</v>
      </c>
      <c r="C245" s="3" t="n">
        <f aca="false">Model_Data!I244</f>
        <v>85.6</v>
      </c>
      <c r="D245" s="3" t="n">
        <f aca="false">Model_Data!G244</f>
        <v>0.281</v>
      </c>
      <c r="E245" s="3" t="n">
        <f aca="false">Model_Data!M244</f>
        <v>1</v>
      </c>
      <c r="F245" s="3" t="n">
        <f aca="false">Model_Data!N244</f>
        <v>0</v>
      </c>
      <c r="G245" s="3" t="n">
        <f aca="false">Model_Data!O244</f>
        <v>0</v>
      </c>
      <c r="H245" s="3" t="n">
        <f aca="false">Model_Data!S244</f>
        <v>776992.93</v>
      </c>
    </row>
    <row r="246" customFormat="false" ht="15" hidden="false" customHeight="true" outlineLevel="0" collapsed="false">
      <c r="A246" s="3" t="n">
        <f aca="false">Model_Data!F245</f>
        <v>5648</v>
      </c>
      <c r="B246" s="3" t="n">
        <f aca="false">Model_Data!E245</f>
        <v>51781.6</v>
      </c>
      <c r="C246" s="3" t="n">
        <f aca="false">Model_Data!I245</f>
        <v>85.5</v>
      </c>
      <c r="D246" s="3" t="n">
        <f aca="false">Model_Data!G245</f>
        <v>0.059</v>
      </c>
      <c r="E246" s="3" t="n">
        <f aca="false">Model_Data!M245</f>
        <v>1</v>
      </c>
      <c r="F246" s="3" t="n">
        <f aca="false">Model_Data!N245</f>
        <v>0</v>
      </c>
      <c r="G246" s="3" t="n">
        <f aca="false">Model_Data!O245</f>
        <v>0</v>
      </c>
      <c r="H246" s="3" t="n">
        <f aca="false">Model_Data!S245</f>
        <v>676337.41</v>
      </c>
    </row>
    <row r="247" customFormat="false" ht="15" hidden="false" customHeight="true" outlineLevel="0" collapsed="false">
      <c r="A247" s="3" t="n">
        <f aca="false">Model_Data!F246</f>
        <v>10076</v>
      </c>
      <c r="B247" s="3" t="n">
        <f aca="false">Model_Data!E246</f>
        <v>70799.64</v>
      </c>
      <c r="C247" s="3" t="n">
        <f aca="false">Model_Data!I246</f>
        <v>84.8</v>
      </c>
      <c r="D247" s="3" t="n">
        <f aca="false">Model_Data!G246</f>
        <v>0.152</v>
      </c>
      <c r="E247" s="3" t="n">
        <f aca="false">Model_Data!M246</f>
        <v>1</v>
      </c>
      <c r="F247" s="3" t="n">
        <f aca="false">Model_Data!N246</f>
        <v>0</v>
      </c>
      <c r="G247" s="3" t="n">
        <f aca="false">Model_Data!O246</f>
        <v>0</v>
      </c>
      <c r="H247" s="3" t="n">
        <f aca="false">Model_Data!S246</f>
        <v>828219.67</v>
      </c>
    </row>
    <row r="248" customFormat="false" ht="15" hidden="false" customHeight="true" outlineLevel="0" collapsed="false">
      <c r="A248" s="3" t="n">
        <f aca="false">Model_Data!F247</f>
        <v>8004</v>
      </c>
      <c r="B248" s="3" t="n">
        <f aca="false">Model_Data!E247</f>
        <v>53546.34</v>
      </c>
      <c r="C248" s="3" t="n">
        <f aca="false">Model_Data!I247</f>
        <v>95.2</v>
      </c>
      <c r="D248" s="3" t="n">
        <f aca="false">Model_Data!G247</f>
        <v>0</v>
      </c>
      <c r="E248" s="3" t="n">
        <f aca="false">Model_Data!M247</f>
        <v>1</v>
      </c>
      <c r="F248" s="3" t="n">
        <f aca="false">Model_Data!N247</f>
        <v>0</v>
      </c>
      <c r="G248" s="3" t="n">
        <f aca="false">Model_Data!O247</f>
        <v>0</v>
      </c>
      <c r="H248" s="3" t="n">
        <f aca="false">Model_Data!S247</f>
        <v>763159.92</v>
      </c>
    </row>
    <row r="249" customFormat="false" ht="15" hidden="false" customHeight="true" outlineLevel="0" collapsed="false">
      <c r="A249" s="3" t="n">
        <f aca="false">Model_Data!F248</f>
        <v>8934</v>
      </c>
      <c r="B249" s="3" t="n">
        <f aca="false">Model_Data!E248</f>
        <v>76942.2</v>
      </c>
      <c r="C249" s="3" t="n">
        <f aca="false">Model_Data!I248</f>
        <v>91</v>
      </c>
      <c r="D249" s="3" t="n">
        <f aca="false">Model_Data!G248</f>
        <v>0.084</v>
      </c>
      <c r="E249" s="3" t="n">
        <f aca="false">Model_Data!M248</f>
        <v>0</v>
      </c>
      <c r="F249" s="3" t="n">
        <f aca="false">Model_Data!N248</f>
        <v>0</v>
      </c>
      <c r="G249" s="3" t="n">
        <f aca="false">Model_Data!O248</f>
        <v>0</v>
      </c>
      <c r="H249" s="3" t="n">
        <f aca="false">Model_Data!S248</f>
        <v>802001.68</v>
      </c>
    </row>
    <row r="250" customFormat="false" ht="15" hidden="false" customHeight="true" outlineLevel="0" collapsed="false">
      <c r="A250" s="3" t="n">
        <f aca="false">Model_Data!F249</f>
        <v>8733</v>
      </c>
      <c r="B250" s="3" t="n">
        <f aca="false">Model_Data!E249</f>
        <v>48060.78</v>
      </c>
      <c r="C250" s="3" t="n">
        <f aca="false">Model_Data!I249</f>
        <v>89.9</v>
      </c>
      <c r="D250" s="3" t="n">
        <f aca="false">Model_Data!G249</f>
        <v>0</v>
      </c>
      <c r="E250" s="3" t="n">
        <f aca="false">Model_Data!M249</f>
        <v>0</v>
      </c>
      <c r="F250" s="3" t="n">
        <f aca="false">Model_Data!N249</f>
        <v>0</v>
      </c>
      <c r="G250" s="3" t="n">
        <f aca="false">Model_Data!O249</f>
        <v>0</v>
      </c>
      <c r="H250" s="3" t="n">
        <f aca="false">Model_Data!S249</f>
        <v>750471.34</v>
      </c>
    </row>
    <row r="251" customFormat="false" ht="15" hidden="false" customHeight="true" outlineLevel="0" collapsed="false">
      <c r="A251" s="3" t="n">
        <f aca="false">Model_Data!F250</f>
        <v>7374</v>
      </c>
      <c r="B251" s="3" t="n">
        <f aca="false">Model_Data!E250</f>
        <v>57390.04</v>
      </c>
      <c r="C251" s="3" t="n">
        <f aca="false">Model_Data!I250</f>
        <v>91.8</v>
      </c>
      <c r="D251" s="3" t="n">
        <f aca="false">Model_Data!G250</f>
        <v>0.21</v>
      </c>
      <c r="E251" s="3" t="n">
        <f aca="false">Model_Data!M250</f>
        <v>0</v>
      </c>
      <c r="F251" s="3" t="n">
        <f aca="false">Model_Data!N250</f>
        <v>0</v>
      </c>
      <c r="G251" s="3" t="n">
        <f aca="false">Model_Data!O250</f>
        <v>0</v>
      </c>
      <c r="H251" s="3" t="n">
        <f aca="false">Model_Data!S250</f>
        <v>679230.86</v>
      </c>
    </row>
    <row r="252" customFormat="false" ht="15" hidden="false" customHeight="true" outlineLevel="0" collapsed="false">
      <c r="A252" s="3" t="n">
        <f aca="false">Model_Data!F251</f>
        <v>8119</v>
      </c>
      <c r="B252" s="3" t="n">
        <f aca="false">Model_Data!E251</f>
        <v>21536.18</v>
      </c>
      <c r="C252" s="3" t="n">
        <f aca="false">Model_Data!I251</f>
        <v>90.4</v>
      </c>
      <c r="D252" s="3" t="n">
        <f aca="false">Model_Data!G251</f>
        <v>0.227</v>
      </c>
      <c r="E252" s="3" t="n">
        <f aca="false">Model_Data!M251</f>
        <v>0</v>
      </c>
      <c r="F252" s="3" t="n">
        <f aca="false">Model_Data!N251</f>
        <v>0</v>
      </c>
      <c r="G252" s="3" t="n">
        <f aca="false">Model_Data!O251</f>
        <v>0</v>
      </c>
      <c r="H252" s="3" t="n">
        <f aca="false">Model_Data!S251</f>
        <v>679888.74</v>
      </c>
    </row>
    <row r="253" customFormat="false" ht="15" hidden="false" customHeight="true" outlineLevel="0" collapsed="false">
      <c r="A253" s="3" t="n">
        <f aca="false">Model_Data!F252</f>
        <v>3875</v>
      </c>
      <c r="B253" s="3" t="n">
        <f aca="false">Model_Data!E252</f>
        <v>40923.67</v>
      </c>
      <c r="C253" s="3" t="n">
        <f aca="false">Model_Data!I252</f>
        <v>96.1</v>
      </c>
      <c r="D253" s="3" t="n">
        <f aca="false">Model_Data!G252</f>
        <v>0.15</v>
      </c>
      <c r="E253" s="3" t="n">
        <f aca="false">Model_Data!M252</f>
        <v>0</v>
      </c>
      <c r="F253" s="3" t="n">
        <f aca="false">Model_Data!N252</f>
        <v>0</v>
      </c>
      <c r="G253" s="3" t="n">
        <f aca="false">Model_Data!O252</f>
        <v>0</v>
      </c>
      <c r="H253" s="3" t="n">
        <f aca="false">Model_Data!S252</f>
        <v>606783.67</v>
      </c>
    </row>
    <row r="254" customFormat="false" ht="15" hidden="false" customHeight="true" outlineLevel="0" collapsed="false">
      <c r="A254" s="3" t="n">
        <f aca="false">Model_Data!F253</f>
        <v>5765</v>
      </c>
      <c r="B254" s="3" t="n">
        <f aca="false">Model_Data!E253</f>
        <v>72932.55</v>
      </c>
      <c r="C254" s="3" t="n">
        <f aca="false">Model_Data!I253</f>
        <v>81.8</v>
      </c>
      <c r="D254" s="3" t="n">
        <f aca="false">Model_Data!G253</f>
        <v>0.026</v>
      </c>
      <c r="E254" s="3" t="n">
        <f aca="false">Model_Data!M253</f>
        <v>0</v>
      </c>
      <c r="F254" s="3" t="n">
        <f aca="false">Model_Data!N253</f>
        <v>0</v>
      </c>
      <c r="G254" s="3" t="n">
        <f aca="false">Model_Data!O253</f>
        <v>0</v>
      </c>
      <c r="H254" s="3" t="n">
        <f aca="false">Model_Data!S253</f>
        <v>642751.42</v>
      </c>
    </row>
    <row r="255" customFormat="false" ht="15" hidden="false" customHeight="true" outlineLevel="0" collapsed="false">
      <c r="A255" s="3" t="n">
        <f aca="false">Model_Data!F254</f>
        <v>6322</v>
      </c>
      <c r="B255" s="3" t="n">
        <f aca="false">Model_Data!E254</f>
        <v>38361.93</v>
      </c>
      <c r="C255" s="3" t="n">
        <f aca="false">Model_Data!I254</f>
        <v>88.4</v>
      </c>
      <c r="D255" s="3" t="n">
        <f aca="false">Model_Data!G254</f>
        <v>0.273</v>
      </c>
      <c r="E255" s="3" t="n">
        <f aca="false">Model_Data!M254</f>
        <v>0</v>
      </c>
      <c r="F255" s="3" t="n">
        <f aca="false">Model_Data!N254</f>
        <v>0</v>
      </c>
      <c r="G255" s="3" t="n">
        <f aca="false">Model_Data!O254</f>
        <v>0</v>
      </c>
      <c r="H255" s="3" t="n">
        <f aca="false">Model_Data!S254</f>
        <v>647953.78</v>
      </c>
    </row>
    <row r="256" customFormat="false" ht="15" hidden="false" customHeight="true" outlineLevel="0" collapsed="false">
      <c r="A256" s="3" t="n">
        <f aca="false">Model_Data!F255</f>
        <v>6840</v>
      </c>
      <c r="B256" s="3" t="n">
        <f aca="false">Model_Data!E255</f>
        <v>97480.94</v>
      </c>
      <c r="C256" s="3" t="n">
        <f aca="false">Model_Data!I255</f>
        <v>79.2</v>
      </c>
      <c r="D256" s="3" t="n">
        <f aca="false">Model_Data!G255</f>
        <v>0.087</v>
      </c>
      <c r="E256" s="3" t="n">
        <f aca="false">Model_Data!M255</f>
        <v>0</v>
      </c>
      <c r="F256" s="3" t="n">
        <f aca="false">Model_Data!N255</f>
        <v>0</v>
      </c>
      <c r="G256" s="3" t="n">
        <f aca="false">Model_Data!O255</f>
        <v>0</v>
      </c>
      <c r="H256" s="3" t="n">
        <f aca="false">Model_Data!S255</f>
        <v>729440.45</v>
      </c>
    </row>
    <row r="257" customFormat="false" ht="15" hidden="false" customHeight="true" outlineLevel="0" collapsed="false">
      <c r="A257" s="3" t="n">
        <f aca="false">Model_Data!F256</f>
        <v>6782</v>
      </c>
      <c r="B257" s="3" t="n">
        <f aca="false">Model_Data!E256</f>
        <v>81801.8</v>
      </c>
      <c r="C257" s="3" t="n">
        <f aca="false">Model_Data!I256</f>
        <v>99</v>
      </c>
      <c r="D257" s="3" t="n">
        <f aca="false">Model_Data!G256</f>
        <v>0.05</v>
      </c>
      <c r="E257" s="3" t="n">
        <f aca="false">Model_Data!M256</f>
        <v>1</v>
      </c>
      <c r="F257" s="3" t="n">
        <f aca="false">Model_Data!N256</f>
        <v>0</v>
      </c>
      <c r="G257" s="3" t="n">
        <f aca="false">Model_Data!O256</f>
        <v>0</v>
      </c>
      <c r="H257" s="3" t="n">
        <f aca="false">Model_Data!S256</f>
        <v>764949</v>
      </c>
    </row>
    <row r="258" customFormat="false" ht="15" hidden="false" customHeight="true" outlineLevel="0" collapsed="false">
      <c r="A258" s="3" t="n">
        <f aca="false">Model_Data!F257</f>
        <v>6856</v>
      </c>
      <c r="B258" s="3" t="n">
        <f aca="false">Model_Data!E257</f>
        <v>63582.11</v>
      </c>
      <c r="C258" s="3" t="n">
        <f aca="false">Model_Data!I257</f>
        <v>89.5</v>
      </c>
      <c r="D258" s="3" t="n">
        <f aca="false">Model_Data!G257</f>
        <v>0.074</v>
      </c>
      <c r="E258" s="3" t="n">
        <f aca="false">Model_Data!M257</f>
        <v>1</v>
      </c>
      <c r="F258" s="3" t="n">
        <f aca="false">Model_Data!N257</f>
        <v>0</v>
      </c>
      <c r="G258" s="3" t="n">
        <f aca="false">Model_Data!O257</f>
        <v>0</v>
      </c>
      <c r="H258" s="3" t="n">
        <f aca="false">Model_Data!S257</f>
        <v>799046.94</v>
      </c>
    </row>
    <row r="259" customFormat="false" ht="15" hidden="false" customHeight="true" outlineLevel="0" collapsed="false">
      <c r="A259" s="3" t="n">
        <f aca="false">Model_Data!F258</f>
        <v>5641</v>
      </c>
      <c r="B259" s="3" t="n">
        <f aca="false">Model_Data!E258</f>
        <v>75412.74</v>
      </c>
      <c r="C259" s="3" t="n">
        <f aca="false">Model_Data!I258</f>
        <v>87.9</v>
      </c>
      <c r="D259" s="3" t="n">
        <f aca="false">Model_Data!G258</f>
        <v>0.059</v>
      </c>
      <c r="E259" s="3" t="n">
        <f aca="false">Model_Data!M258</f>
        <v>1</v>
      </c>
      <c r="F259" s="3" t="n">
        <f aca="false">Model_Data!N258</f>
        <v>0</v>
      </c>
      <c r="G259" s="3" t="n">
        <f aca="false">Model_Data!O258</f>
        <v>0</v>
      </c>
      <c r="H259" s="3" t="n">
        <f aca="false">Model_Data!S258</f>
        <v>720079.54</v>
      </c>
    </row>
    <row r="260" customFormat="false" ht="15" hidden="false" customHeight="true" outlineLevel="0" collapsed="false">
      <c r="A260" s="3" t="n">
        <f aca="false">Model_Data!F259</f>
        <v>5787</v>
      </c>
      <c r="B260" s="3" t="n">
        <f aca="false">Model_Data!E259</f>
        <v>36290.08</v>
      </c>
      <c r="C260" s="3" t="n">
        <f aca="false">Model_Data!I259</f>
        <v>88.3</v>
      </c>
      <c r="D260" s="3" t="n">
        <f aca="false">Model_Data!G259</f>
        <v>0</v>
      </c>
      <c r="E260" s="3" t="n">
        <f aca="false">Model_Data!M259</f>
        <v>1</v>
      </c>
      <c r="F260" s="3" t="n">
        <f aca="false">Model_Data!N259</f>
        <v>0</v>
      </c>
      <c r="G260" s="3" t="n">
        <f aca="false">Model_Data!O259</f>
        <v>0</v>
      </c>
      <c r="H260" s="3" t="n">
        <f aca="false">Model_Data!S259</f>
        <v>612390.14</v>
      </c>
    </row>
    <row r="261" customFormat="false" ht="15" hidden="false" customHeight="true" outlineLevel="0" collapsed="false">
      <c r="A261" s="3" t="n">
        <f aca="false">Model_Data!F260</f>
        <v>8165</v>
      </c>
      <c r="B261" s="3" t="n">
        <f aca="false">Model_Data!E260</f>
        <v>65272.58</v>
      </c>
      <c r="C261" s="3" t="n">
        <f aca="false">Model_Data!I260</f>
        <v>87.8</v>
      </c>
      <c r="D261" s="3" t="n">
        <f aca="false">Model_Data!G260</f>
        <v>0.051</v>
      </c>
      <c r="E261" s="3" t="n">
        <f aca="false">Model_Data!M260</f>
        <v>0</v>
      </c>
      <c r="F261" s="3" t="n">
        <f aca="false">Model_Data!N260</f>
        <v>1</v>
      </c>
      <c r="G261" s="3" t="n">
        <f aca="false">Model_Data!O260</f>
        <v>0</v>
      </c>
      <c r="H261" s="3" t="n">
        <f aca="false">Model_Data!S260</f>
        <v>840108.12</v>
      </c>
    </row>
    <row r="262" customFormat="false" ht="15" hidden="false" customHeight="true" outlineLevel="0" collapsed="false">
      <c r="A262" s="3" t="n">
        <f aca="false">Model_Data!F261</f>
        <v>7574</v>
      </c>
      <c r="B262" s="3" t="n">
        <f aca="false">Model_Data!E261</f>
        <v>28670.43</v>
      </c>
      <c r="C262" s="3" t="n">
        <f aca="false">Model_Data!I261</f>
        <v>82.7</v>
      </c>
      <c r="D262" s="3" t="n">
        <f aca="false">Model_Data!G261</f>
        <v>0.114</v>
      </c>
      <c r="E262" s="3" t="n">
        <f aca="false">Model_Data!M261</f>
        <v>0</v>
      </c>
      <c r="F262" s="3" t="n">
        <f aca="false">Model_Data!N261</f>
        <v>1</v>
      </c>
      <c r="G262" s="3" t="n">
        <f aca="false">Model_Data!O261</f>
        <v>0</v>
      </c>
      <c r="H262" s="3" t="n">
        <f aca="false">Model_Data!S261</f>
        <v>697888.09</v>
      </c>
    </row>
    <row r="263" customFormat="false" ht="15" hidden="false" customHeight="true" outlineLevel="0" collapsed="false">
      <c r="A263" s="3" t="n">
        <f aca="false">Model_Data!F262</f>
        <v>8634</v>
      </c>
      <c r="B263" s="3" t="n">
        <f aca="false">Model_Data!E262</f>
        <v>44189.34</v>
      </c>
      <c r="C263" s="3" t="n">
        <f aca="false">Model_Data!I262</f>
        <v>87.5</v>
      </c>
      <c r="D263" s="3" t="n">
        <f aca="false">Model_Data!G262</f>
        <v>0.143</v>
      </c>
      <c r="E263" s="3" t="n">
        <f aca="false">Model_Data!M262</f>
        <v>0</v>
      </c>
      <c r="F263" s="3" t="n">
        <f aca="false">Model_Data!N262</f>
        <v>1</v>
      </c>
      <c r="G263" s="3" t="n">
        <f aca="false">Model_Data!O262</f>
        <v>0</v>
      </c>
      <c r="H263" s="3" t="n">
        <f aca="false">Model_Data!S262</f>
        <v>746115.59</v>
      </c>
    </row>
    <row r="264" customFormat="false" ht="15" hidden="false" customHeight="true" outlineLevel="0" collapsed="false">
      <c r="A264" s="3" t="n">
        <f aca="false">Model_Data!F263</f>
        <v>7836</v>
      </c>
      <c r="B264" s="3" t="n">
        <f aca="false">Model_Data!E263</f>
        <v>38397.82</v>
      </c>
      <c r="C264" s="3" t="n">
        <f aca="false">Model_Data!I263</f>
        <v>92.2</v>
      </c>
      <c r="D264" s="3" t="n">
        <f aca="false">Model_Data!G263</f>
        <v>0.007</v>
      </c>
      <c r="E264" s="3" t="n">
        <f aca="false">Model_Data!M263</f>
        <v>0</v>
      </c>
      <c r="F264" s="3" t="n">
        <f aca="false">Model_Data!N263</f>
        <v>1</v>
      </c>
      <c r="G264" s="3" t="n">
        <f aca="false">Model_Data!O263</f>
        <v>0</v>
      </c>
      <c r="H264" s="3" t="n">
        <f aca="false">Model_Data!S263</f>
        <v>776110.32</v>
      </c>
    </row>
    <row r="265" customFormat="false" ht="15" hidden="false" customHeight="true" outlineLevel="0" collapsed="false">
      <c r="A265" s="3" t="n">
        <f aca="false">Model_Data!F264</f>
        <v>3047</v>
      </c>
      <c r="B265" s="3" t="n">
        <f aca="false">Model_Data!E264</f>
        <v>14519.37</v>
      </c>
      <c r="C265" s="3" t="n">
        <f aca="false">Model_Data!I264</f>
        <v>90.3</v>
      </c>
      <c r="D265" s="3" t="n">
        <f aca="false">Model_Data!G264</f>
        <v>0.135</v>
      </c>
      <c r="E265" s="3" t="n">
        <f aca="false">Model_Data!M264</f>
        <v>0</v>
      </c>
      <c r="F265" s="3" t="n">
        <f aca="false">Model_Data!N264</f>
        <v>0</v>
      </c>
      <c r="G265" s="3" t="n">
        <f aca="false">Model_Data!O264</f>
        <v>0</v>
      </c>
      <c r="H265" s="3" t="n">
        <f aca="false">Model_Data!S264</f>
        <v>528852.62</v>
      </c>
    </row>
    <row r="266" customFormat="false" ht="15" hidden="false" customHeight="true" outlineLevel="0" collapsed="false">
      <c r="A266" s="3" t="n">
        <f aca="false">Model_Data!F265</f>
        <v>4783</v>
      </c>
      <c r="B266" s="3" t="n">
        <f aca="false">Model_Data!E265</f>
        <v>43288.2</v>
      </c>
      <c r="C266" s="3" t="n">
        <f aca="false">Model_Data!I265</f>
        <v>87.3</v>
      </c>
      <c r="D266" s="3" t="n">
        <f aca="false">Model_Data!G265</f>
        <v>0.169</v>
      </c>
      <c r="E266" s="3" t="n">
        <f aca="false">Model_Data!M265</f>
        <v>0</v>
      </c>
      <c r="F266" s="3" t="n">
        <f aca="false">Model_Data!N265</f>
        <v>0</v>
      </c>
      <c r="G266" s="3" t="n">
        <f aca="false">Model_Data!O265</f>
        <v>0</v>
      </c>
      <c r="H266" s="3" t="n">
        <f aca="false">Model_Data!S265</f>
        <v>605751.33</v>
      </c>
    </row>
    <row r="267" customFormat="false" ht="15" hidden="false" customHeight="true" outlineLevel="0" collapsed="false">
      <c r="A267" s="3" t="n">
        <f aca="false">Model_Data!F266</f>
        <v>4902</v>
      </c>
      <c r="B267" s="3" t="n">
        <f aca="false">Model_Data!E266</f>
        <v>51450.55</v>
      </c>
      <c r="C267" s="3" t="n">
        <f aca="false">Model_Data!I266</f>
        <v>83.7</v>
      </c>
      <c r="D267" s="3" t="n">
        <f aca="false">Model_Data!G266</f>
        <v>0.086</v>
      </c>
      <c r="E267" s="3" t="n">
        <f aca="false">Model_Data!M266</f>
        <v>0</v>
      </c>
      <c r="F267" s="3" t="n">
        <f aca="false">Model_Data!N266</f>
        <v>0</v>
      </c>
      <c r="G267" s="3" t="n">
        <f aca="false">Model_Data!O266</f>
        <v>0</v>
      </c>
      <c r="H267" s="3" t="n">
        <f aca="false">Model_Data!S266</f>
        <v>677640.65</v>
      </c>
    </row>
    <row r="268" customFormat="false" ht="15" hidden="false" customHeight="true" outlineLevel="0" collapsed="false">
      <c r="A268" s="3" t="n">
        <f aca="false">Model_Data!F267</f>
        <v>4022</v>
      </c>
      <c r="B268" s="3" t="n">
        <f aca="false">Model_Data!E267</f>
        <v>58688.26</v>
      </c>
      <c r="C268" s="3" t="n">
        <f aca="false">Model_Data!I267</f>
        <v>93.8</v>
      </c>
      <c r="D268" s="3" t="n">
        <f aca="false">Model_Data!G267</f>
        <v>0.217</v>
      </c>
      <c r="E268" s="3" t="n">
        <f aca="false">Model_Data!M267</f>
        <v>0</v>
      </c>
      <c r="F268" s="3" t="n">
        <f aca="false">Model_Data!N267</f>
        <v>0</v>
      </c>
      <c r="G268" s="3" t="n">
        <f aca="false">Model_Data!O267</f>
        <v>0</v>
      </c>
      <c r="H268" s="3" t="n">
        <f aca="false">Model_Data!S267</f>
        <v>636613.23</v>
      </c>
    </row>
    <row r="269" customFormat="false" ht="15" hidden="false" customHeight="true" outlineLevel="0" collapsed="false">
      <c r="A269" s="3" t="n">
        <f aca="false">Model_Data!F268</f>
        <v>7324</v>
      </c>
      <c r="B269" s="3" t="n">
        <f aca="false">Model_Data!E268</f>
        <v>58981.91</v>
      </c>
      <c r="C269" s="3" t="n">
        <f aca="false">Model_Data!I268</f>
        <v>95.8</v>
      </c>
      <c r="D269" s="3" t="n">
        <f aca="false">Model_Data!G268</f>
        <v>0.094</v>
      </c>
      <c r="E269" s="3" t="n">
        <f aca="false">Model_Data!M268</f>
        <v>0</v>
      </c>
      <c r="F269" s="3" t="n">
        <f aca="false">Model_Data!N268</f>
        <v>0</v>
      </c>
      <c r="G269" s="3" t="n">
        <f aca="false">Model_Data!O268</f>
        <v>0</v>
      </c>
      <c r="H269" s="3" t="n">
        <f aca="false">Model_Data!S268</f>
        <v>708985.19</v>
      </c>
    </row>
    <row r="270" customFormat="false" ht="15" hidden="false" customHeight="true" outlineLevel="0" collapsed="false">
      <c r="A270" s="3" t="n">
        <f aca="false">Model_Data!F269</f>
        <v>8129</v>
      </c>
      <c r="B270" s="3" t="n">
        <f aca="false">Model_Data!E269</f>
        <v>73454.54</v>
      </c>
      <c r="C270" s="3" t="n">
        <f aca="false">Model_Data!I269</f>
        <v>85.2</v>
      </c>
      <c r="D270" s="3" t="n">
        <f aca="false">Model_Data!G269</f>
        <v>0.211</v>
      </c>
      <c r="E270" s="3" t="n">
        <f aca="false">Model_Data!M269</f>
        <v>0</v>
      </c>
      <c r="F270" s="3" t="n">
        <f aca="false">Model_Data!N269</f>
        <v>0</v>
      </c>
      <c r="G270" s="3" t="n">
        <f aca="false">Model_Data!O269</f>
        <v>0</v>
      </c>
      <c r="H270" s="3" t="n">
        <f aca="false">Model_Data!S269</f>
        <v>767792.94</v>
      </c>
    </row>
    <row r="271" customFormat="false" ht="15" hidden="false" customHeight="true" outlineLevel="0" collapsed="false">
      <c r="A271" s="3" t="n">
        <f aca="false">Model_Data!F270</f>
        <v>7969</v>
      </c>
      <c r="B271" s="3" t="n">
        <f aca="false">Model_Data!E270</f>
        <v>56602.39</v>
      </c>
      <c r="C271" s="3" t="n">
        <f aca="false">Model_Data!I270</f>
        <v>88.3</v>
      </c>
      <c r="D271" s="3" t="n">
        <f aca="false">Model_Data!G270</f>
        <v>0.17</v>
      </c>
      <c r="E271" s="3" t="n">
        <f aca="false">Model_Data!M270</f>
        <v>0</v>
      </c>
      <c r="F271" s="3" t="n">
        <f aca="false">Model_Data!N270</f>
        <v>0</v>
      </c>
      <c r="G271" s="3" t="n">
        <f aca="false">Model_Data!O270</f>
        <v>0</v>
      </c>
      <c r="H271" s="3" t="n">
        <f aca="false">Model_Data!S270</f>
        <v>745580.51</v>
      </c>
    </row>
    <row r="272" customFormat="false" ht="15" hidden="false" customHeight="true" outlineLevel="0" collapsed="false">
      <c r="A272" s="3" t="n">
        <f aca="false">Model_Data!F271</f>
        <v>7240</v>
      </c>
      <c r="B272" s="3" t="n">
        <f aca="false">Model_Data!E271</f>
        <v>67722.29</v>
      </c>
      <c r="C272" s="3" t="n">
        <f aca="false">Model_Data!I271</f>
        <v>92.9</v>
      </c>
      <c r="D272" s="3" t="n">
        <f aca="false">Model_Data!G271</f>
        <v>0.026</v>
      </c>
      <c r="E272" s="3" t="n">
        <f aca="false">Model_Data!M271</f>
        <v>0</v>
      </c>
      <c r="F272" s="3" t="n">
        <f aca="false">Model_Data!N271</f>
        <v>0</v>
      </c>
      <c r="G272" s="3" t="n">
        <f aca="false">Model_Data!O271</f>
        <v>0</v>
      </c>
      <c r="H272" s="3" t="n">
        <f aca="false">Model_Data!S271</f>
        <v>762328.31</v>
      </c>
    </row>
    <row r="273" customFormat="false" ht="15" hidden="false" customHeight="true" outlineLevel="0" collapsed="false">
      <c r="A273" s="3" t="n">
        <f aca="false">Model_Data!F272</f>
        <v>8052</v>
      </c>
      <c r="B273" s="3" t="n">
        <f aca="false">Model_Data!E272</f>
        <v>48752.92</v>
      </c>
      <c r="C273" s="3" t="n">
        <f aca="false">Model_Data!I272</f>
        <v>94.9</v>
      </c>
      <c r="D273" s="3" t="n">
        <f aca="false">Model_Data!G272</f>
        <v>0.106</v>
      </c>
      <c r="E273" s="3" t="n">
        <f aca="false">Model_Data!M272</f>
        <v>0</v>
      </c>
      <c r="F273" s="3" t="n">
        <f aca="false">Model_Data!N272</f>
        <v>1</v>
      </c>
      <c r="G273" s="3" t="n">
        <f aca="false">Model_Data!O272</f>
        <v>0</v>
      </c>
      <c r="H273" s="3" t="n">
        <f aca="false">Model_Data!S272</f>
        <v>660633.99</v>
      </c>
    </row>
    <row r="274" customFormat="false" ht="15" hidden="false" customHeight="true" outlineLevel="0" collapsed="false">
      <c r="A274" s="3" t="n">
        <f aca="false">Model_Data!F273</f>
        <v>8018</v>
      </c>
      <c r="B274" s="3" t="n">
        <f aca="false">Model_Data!E273</f>
        <v>23914.97</v>
      </c>
      <c r="C274" s="3" t="n">
        <f aca="false">Model_Data!I273</f>
        <v>89</v>
      </c>
      <c r="D274" s="3" t="n">
        <f aca="false">Model_Data!G273</f>
        <v>0.139</v>
      </c>
      <c r="E274" s="3" t="n">
        <f aca="false">Model_Data!M273</f>
        <v>0</v>
      </c>
      <c r="F274" s="3" t="n">
        <f aca="false">Model_Data!N273</f>
        <v>1</v>
      </c>
      <c r="G274" s="3" t="n">
        <f aca="false">Model_Data!O273</f>
        <v>0</v>
      </c>
      <c r="H274" s="3" t="n">
        <f aca="false">Model_Data!S273</f>
        <v>739374.56</v>
      </c>
    </row>
    <row r="275" customFormat="false" ht="15" hidden="false" customHeight="true" outlineLevel="0" collapsed="false">
      <c r="A275" s="3" t="n">
        <f aca="false">Model_Data!F274</f>
        <v>10192</v>
      </c>
      <c r="B275" s="3" t="n">
        <f aca="false">Model_Data!E274</f>
        <v>61995.3</v>
      </c>
      <c r="C275" s="3" t="n">
        <f aca="false">Model_Data!I274</f>
        <v>87.6</v>
      </c>
      <c r="D275" s="3" t="n">
        <f aca="false">Model_Data!G274</f>
        <v>0.198</v>
      </c>
      <c r="E275" s="3" t="n">
        <f aca="false">Model_Data!M274</f>
        <v>0</v>
      </c>
      <c r="F275" s="3" t="n">
        <f aca="false">Model_Data!N274</f>
        <v>1</v>
      </c>
      <c r="G275" s="3" t="n">
        <f aca="false">Model_Data!O274</f>
        <v>0</v>
      </c>
      <c r="H275" s="3" t="n">
        <f aca="false">Model_Data!S274</f>
        <v>799756.46</v>
      </c>
    </row>
    <row r="276" customFormat="false" ht="15" hidden="false" customHeight="true" outlineLevel="0" collapsed="false">
      <c r="A276" s="3" t="n">
        <f aca="false">Model_Data!F275</f>
        <v>7446</v>
      </c>
      <c r="B276" s="3" t="n">
        <f aca="false">Model_Data!E275</f>
        <v>29344.93</v>
      </c>
      <c r="C276" s="3" t="n">
        <f aca="false">Model_Data!I275</f>
        <v>86.2</v>
      </c>
      <c r="D276" s="3" t="n">
        <f aca="false">Model_Data!G275</f>
        <v>0.111</v>
      </c>
      <c r="E276" s="3" t="n">
        <f aca="false">Model_Data!M275</f>
        <v>0</v>
      </c>
      <c r="F276" s="3" t="n">
        <f aca="false">Model_Data!N275</f>
        <v>1</v>
      </c>
      <c r="G276" s="3" t="n">
        <f aca="false">Model_Data!O275</f>
        <v>0</v>
      </c>
      <c r="H276" s="3" t="n">
        <f aca="false">Model_Data!S275</f>
        <v>593343</v>
      </c>
    </row>
    <row r="277" customFormat="false" ht="15" hidden="false" customHeight="true" outlineLevel="0" collapsed="false">
      <c r="A277" s="3" t="n">
        <f aca="false">Model_Data!F276</f>
        <v>5689</v>
      </c>
      <c r="B277" s="3" t="n">
        <f aca="false">Model_Data!E276</f>
        <v>50532.17</v>
      </c>
      <c r="C277" s="3" t="n">
        <f aca="false">Model_Data!I276</f>
        <v>85.6</v>
      </c>
      <c r="D277" s="3" t="n">
        <f aca="false">Model_Data!G276</f>
        <v>0.052</v>
      </c>
      <c r="E277" s="3" t="n">
        <f aca="false">Model_Data!M276</f>
        <v>0</v>
      </c>
      <c r="F277" s="3" t="n">
        <f aca="false">Model_Data!N276</f>
        <v>0</v>
      </c>
      <c r="G277" s="3" t="n">
        <f aca="false">Model_Data!O276</f>
        <v>0</v>
      </c>
      <c r="H277" s="3" t="n">
        <f aca="false">Model_Data!S276</f>
        <v>645039.97</v>
      </c>
    </row>
    <row r="278" customFormat="false" ht="15" hidden="false" customHeight="true" outlineLevel="0" collapsed="false">
      <c r="A278" s="3" t="n">
        <f aca="false">Model_Data!F277</f>
        <v>3326</v>
      </c>
      <c r="B278" s="3" t="n">
        <f aca="false">Model_Data!E277</f>
        <v>17562.57</v>
      </c>
      <c r="C278" s="3" t="n">
        <f aca="false">Model_Data!I277</f>
        <v>88.1</v>
      </c>
      <c r="D278" s="3" t="n">
        <f aca="false">Model_Data!G277</f>
        <v>0.153</v>
      </c>
      <c r="E278" s="3" t="n">
        <f aca="false">Model_Data!M277</f>
        <v>0</v>
      </c>
      <c r="F278" s="3" t="n">
        <f aca="false">Model_Data!N277</f>
        <v>0</v>
      </c>
      <c r="G278" s="3" t="n">
        <f aca="false">Model_Data!O277</f>
        <v>0</v>
      </c>
      <c r="H278" s="3" t="n">
        <f aca="false">Model_Data!S277</f>
        <v>561597.33</v>
      </c>
    </row>
    <row r="279" customFormat="false" ht="15" hidden="false" customHeight="true" outlineLevel="0" collapsed="false">
      <c r="A279" s="3" t="n">
        <f aca="false">Model_Data!F278</f>
        <v>5767</v>
      </c>
      <c r="B279" s="3" t="n">
        <f aca="false">Model_Data!E278</f>
        <v>47648.71</v>
      </c>
      <c r="C279" s="3" t="n">
        <f aca="false">Model_Data!I278</f>
        <v>89.8</v>
      </c>
      <c r="D279" s="3" t="n">
        <f aca="false">Model_Data!G278</f>
        <v>0.141</v>
      </c>
      <c r="E279" s="3" t="n">
        <f aca="false">Model_Data!M278</f>
        <v>0</v>
      </c>
      <c r="F279" s="3" t="n">
        <f aca="false">Model_Data!N278</f>
        <v>0</v>
      </c>
      <c r="G279" s="3" t="n">
        <f aca="false">Model_Data!O278</f>
        <v>0</v>
      </c>
      <c r="H279" s="3" t="n">
        <f aca="false">Model_Data!S278</f>
        <v>635837.74</v>
      </c>
    </row>
    <row r="280" customFormat="false" ht="15" hidden="false" customHeight="true" outlineLevel="0" collapsed="false">
      <c r="A280" s="3" t="n">
        <f aca="false">Model_Data!F279</f>
        <v>5893</v>
      </c>
      <c r="B280" s="3" t="n">
        <f aca="false">Model_Data!E279</f>
        <v>38297.58</v>
      </c>
      <c r="C280" s="3" t="n">
        <f aca="false">Model_Data!I279</f>
        <v>77.6</v>
      </c>
      <c r="D280" s="3" t="n">
        <f aca="false">Model_Data!G279</f>
        <v>0.247</v>
      </c>
      <c r="E280" s="3" t="n">
        <f aca="false">Model_Data!M279</f>
        <v>0</v>
      </c>
      <c r="F280" s="3" t="n">
        <f aca="false">Model_Data!N279</f>
        <v>0</v>
      </c>
      <c r="G280" s="3" t="n">
        <f aca="false">Model_Data!O279</f>
        <v>0</v>
      </c>
      <c r="H280" s="3" t="n">
        <f aca="false">Model_Data!S279</f>
        <v>686737.87</v>
      </c>
    </row>
    <row r="281" customFormat="false" ht="15" hidden="false" customHeight="true" outlineLevel="0" collapsed="false">
      <c r="A281" s="3" t="n">
        <f aca="false">Model_Data!F280</f>
        <v>8564</v>
      </c>
      <c r="B281" s="3" t="n">
        <f aca="false">Model_Data!E280</f>
        <v>61784.11</v>
      </c>
      <c r="C281" s="3" t="n">
        <f aca="false">Model_Data!I280</f>
        <v>87.4</v>
      </c>
      <c r="D281" s="3" t="n">
        <f aca="false">Model_Data!G280</f>
        <v>0.13</v>
      </c>
      <c r="E281" s="3" t="n">
        <f aca="false">Model_Data!M280</f>
        <v>0</v>
      </c>
      <c r="F281" s="3" t="n">
        <f aca="false">Model_Data!N280</f>
        <v>0</v>
      </c>
      <c r="G281" s="3" t="n">
        <f aca="false">Model_Data!O280</f>
        <v>1</v>
      </c>
      <c r="H281" s="3" t="n">
        <f aca="false">Model_Data!S280</f>
        <v>673076.34</v>
      </c>
    </row>
    <row r="282" customFormat="false" ht="15" hidden="false" customHeight="true" outlineLevel="0" collapsed="false">
      <c r="A282" s="3" t="n">
        <f aca="false">Model_Data!F281</f>
        <v>8001</v>
      </c>
      <c r="B282" s="3" t="n">
        <f aca="false">Model_Data!E281</f>
        <v>36832.33</v>
      </c>
      <c r="C282" s="3" t="n">
        <f aca="false">Model_Data!I281</f>
        <v>88.7</v>
      </c>
      <c r="D282" s="3" t="n">
        <f aca="false">Model_Data!G281</f>
        <v>0</v>
      </c>
      <c r="E282" s="3" t="n">
        <f aca="false">Model_Data!M281</f>
        <v>0</v>
      </c>
      <c r="F282" s="3" t="n">
        <f aca="false">Model_Data!N281</f>
        <v>0</v>
      </c>
      <c r="G282" s="3" t="n">
        <f aca="false">Model_Data!O281</f>
        <v>1</v>
      </c>
      <c r="H282" s="3" t="n">
        <f aca="false">Model_Data!S281</f>
        <v>738548.42</v>
      </c>
    </row>
    <row r="283" customFormat="false" ht="15" hidden="false" customHeight="true" outlineLevel="0" collapsed="false">
      <c r="A283" s="3" t="n">
        <f aca="false">Model_Data!F282</f>
        <v>9324</v>
      </c>
      <c r="B283" s="3" t="n">
        <f aca="false">Model_Data!E282</f>
        <v>48609.41</v>
      </c>
      <c r="C283" s="3" t="n">
        <f aca="false">Model_Data!I282</f>
        <v>86.5</v>
      </c>
      <c r="D283" s="3" t="n">
        <f aca="false">Model_Data!G282</f>
        <v>0.213</v>
      </c>
      <c r="E283" s="3" t="n">
        <f aca="false">Model_Data!M282</f>
        <v>0</v>
      </c>
      <c r="F283" s="3" t="n">
        <f aca="false">Model_Data!N282</f>
        <v>0</v>
      </c>
      <c r="G283" s="3" t="n">
        <f aca="false">Model_Data!O282</f>
        <v>1</v>
      </c>
      <c r="H283" s="3" t="n">
        <f aca="false">Model_Data!S282</f>
        <v>756619.77</v>
      </c>
    </row>
    <row r="284" customFormat="false" ht="15" hidden="false" customHeight="true" outlineLevel="0" collapsed="false">
      <c r="A284" s="3" t="n">
        <f aca="false">Model_Data!F283</f>
        <v>9109</v>
      </c>
      <c r="B284" s="3" t="n">
        <f aca="false">Model_Data!E283</f>
        <v>70284.06</v>
      </c>
      <c r="C284" s="3" t="n">
        <f aca="false">Model_Data!I283</f>
        <v>87</v>
      </c>
      <c r="D284" s="3" t="n">
        <f aca="false">Model_Data!G283</f>
        <v>0.004</v>
      </c>
      <c r="E284" s="3" t="n">
        <f aca="false">Model_Data!M283</f>
        <v>0</v>
      </c>
      <c r="F284" s="3" t="n">
        <f aca="false">Model_Data!N283</f>
        <v>0</v>
      </c>
      <c r="G284" s="3" t="n">
        <f aca="false">Model_Data!O283</f>
        <v>1</v>
      </c>
      <c r="H284" s="3" t="n">
        <f aca="false">Model_Data!S283</f>
        <v>761122.42</v>
      </c>
    </row>
    <row r="285" customFormat="false" ht="15" hidden="false" customHeight="true" outlineLevel="0" collapsed="false">
      <c r="A285" s="3" t="n">
        <f aca="false">Model_Data!F284</f>
        <v>4022</v>
      </c>
      <c r="B285" s="3" t="n">
        <f aca="false">Model_Data!E284</f>
        <v>45940.39</v>
      </c>
      <c r="C285" s="3" t="n">
        <f aca="false">Model_Data!I284</f>
        <v>83</v>
      </c>
      <c r="D285" s="3" t="n">
        <f aca="false">Model_Data!G284</f>
        <v>0.069</v>
      </c>
      <c r="E285" s="3" t="n">
        <f aca="false">Model_Data!M284</f>
        <v>0</v>
      </c>
      <c r="F285" s="3" t="n">
        <f aca="false">Model_Data!N284</f>
        <v>0</v>
      </c>
      <c r="G285" s="3" t="n">
        <f aca="false">Model_Data!O284</f>
        <v>0</v>
      </c>
      <c r="H285" s="3" t="n">
        <f aca="false">Model_Data!S284</f>
        <v>524899.57</v>
      </c>
    </row>
    <row r="286" customFormat="false" ht="15" hidden="false" customHeight="true" outlineLevel="0" collapsed="false">
      <c r="A286" s="3" t="n">
        <f aca="false">Model_Data!F285</f>
        <v>4355</v>
      </c>
      <c r="B286" s="3" t="n">
        <f aca="false">Model_Data!E285</f>
        <v>34771.26</v>
      </c>
      <c r="C286" s="3" t="n">
        <f aca="false">Model_Data!I285</f>
        <v>87.9</v>
      </c>
      <c r="D286" s="3" t="n">
        <f aca="false">Model_Data!G285</f>
        <v>0.051</v>
      </c>
      <c r="E286" s="3" t="n">
        <f aca="false">Model_Data!M285</f>
        <v>0</v>
      </c>
      <c r="F286" s="3" t="n">
        <f aca="false">Model_Data!N285</f>
        <v>0</v>
      </c>
      <c r="G286" s="3" t="n">
        <f aca="false">Model_Data!O285</f>
        <v>0</v>
      </c>
      <c r="H286" s="3" t="n">
        <f aca="false">Model_Data!S285</f>
        <v>555557.77</v>
      </c>
    </row>
    <row r="287" customFormat="false" ht="15" hidden="false" customHeight="true" outlineLevel="0" collapsed="false">
      <c r="A287" s="3" t="n">
        <f aca="false">Model_Data!F286</f>
        <v>5745</v>
      </c>
      <c r="B287" s="3" t="n">
        <f aca="false">Model_Data!E286</f>
        <v>66104.19</v>
      </c>
      <c r="C287" s="3" t="n">
        <f aca="false">Model_Data!I286</f>
        <v>95.8</v>
      </c>
      <c r="D287" s="3" t="n">
        <f aca="false">Model_Data!G286</f>
        <v>0.07</v>
      </c>
      <c r="E287" s="3" t="n">
        <f aca="false">Model_Data!M286</f>
        <v>0</v>
      </c>
      <c r="F287" s="3" t="n">
        <f aca="false">Model_Data!N286</f>
        <v>0</v>
      </c>
      <c r="G287" s="3" t="n">
        <f aca="false">Model_Data!O286</f>
        <v>0</v>
      </c>
      <c r="H287" s="3" t="n">
        <f aca="false">Model_Data!S286</f>
        <v>714083.68</v>
      </c>
    </row>
    <row r="288" customFormat="false" ht="15" hidden="false" customHeight="true" outlineLevel="0" collapsed="false">
      <c r="A288" s="3" t="n">
        <f aca="false">Model_Data!F287</f>
        <v>3027</v>
      </c>
      <c r="B288" s="3" t="n">
        <f aca="false">Model_Data!E287</f>
        <v>18599.21</v>
      </c>
      <c r="C288" s="3" t="n">
        <f aca="false">Model_Data!I287</f>
        <v>80.9</v>
      </c>
      <c r="D288" s="3" t="n">
        <f aca="false">Model_Data!G287</f>
        <v>0.122</v>
      </c>
      <c r="E288" s="3" t="n">
        <f aca="false">Model_Data!M287</f>
        <v>0</v>
      </c>
      <c r="F288" s="3" t="n">
        <f aca="false">Model_Data!N287</f>
        <v>0</v>
      </c>
      <c r="G288" s="3" t="n">
        <f aca="false">Model_Data!O287</f>
        <v>0</v>
      </c>
      <c r="H288" s="3" t="n">
        <f aca="false">Model_Data!S287</f>
        <v>497439.82</v>
      </c>
    </row>
    <row r="289" customFormat="false" ht="15" hidden="false" customHeight="true" outlineLevel="0" collapsed="false">
      <c r="A289" s="3" t="n">
        <f aca="false">Model_Data!F288</f>
        <v>5562</v>
      </c>
      <c r="B289" s="3" t="n">
        <f aca="false">Model_Data!E288</f>
        <v>60183.06</v>
      </c>
      <c r="C289" s="3" t="n">
        <f aca="false">Model_Data!I288</f>
        <v>86.3</v>
      </c>
      <c r="D289" s="3" t="n">
        <f aca="false">Model_Data!G288</f>
        <v>0.009</v>
      </c>
      <c r="E289" s="3" t="n">
        <f aca="false">Model_Data!M288</f>
        <v>0</v>
      </c>
      <c r="F289" s="3" t="n">
        <f aca="false">Model_Data!N288</f>
        <v>0</v>
      </c>
      <c r="G289" s="3" t="n">
        <f aca="false">Model_Data!O288</f>
        <v>1</v>
      </c>
      <c r="H289" s="3" t="n">
        <f aca="false">Model_Data!S288</f>
        <v>636775.66</v>
      </c>
    </row>
    <row r="290" customFormat="false" ht="15" hidden="false" customHeight="true" outlineLevel="0" collapsed="false">
      <c r="A290" s="3" t="n">
        <f aca="false">Model_Data!F289</f>
        <v>4487</v>
      </c>
      <c r="B290" s="3" t="n">
        <f aca="false">Model_Data!E289</f>
        <v>74539.14</v>
      </c>
      <c r="C290" s="3" t="n">
        <f aca="false">Model_Data!I289</f>
        <v>90.4</v>
      </c>
      <c r="D290" s="3" t="n">
        <f aca="false">Model_Data!G289</f>
        <v>0.14</v>
      </c>
      <c r="E290" s="3" t="n">
        <f aca="false">Model_Data!M289</f>
        <v>0</v>
      </c>
      <c r="F290" s="3" t="n">
        <f aca="false">Model_Data!N289</f>
        <v>0</v>
      </c>
      <c r="G290" s="3" t="n">
        <f aca="false">Model_Data!O289</f>
        <v>1</v>
      </c>
      <c r="H290" s="3" t="n">
        <f aca="false">Model_Data!S289</f>
        <v>633009.53</v>
      </c>
    </row>
    <row r="291" customFormat="false" ht="15" hidden="false" customHeight="true" outlineLevel="0" collapsed="false">
      <c r="A291" s="3" t="n">
        <f aca="false">Model_Data!F290</f>
        <v>4162</v>
      </c>
      <c r="B291" s="3" t="n">
        <f aca="false">Model_Data!E290</f>
        <v>55371.97</v>
      </c>
      <c r="C291" s="3" t="n">
        <f aca="false">Model_Data!I290</f>
        <v>92</v>
      </c>
      <c r="D291" s="3" t="n">
        <f aca="false">Model_Data!G290</f>
        <v>0.183</v>
      </c>
      <c r="E291" s="3" t="n">
        <f aca="false">Model_Data!M290</f>
        <v>0</v>
      </c>
      <c r="F291" s="3" t="n">
        <f aca="false">Model_Data!N290</f>
        <v>0</v>
      </c>
      <c r="G291" s="3" t="n">
        <f aca="false">Model_Data!O290</f>
        <v>1</v>
      </c>
      <c r="H291" s="3" t="n">
        <f aca="false">Model_Data!S290</f>
        <v>609949</v>
      </c>
    </row>
    <row r="292" customFormat="false" ht="15" hidden="false" customHeight="true" outlineLevel="0" collapsed="false">
      <c r="A292" s="3" t="n">
        <f aca="false">Model_Data!F291</f>
        <v>4094</v>
      </c>
      <c r="B292" s="3" t="n">
        <f aca="false">Model_Data!E291</f>
        <v>40928.69</v>
      </c>
      <c r="C292" s="3" t="n">
        <f aca="false">Model_Data!I291</f>
        <v>82.4</v>
      </c>
      <c r="D292" s="3" t="n">
        <f aca="false">Model_Data!G291</f>
        <v>0.174</v>
      </c>
      <c r="E292" s="3" t="n">
        <f aca="false">Model_Data!M291</f>
        <v>0</v>
      </c>
      <c r="F292" s="3" t="n">
        <f aca="false">Model_Data!N291</f>
        <v>0</v>
      </c>
      <c r="G292" s="3" t="n">
        <f aca="false">Model_Data!O291</f>
        <v>1</v>
      </c>
      <c r="H292" s="3" t="n">
        <f aca="false">Model_Data!S291</f>
        <v>548103.7</v>
      </c>
    </row>
    <row r="293" customFormat="false" ht="15" hidden="false" customHeight="true" outlineLevel="0" collapsed="false">
      <c r="A293" s="3" t="n">
        <f aca="false">Model_Data!F292</f>
        <v>8484</v>
      </c>
      <c r="B293" s="3" t="n">
        <f aca="false">Model_Data!E292</f>
        <v>70012.41</v>
      </c>
      <c r="C293" s="3" t="n">
        <f aca="false">Model_Data!I292</f>
        <v>72.9</v>
      </c>
      <c r="D293" s="3" t="n">
        <f aca="false">Model_Data!G292</f>
        <v>0.273</v>
      </c>
      <c r="E293" s="3" t="n">
        <f aca="false">Model_Data!M292</f>
        <v>0</v>
      </c>
      <c r="F293" s="3" t="n">
        <f aca="false">Model_Data!N292</f>
        <v>0</v>
      </c>
      <c r="G293" s="3" t="n">
        <f aca="false">Model_Data!O292</f>
        <v>1</v>
      </c>
      <c r="H293" s="3" t="n">
        <f aca="false">Model_Data!S292</f>
        <v>729424.42</v>
      </c>
    </row>
    <row r="294" customFormat="false" ht="15" hidden="false" customHeight="true" outlineLevel="0" collapsed="false">
      <c r="A294" s="3" t="n">
        <f aca="false">Model_Data!F293</f>
        <v>7794</v>
      </c>
      <c r="B294" s="3" t="n">
        <f aca="false">Model_Data!E293</f>
        <v>68909.26</v>
      </c>
      <c r="C294" s="3" t="n">
        <f aca="false">Model_Data!I293</f>
        <v>89</v>
      </c>
      <c r="D294" s="3" t="n">
        <f aca="false">Model_Data!G293</f>
        <v>0.284</v>
      </c>
      <c r="E294" s="3" t="n">
        <f aca="false">Model_Data!M293</f>
        <v>0</v>
      </c>
      <c r="F294" s="3" t="n">
        <f aca="false">Model_Data!N293</f>
        <v>0</v>
      </c>
      <c r="G294" s="3" t="n">
        <f aca="false">Model_Data!O293</f>
        <v>1</v>
      </c>
      <c r="H294" s="3" t="n">
        <f aca="false">Model_Data!S293</f>
        <v>696261.49</v>
      </c>
    </row>
    <row r="295" customFormat="false" ht="15" hidden="false" customHeight="true" outlineLevel="0" collapsed="false">
      <c r="A295" s="3" t="n">
        <f aca="false">Model_Data!F294</f>
        <v>8300</v>
      </c>
      <c r="B295" s="3" t="n">
        <f aca="false">Model_Data!E294</f>
        <v>56737.3</v>
      </c>
      <c r="C295" s="3" t="n">
        <f aca="false">Model_Data!I294</f>
        <v>83.2</v>
      </c>
      <c r="D295" s="3" t="n">
        <f aca="false">Model_Data!G294</f>
        <v>0.032</v>
      </c>
      <c r="E295" s="3" t="n">
        <f aca="false">Model_Data!M294</f>
        <v>0</v>
      </c>
      <c r="F295" s="3" t="n">
        <f aca="false">Model_Data!N294</f>
        <v>0</v>
      </c>
      <c r="G295" s="3" t="n">
        <f aca="false">Model_Data!O294</f>
        <v>1</v>
      </c>
      <c r="H295" s="3" t="n">
        <f aca="false">Model_Data!S294</f>
        <v>813316.71</v>
      </c>
    </row>
    <row r="296" customFormat="false" ht="15" hidden="false" customHeight="true" outlineLevel="0" collapsed="false">
      <c r="A296" s="3" t="n">
        <f aca="false">Model_Data!F295</f>
        <v>7083</v>
      </c>
      <c r="B296" s="3" t="n">
        <f aca="false">Model_Data!E295</f>
        <v>54080.91</v>
      </c>
      <c r="C296" s="3" t="n">
        <f aca="false">Model_Data!I295</f>
        <v>97</v>
      </c>
      <c r="D296" s="3" t="n">
        <f aca="false">Model_Data!G295</f>
        <v>0</v>
      </c>
      <c r="E296" s="3" t="n">
        <f aca="false">Model_Data!M295</f>
        <v>0</v>
      </c>
      <c r="F296" s="3" t="n">
        <f aca="false">Model_Data!N295</f>
        <v>0</v>
      </c>
      <c r="G296" s="3" t="n">
        <f aca="false">Model_Data!O295</f>
        <v>1</v>
      </c>
      <c r="H296" s="3" t="n">
        <f aca="false">Model_Data!S295</f>
        <v>702068.92</v>
      </c>
    </row>
    <row r="297" customFormat="false" ht="15" hidden="false" customHeight="true" outlineLevel="0" collapsed="false">
      <c r="A297" s="3" t="n">
        <f aca="false">Model_Data!F296</f>
        <v>3834</v>
      </c>
      <c r="B297" s="3" t="n">
        <f aca="false">Model_Data!E296</f>
        <v>51996.32</v>
      </c>
      <c r="C297" s="3" t="n">
        <f aca="false">Model_Data!I296</f>
        <v>86.7</v>
      </c>
      <c r="D297" s="3" t="n">
        <f aca="false">Model_Data!G296</f>
        <v>0.096</v>
      </c>
      <c r="E297" s="3" t="n">
        <f aca="false">Model_Data!M296</f>
        <v>0</v>
      </c>
      <c r="F297" s="3" t="n">
        <f aca="false">Model_Data!N296</f>
        <v>0</v>
      </c>
      <c r="G297" s="3" t="n">
        <f aca="false">Model_Data!O296</f>
        <v>0</v>
      </c>
      <c r="H297" s="3" t="n">
        <f aca="false">Model_Data!S296</f>
        <v>546223.7</v>
      </c>
    </row>
    <row r="298" customFormat="false" ht="15" hidden="false" customHeight="true" outlineLevel="0" collapsed="false">
      <c r="A298" s="3" t="n">
        <f aca="false">Model_Data!F297</f>
        <v>2358</v>
      </c>
      <c r="B298" s="3" t="n">
        <f aca="false">Model_Data!E297</f>
        <v>40102.88</v>
      </c>
      <c r="C298" s="3" t="n">
        <f aca="false">Model_Data!I297</f>
        <v>88.7</v>
      </c>
      <c r="D298" s="3" t="n">
        <f aca="false">Model_Data!G297</f>
        <v>0.119</v>
      </c>
      <c r="E298" s="3" t="n">
        <f aca="false">Model_Data!M297</f>
        <v>0</v>
      </c>
      <c r="F298" s="3" t="n">
        <f aca="false">Model_Data!N297</f>
        <v>0</v>
      </c>
      <c r="G298" s="3" t="n">
        <f aca="false">Model_Data!O297</f>
        <v>0</v>
      </c>
      <c r="H298" s="3" t="n">
        <f aca="false">Model_Data!S297</f>
        <v>533121.26</v>
      </c>
    </row>
    <row r="299" customFormat="false" ht="15" hidden="false" customHeight="true" outlineLevel="0" collapsed="false">
      <c r="A299" s="3" t="n">
        <f aca="false">Model_Data!F298</f>
        <v>1231</v>
      </c>
      <c r="B299" s="3" t="n">
        <f aca="false">Model_Data!E298</f>
        <v>59825.51</v>
      </c>
      <c r="C299" s="3" t="n">
        <f aca="false">Model_Data!I298</f>
        <v>84.8</v>
      </c>
      <c r="D299" s="3" t="n">
        <f aca="false">Model_Data!G298</f>
        <v>0.214</v>
      </c>
      <c r="E299" s="3" t="n">
        <f aca="false">Model_Data!M298</f>
        <v>0</v>
      </c>
      <c r="F299" s="3" t="n">
        <f aca="false">Model_Data!N298</f>
        <v>0</v>
      </c>
      <c r="G299" s="3" t="n">
        <f aca="false">Model_Data!O298</f>
        <v>0</v>
      </c>
      <c r="H299" s="3" t="n">
        <f aca="false">Model_Data!S298</f>
        <v>498970.32</v>
      </c>
    </row>
    <row r="300" customFormat="false" ht="15" hidden="false" customHeight="true" outlineLevel="0" collapsed="false">
      <c r="A300" s="3" t="n">
        <f aca="false">Model_Data!F299</f>
        <v>1723</v>
      </c>
      <c r="B300" s="3" t="n">
        <f aca="false">Model_Data!E299</f>
        <v>27398.28</v>
      </c>
      <c r="C300" s="3" t="n">
        <f aca="false">Model_Data!I299</f>
        <v>81</v>
      </c>
      <c r="D300" s="3" t="n">
        <f aca="false">Model_Data!G299</f>
        <v>0.171</v>
      </c>
      <c r="E300" s="3" t="n">
        <f aca="false">Model_Data!M299</f>
        <v>0</v>
      </c>
      <c r="F300" s="3" t="n">
        <f aca="false">Model_Data!N299</f>
        <v>0</v>
      </c>
      <c r="G300" s="3" t="n">
        <f aca="false">Model_Data!O299</f>
        <v>0</v>
      </c>
      <c r="H300" s="3" t="n">
        <f aca="false">Model_Data!S299</f>
        <v>487738.26</v>
      </c>
    </row>
    <row r="301" customFormat="false" ht="15" hidden="false" customHeight="true" outlineLevel="0" collapsed="false">
      <c r="A301" s="3" t="n">
        <f aca="false">Model_Data!F300</f>
        <v>5896</v>
      </c>
      <c r="B301" s="3" t="n">
        <f aca="false">Model_Data!E300</f>
        <v>55599.56</v>
      </c>
      <c r="C301" s="3" t="n">
        <f aca="false">Model_Data!I300</f>
        <v>93.1</v>
      </c>
      <c r="D301" s="3" t="n">
        <f aca="false">Model_Data!G300</f>
        <v>0.036</v>
      </c>
      <c r="E301" s="3" t="n">
        <f aca="false">Model_Data!M300</f>
        <v>0</v>
      </c>
      <c r="F301" s="3" t="n">
        <f aca="false">Model_Data!N300</f>
        <v>0</v>
      </c>
      <c r="G301" s="3" t="n">
        <f aca="false">Model_Data!O300</f>
        <v>0</v>
      </c>
      <c r="H301" s="3" t="n">
        <f aca="false">Model_Data!S300</f>
        <v>668459.37</v>
      </c>
    </row>
    <row r="302" customFormat="false" ht="15" hidden="false" customHeight="true" outlineLevel="0" collapsed="false">
      <c r="A302" s="3" t="n">
        <f aca="false">Model_Data!F301</f>
        <v>5903</v>
      </c>
      <c r="B302" s="3" t="n">
        <f aca="false">Model_Data!E301</f>
        <v>55477.61</v>
      </c>
      <c r="C302" s="3" t="n">
        <f aca="false">Model_Data!I301</f>
        <v>96.2</v>
      </c>
      <c r="D302" s="3" t="n">
        <f aca="false">Model_Data!G301</f>
        <v>0.102</v>
      </c>
      <c r="E302" s="3" t="n">
        <f aca="false">Model_Data!M301</f>
        <v>0</v>
      </c>
      <c r="F302" s="3" t="n">
        <f aca="false">Model_Data!N301</f>
        <v>0</v>
      </c>
      <c r="G302" s="3" t="n">
        <f aca="false">Model_Data!O301</f>
        <v>0</v>
      </c>
      <c r="H302" s="3" t="n">
        <f aca="false">Model_Data!S301</f>
        <v>763162.45</v>
      </c>
    </row>
    <row r="303" customFormat="false" ht="15" hidden="false" customHeight="true" outlineLevel="0" collapsed="false">
      <c r="A303" s="3" t="n">
        <f aca="false">Model_Data!F302</f>
        <v>4898</v>
      </c>
      <c r="B303" s="3" t="n">
        <f aca="false">Model_Data!E302</f>
        <v>46174.7</v>
      </c>
      <c r="C303" s="3" t="n">
        <f aca="false">Model_Data!I302</f>
        <v>91.7</v>
      </c>
      <c r="D303" s="3" t="n">
        <f aca="false">Model_Data!G302</f>
        <v>0.114</v>
      </c>
      <c r="E303" s="3" t="n">
        <f aca="false">Model_Data!M302</f>
        <v>0</v>
      </c>
      <c r="F303" s="3" t="n">
        <f aca="false">Model_Data!N302</f>
        <v>0</v>
      </c>
      <c r="G303" s="3" t="n">
        <f aca="false">Model_Data!O302</f>
        <v>0</v>
      </c>
      <c r="H303" s="3" t="n">
        <f aca="false">Model_Data!S302</f>
        <v>599017.33</v>
      </c>
    </row>
    <row r="304" customFormat="false" ht="15" hidden="false" customHeight="true" outlineLevel="0" collapsed="false">
      <c r="A304" s="3" t="n">
        <f aca="false">Model_Data!F303</f>
        <v>1462</v>
      </c>
      <c r="B304" s="3" t="n">
        <f aca="false">Model_Data!E303</f>
        <v>24362.98</v>
      </c>
      <c r="C304" s="3" t="n">
        <f aca="false">Model_Data!I303</f>
        <v>89.3</v>
      </c>
      <c r="D304" s="3" t="n">
        <f aca="false">Model_Data!G303</f>
        <v>0.117</v>
      </c>
      <c r="E304" s="3" t="n">
        <f aca="false">Model_Data!M303</f>
        <v>0</v>
      </c>
      <c r="F304" s="3" t="n">
        <f aca="false">Model_Data!N303</f>
        <v>0</v>
      </c>
      <c r="G304" s="3" t="n">
        <f aca="false">Model_Data!O303</f>
        <v>0</v>
      </c>
      <c r="H304" s="3" t="n">
        <f aca="false">Model_Data!S303</f>
        <v>401582.58</v>
      </c>
    </row>
    <row r="305" customFormat="false" ht="15" hidden="false" customHeight="true" outlineLevel="0" collapsed="false">
      <c r="A305" s="3" t="n">
        <f aca="false">Model_Data!F304</f>
        <v>8252</v>
      </c>
      <c r="B305" s="3" t="n">
        <f aca="false">Model_Data!E304</f>
        <v>40647.67</v>
      </c>
      <c r="C305" s="3" t="n">
        <f aca="false">Model_Data!I304</f>
        <v>88.2</v>
      </c>
      <c r="D305" s="3" t="n">
        <f aca="false">Model_Data!G304</f>
        <v>0.141</v>
      </c>
      <c r="E305" s="3" t="n">
        <f aca="false">Model_Data!M304</f>
        <v>0</v>
      </c>
      <c r="F305" s="3" t="n">
        <f aca="false">Model_Data!N304</f>
        <v>1</v>
      </c>
      <c r="G305" s="3" t="n">
        <f aca="false">Model_Data!O304</f>
        <v>0</v>
      </c>
      <c r="H305" s="3" t="n">
        <f aca="false">Model_Data!S304</f>
        <v>703812.99</v>
      </c>
    </row>
    <row r="306" customFormat="false" ht="15" hidden="false" customHeight="true" outlineLevel="0" collapsed="false">
      <c r="A306" s="3" t="n">
        <f aca="false">Model_Data!F305</f>
        <v>7989</v>
      </c>
      <c r="B306" s="3" t="n">
        <f aca="false">Model_Data!E305</f>
        <v>63986.98</v>
      </c>
      <c r="C306" s="3" t="n">
        <f aca="false">Model_Data!I305</f>
        <v>83.3</v>
      </c>
      <c r="D306" s="3" t="n">
        <f aca="false">Model_Data!G305</f>
        <v>0.074</v>
      </c>
      <c r="E306" s="3" t="n">
        <f aca="false">Model_Data!M305</f>
        <v>0</v>
      </c>
      <c r="F306" s="3" t="n">
        <f aca="false">Model_Data!N305</f>
        <v>1</v>
      </c>
      <c r="G306" s="3" t="n">
        <f aca="false">Model_Data!O305</f>
        <v>0</v>
      </c>
      <c r="H306" s="3" t="n">
        <f aca="false">Model_Data!S305</f>
        <v>724346.73</v>
      </c>
    </row>
    <row r="307" customFormat="false" ht="15" hidden="false" customHeight="true" outlineLevel="0" collapsed="false">
      <c r="A307" s="3" t="n">
        <f aca="false">Model_Data!F306</f>
        <v>8268</v>
      </c>
      <c r="B307" s="3" t="n">
        <f aca="false">Model_Data!E306</f>
        <v>52843.75</v>
      </c>
      <c r="C307" s="3" t="n">
        <f aca="false">Model_Data!I306</f>
        <v>87.3</v>
      </c>
      <c r="D307" s="3" t="n">
        <f aca="false">Model_Data!G306</f>
        <v>0.138</v>
      </c>
      <c r="E307" s="3" t="n">
        <f aca="false">Model_Data!M306</f>
        <v>0</v>
      </c>
      <c r="F307" s="3" t="n">
        <f aca="false">Model_Data!N306</f>
        <v>1</v>
      </c>
      <c r="G307" s="3" t="n">
        <f aca="false">Model_Data!O306</f>
        <v>0</v>
      </c>
      <c r="H307" s="3" t="n">
        <f aca="false">Model_Data!S306</f>
        <v>730890.01</v>
      </c>
    </row>
    <row r="308" customFormat="false" ht="15" hidden="false" customHeight="true" outlineLevel="0" collapsed="false">
      <c r="A308" s="3" t="n">
        <f aca="false">Model_Data!F307</f>
        <v>8183</v>
      </c>
      <c r="B308" s="3" t="n">
        <f aca="false">Model_Data!E307</f>
        <v>31997.25</v>
      </c>
      <c r="C308" s="3" t="n">
        <f aca="false">Model_Data!I307</f>
        <v>93</v>
      </c>
      <c r="D308" s="3" t="n">
        <f aca="false">Model_Data!G307</f>
        <v>0.198</v>
      </c>
      <c r="E308" s="3" t="n">
        <f aca="false">Model_Data!M307</f>
        <v>0</v>
      </c>
      <c r="F308" s="3" t="n">
        <f aca="false">Model_Data!N307</f>
        <v>1</v>
      </c>
      <c r="G308" s="3" t="n">
        <f aca="false">Model_Data!O307</f>
        <v>0</v>
      </c>
      <c r="H308" s="3" t="n">
        <f aca="false">Model_Data!S307</f>
        <v>780580.95</v>
      </c>
    </row>
    <row r="309" customFormat="false" ht="15" hidden="false" customHeight="true" outlineLevel="0" collapsed="false">
      <c r="A309" s="3" t="n">
        <f aca="false">Model_Data!F308</f>
        <v>6534</v>
      </c>
      <c r="B309" s="3" t="n">
        <f aca="false">Model_Data!E308</f>
        <v>54948.02</v>
      </c>
      <c r="C309" s="3" t="n">
        <f aca="false">Model_Data!I308</f>
        <v>94.5</v>
      </c>
      <c r="D309" s="3" t="n">
        <f aca="false">Model_Data!G308</f>
        <v>0.183</v>
      </c>
      <c r="E309" s="3" t="n">
        <f aca="false">Model_Data!M308</f>
        <v>0</v>
      </c>
      <c r="F309" s="3" t="n">
        <f aca="false">Model_Data!N308</f>
        <v>0</v>
      </c>
      <c r="G309" s="3" t="n">
        <f aca="false">Model_Data!O308</f>
        <v>1</v>
      </c>
      <c r="H309" s="3" t="n">
        <f aca="false">Model_Data!S308</f>
        <v>727957.48</v>
      </c>
    </row>
    <row r="310" customFormat="false" ht="15" hidden="false" customHeight="true" outlineLevel="0" collapsed="false">
      <c r="A310" s="3" t="n">
        <f aca="false">Model_Data!F309</f>
        <v>5804</v>
      </c>
      <c r="B310" s="3" t="n">
        <f aca="false">Model_Data!E309</f>
        <v>46146.24</v>
      </c>
      <c r="C310" s="3" t="n">
        <f aca="false">Model_Data!I309</f>
        <v>86.9</v>
      </c>
      <c r="D310" s="3" t="n">
        <f aca="false">Model_Data!G309</f>
        <v>0.047</v>
      </c>
      <c r="E310" s="3" t="n">
        <f aca="false">Model_Data!M309</f>
        <v>0</v>
      </c>
      <c r="F310" s="3" t="n">
        <f aca="false">Model_Data!N309</f>
        <v>0</v>
      </c>
      <c r="G310" s="3" t="n">
        <f aca="false">Model_Data!O309</f>
        <v>1</v>
      </c>
      <c r="H310" s="3" t="n">
        <f aca="false">Model_Data!S309</f>
        <v>538376</v>
      </c>
    </row>
    <row r="311" customFormat="false" ht="15" hidden="false" customHeight="true" outlineLevel="0" collapsed="false">
      <c r="A311" s="3" t="n">
        <f aca="false">Model_Data!F310</f>
        <v>6301</v>
      </c>
      <c r="B311" s="3" t="n">
        <f aca="false">Model_Data!E310</f>
        <v>22387.26</v>
      </c>
      <c r="C311" s="3" t="n">
        <f aca="false">Model_Data!I310</f>
        <v>85.9</v>
      </c>
      <c r="D311" s="3" t="n">
        <f aca="false">Model_Data!G310</f>
        <v>0.146</v>
      </c>
      <c r="E311" s="3" t="n">
        <f aca="false">Model_Data!M310</f>
        <v>0</v>
      </c>
      <c r="F311" s="3" t="n">
        <f aca="false">Model_Data!N310</f>
        <v>0</v>
      </c>
      <c r="G311" s="3" t="n">
        <f aca="false">Model_Data!O310</f>
        <v>1</v>
      </c>
      <c r="H311" s="3" t="n">
        <f aca="false">Model_Data!S310</f>
        <v>665342.49</v>
      </c>
    </row>
    <row r="312" customFormat="false" ht="15" hidden="false" customHeight="true" outlineLevel="0" collapsed="false">
      <c r="A312" s="3" t="n">
        <f aca="false">Model_Data!F311</f>
        <v>6399</v>
      </c>
      <c r="B312" s="3" t="n">
        <f aca="false">Model_Data!E311</f>
        <v>60684.05</v>
      </c>
      <c r="C312" s="3" t="n">
        <f aca="false">Model_Data!I311</f>
        <v>99</v>
      </c>
      <c r="D312" s="3" t="n">
        <f aca="false">Model_Data!G311</f>
        <v>0.075</v>
      </c>
      <c r="E312" s="3" t="n">
        <f aca="false">Model_Data!M311</f>
        <v>0</v>
      </c>
      <c r="F312" s="3" t="n">
        <f aca="false">Model_Data!N311</f>
        <v>0</v>
      </c>
      <c r="G312" s="3" t="n">
        <f aca="false">Model_Data!O311</f>
        <v>1</v>
      </c>
      <c r="H312" s="3" t="n">
        <f aca="false">Model_Data!S311</f>
        <v>651164.18</v>
      </c>
    </row>
    <row r="313" customFormat="false" ht="15" hidden="false" customHeight="true" outlineLevel="0" collapsed="false">
      <c r="A313" s="3" t="n">
        <f aca="false">Model_Data!F312</f>
        <v>5759</v>
      </c>
      <c r="B313" s="3" t="n">
        <f aca="false">Model_Data!E312</f>
        <v>48465.6</v>
      </c>
      <c r="C313" s="3" t="n">
        <f aca="false">Model_Data!I312</f>
        <v>87.5</v>
      </c>
      <c r="D313" s="3" t="n">
        <f aca="false">Model_Data!G312</f>
        <v>0.154</v>
      </c>
      <c r="E313" s="3" t="n">
        <f aca="false">Model_Data!M312</f>
        <v>0</v>
      </c>
      <c r="F313" s="3" t="n">
        <f aca="false">Model_Data!N312</f>
        <v>0</v>
      </c>
      <c r="G313" s="3" t="n">
        <f aca="false">Model_Data!O312</f>
        <v>0</v>
      </c>
      <c r="H313" s="3" t="n">
        <f aca="false">Model_Data!S312</f>
        <v>628538.3</v>
      </c>
    </row>
    <row r="314" customFormat="false" ht="15" hidden="false" customHeight="true" outlineLevel="0" collapsed="false">
      <c r="A314" s="3" t="n">
        <f aca="false">Model_Data!F313</f>
        <v>5285</v>
      </c>
      <c r="B314" s="3" t="n">
        <f aca="false">Model_Data!E313</f>
        <v>23702.38</v>
      </c>
      <c r="C314" s="3" t="n">
        <f aca="false">Model_Data!I313</f>
        <v>79.7</v>
      </c>
      <c r="D314" s="3" t="n">
        <f aca="false">Model_Data!G313</f>
        <v>0.167</v>
      </c>
      <c r="E314" s="3" t="n">
        <f aca="false">Model_Data!M313</f>
        <v>0</v>
      </c>
      <c r="F314" s="3" t="n">
        <f aca="false">Model_Data!N313</f>
        <v>0</v>
      </c>
      <c r="G314" s="3" t="n">
        <f aca="false">Model_Data!O313</f>
        <v>0</v>
      </c>
      <c r="H314" s="3" t="n">
        <f aca="false">Model_Data!S313</f>
        <v>536524.84</v>
      </c>
    </row>
    <row r="315" customFormat="false" ht="15" hidden="false" customHeight="true" outlineLevel="0" collapsed="false">
      <c r="A315" s="3" t="n">
        <f aca="false">Model_Data!F314</f>
        <v>5434</v>
      </c>
      <c r="B315" s="3" t="n">
        <f aca="false">Model_Data!E314</f>
        <v>54322.94</v>
      </c>
      <c r="C315" s="3" t="n">
        <f aca="false">Model_Data!I314</f>
        <v>85.7</v>
      </c>
      <c r="D315" s="3" t="n">
        <f aca="false">Model_Data!G314</f>
        <v>0.2</v>
      </c>
      <c r="E315" s="3" t="n">
        <f aca="false">Model_Data!M314</f>
        <v>0</v>
      </c>
      <c r="F315" s="3" t="n">
        <f aca="false">Model_Data!N314</f>
        <v>0</v>
      </c>
      <c r="G315" s="3" t="n">
        <f aca="false">Model_Data!O314</f>
        <v>0</v>
      </c>
      <c r="H315" s="3" t="n">
        <f aca="false">Model_Data!S314</f>
        <v>621677.3</v>
      </c>
    </row>
    <row r="316" customFormat="false" ht="15" hidden="false" customHeight="true" outlineLevel="0" collapsed="false">
      <c r="A316" s="3" t="n">
        <f aca="false">Model_Data!F315</f>
        <v>7479</v>
      </c>
      <c r="B316" s="3" t="n">
        <f aca="false">Model_Data!E315</f>
        <v>86026.58</v>
      </c>
      <c r="C316" s="3" t="n">
        <f aca="false">Model_Data!I315</f>
        <v>89</v>
      </c>
      <c r="D316" s="3" t="n">
        <f aca="false">Model_Data!G315</f>
        <v>0.142</v>
      </c>
      <c r="E316" s="3" t="n">
        <f aca="false">Model_Data!M315</f>
        <v>0</v>
      </c>
      <c r="F316" s="3" t="n">
        <f aca="false">Model_Data!N315</f>
        <v>0</v>
      </c>
      <c r="G316" s="3" t="n">
        <f aca="false">Model_Data!O315</f>
        <v>0</v>
      </c>
      <c r="H316" s="3" t="n">
        <f aca="false">Model_Data!S315</f>
        <v>771129.07</v>
      </c>
    </row>
    <row r="317" customFormat="false" ht="15" hidden="false" customHeight="true" outlineLevel="0" collapsed="false">
      <c r="A317" s="3" t="n">
        <f aca="false">Model_Data!F316</f>
        <v>6164</v>
      </c>
      <c r="B317" s="3" t="n">
        <f aca="false">Model_Data!E316</f>
        <v>78967.52</v>
      </c>
      <c r="C317" s="3" t="n">
        <f aca="false">Model_Data!I316</f>
        <v>85.5</v>
      </c>
      <c r="D317" s="3" t="n">
        <f aca="false">Model_Data!G316</f>
        <v>0.021</v>
      </c>
      <c r="E317" s="3" t="n">
        <f aca="false">Model_Data!M316</f>
        <v>0</v>
      </c>
      <c r="F317" s="3" t="n">
        <f aca="false">Model_Data!N316</f>
        <v>0</v>
      </c>
      <c r="G317" s="3" t="n">
        <f aca="false">Model_Data!O316</f>
        <v>1</v>
      </c>
      <c r="H317" s="3" t="n">
        <f aca="false">Model_Data!S316</f>
        <v>702052.47</v>
      </c>
    </row>
    <row r="318" customFormat="false" ht="15" hidden="false" customHeight="true" outlineLevel="0" collapsed="false">
      <c r="A318" s="3" t="n">
        <f aca="false">Model_Data!F317</f>
        <v>7973</v>
      </c>
      <c r="B318" s="3" t="n">
        <f aca="false">Model_Data!E317</f>
        <v>46767.99</v>
      </c>
      <c r="C318" s="3" t="n">
        <f aca="false">Model_Data!I317</f>
        <v>94.8</v>
      </c>
      <c r="D318" s="3" t="n">
        <f aca="false">Model_Data!G317</f>
        <v>0.183</v>
      </c>
      <c r="E318" s="3" t="n">
        <f aca="false">Model_Data!M317</f>
        <v>0</v>
      </c>
      <c r="F318" s="3" t="n">
        <f aca="false">Model_Data!N317</f>
        <v>0</v>
      </c>
      <c r="G318" s="3" t="n">
        <f aca="false">Model_Data!O317</f>
        <v>1</v>
      </c>
      <c r="H318" s="3" t="n">
        <f aca="false">Model_Data!S317</f>
        <v>688368.46</v>
      </c>
    </row>
    <row r="319" customFormat="false" ht="15" hidden="false" customHeight="true" outlineLevel="0" collapsed="false">
      <c r="A319" s="3" t="n">
        <f aca="false">Model_Data!F318</f>
        <v>6000</v>
      </c>
      <c r="B319" s="3" t="n">
        <f aca="false">Model_Data!E318</f>
        <v>62507.16</v>
      </c>
      <c r="C319" s="3" t="n">
        <f aca="false">Model_Data!I318</f>
        <v>98.2</v>
      </c>
      <c r="D319" s="3" t="n">
        <f aca="false">Model_Data!G318</f>
        <v>0.091</v>
      </c>
      <c r="E319" s="3" t="n">
        <f aca="false">Model_Data!M318</f>
        <v>0</v>
      </c>
      <c r="F319" s="3" t="n">
        <f aca="false">Model_Data!N318</f>
        <v>0</v>
      </c>
      <c r="G319" s="3" t="n">
        <f aca="false">Model_Data!O318</f>
        <v>1</v>
      </c>
      <c r="H319" s="3" t="n">
        <f aca="false">Model_Data!S318</f>
        <v>712375.77</v>
      </c>
    </row>
    <row r="320" customFormat="false" ht="15" hidden="false" customHeight="true" outlineLevel="0" collapsed="false">
      <c r="A320" s="3" t="n">
        <f aca="false">Model_Data!F319</f>
        <v>9967</v>
      </c>
      <c r="B320" s="3" t="n">
        <f aca="false">Model_Data!E319</f>
        <v>66456.28</v>
      </c>
      <c r="C320" s="3" t="n">
        <f aca="false">Model_Data!I319</f>
        <v>94.7</v>
      </c>
      <c r="D320" s="3" t="n">
        <f aca="false">Model_Data!G319</f>
        <v>0.108</v>
      </c>
      <c r="E320" s="3" t="n">
        <f aca="false">Model_Data!M319</f>
        <v>0</v>
      </c>
      <c r="F320" s="3" t="n">
        <f aca="false">Model_Data!N319</f>
        <v>0</v>
      </c>
      <c r="G320" s="3" t="n">
        <f aca="false">Model_Data!O319</f>
        <v>1</v>
      </c>
      <c r="H320" s="3" t="n">
        <f aca="false">Model_Data!S319</f>
        <v>844710.67</v>
      </c>
    </row>
    <row r="321" customFormat="false" ht="15" hidden="false" customHeight="true" outlineLevel="0" collapsed="false">
      <c r="A321" s="3" t="n">
        <f aca="false">Model_Data!F320</f>
        <v>5639</v>
      </c>
      <c r="B321" s="3" t="n">
        <f aca="false">Model_Data!E320</f>
        <v>76614.32</v>
      </c>
      <c r="C321" s="3" t="n">
        <f aca="false">Model_Data!I320</f>
        <v>92.9</v>
      </c>
      <c r="D321" s="3" t="n">
        <f aca="false">Model_Data!G320</f>
        <v>0.174</v>
      </c>
      <c r="E321" s="3" t="n">
        <f aca="false">Model_Data!M320</f>
        <v>0</v>
      </c>
      <c r="F321" s="3" t="n">
        <f aca="false">Model_Data!N320</f>
        <v>0</v>
      </c>
      <c r="G321" s="3" t="n">
        <f aca="false">Model_Data!O320</f>
        <v>1</v>
      </c>
      <c r="H321" s="3" t="n">
        <f aca="false">Model_Data!S320</f>
        <v>620264.2</v>
      </c>
    </row>
    <row r="322" customFormat="false" ht="15" hidden="false" customHeight="true" outlineLevel="0" collapsed="false">
      <c r="A322" s="3" t="n">
        <f aca="false">Model_Data!F321</f>
        <v>3466</v>
      </c>
      <c r="B322" s="3" t="n">
        <f aca="false">Model_Data!E321</f>
        <v>24088.06</v>
      </c>
      <c r="C322" s="3" t="n">
        <f aca="false">Model_Data!I321</f>
        <v>88</v>
      </c>
      <c r="D322" s="3" t="n">
        <f aca="false">Model_Data!G321</f>
        <v>0</v>
      </c>
      <c r="E322" s="3" t="n">
        <f aca="false">Model_Data!M321</f>
        <v>0</v>
      </c>
      <c r="F322" s="3" t="n">
        <f aca="false">Model_Data!N321</f>
        <v>0</v>
      </c>
      <c r="G322" s="3" t="n">
        <f aca="false">Model_Data!O321</f>
        <v>1</v>
      </c>
      <c r="H322" s="3" t="n">
        <f aca="false">Model_Data!S321</f>
        <v>536845.42</v>
      </c>
    </row>
    <row r="323" customFormat="false" ht="15" hidden="false" customHeight="true" outlineLevel="0" collapsed="false">
      <c r="A323" s="3" t="n">
        <f aca="false">Model_Data!F322</f>
        <v>7775</v>
      </c>
      <c r="B323" s="3" t="n">
        <f aca="false">Model_Data!E322</f>
        <v>81902.58</v>
      </c>
      <c r="C323" s="3" t="n">
        <f aca="false">Model_Data!I322</f>
        <v>85.2</v>
      </c>
      <c r="D323" s="3" t="n">
        <f aca="false">Model_Data!G322</f>
        <v>0.215</v>
      </c>
      <c r="E323" s="3" t="n">
        <f aca="false">Model_Data!M322</f>
        <v>0</v>
      </c>
      <c r="F323" s="3" t="n">
        <f aca="false">Model_Data!N322</f>
        <v>0</v>
      </c>
      <c r="G323" s="3" t="n">
        <f aca="false">Model_Data!O322</f>
        <v>1</v>
      </c>
      <c r="H323" s="3" t="n">
        <f aca="false">Model_Data!S322</f>
        <v>726776.22</v>
      </c>
    </row>
    <row r="324" customFormat="false" ht="15" hidden="false" customHeight="true" outlineLevel="0" collapsed="false">
      <c r="A324" s="3" t="n">
        <f aca="false">Model_Data!F323</f>
        <v>5317</v>
      </c>
      <c r="B324" s="3" t="n">
        <f aca="false">Model_Data!E323</f>
        <v>40553.11</v>
      </c>
      <c r="C324" s="3" t="n">
        <f aca="false">Model_Data!I323</f>
        <v>84.3</v>
      </c>
      <c r="D324" s="3" t="n">
        <f aca="false">Model_Data!G323</f>
        <v>0.165</v>
      </c>
      <c r="E324" s="3" t="n">
        <f aca="false">Model_Data!M323</f>
        <v>0</v>
      </c>
      <c r="F324" s="3" t="n">
        <f aca="false">Model_Data!N323</f>
        <v>0</v>
      </c>
      <c r="G324" s="3" t="n">
        <f aca="false">Model_Data!O323</f>
        <v>1</v>
      </c>
      <c r="H324" s="3" t="n">
        <f aca="false">Model_Data!S323</f>
        <v>559660.84</v>
      </c>
    </row>
  </sheetData>
  <mergeCells count="3">
    <mergeCell ref="A2:M2"/>
    <mergeCell ref="K4:R4"/>
    <mergeCell ref="K5:R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8" min="7" style="1" width="14"/>
    <col collapsed="false" customWidth="true" hidden="false" outlineLevel="0" max="14" min="10" style="1" width="14"/>
  </cols>
  <sheetData>
    <row r="1" customFormat="false" ht="15.75" hidden="false" customHeight="true" outlineLevel="0" collapsed="false">
      <c r="A1" s="15" t="s">
        <v>148</v>
      </c>
    </row>
    <row r="2" customFormat="false" ht="15" hidden="false" customHeight="true" outlineLevel="0" collapsed="false">
      <c r="A2" s="6" t="s">
        <v>149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A4" s="2" t="s">
        <v>0</v>
      </c>
      <c r="B4" s="2" t="s">
        <v>1</v>
      </c>
      <c r="C4" s="2" t="s">
        <v>2</v>
      </c>
      <c r="D4" s="2" t="s">
        <v>3</v>
      </c>
      <c r="E4" s="2" t="s">
        <v>12</v>
      </c>
      <c r="F4" s="2" t="s">
        <v>150</v>
      </c>
      <c r="G4" s="2" t="s">
        <v>151</v>
      </c>
      <c r="H4" s="2" t="s">
        <v>152</v>
      </c>
      <c r="J4" s="19" t="s">
        <v>153</v>
      </c>
      <c r="K4" s="19"/>
      <c r="L4" s="19"/>
      <c r="M4" s="19"/>
      <c r="N4" s="19"/>
    </row>
    <row r="5" customFormat="false" ht="15" hidden="false" customHeight="true" outlineLevel="0" collapsed="false">
      <c r="A5" s="3" t="str">
        <f aca="false">Model_Data!A4</f>
        <v>STR-1001</v>
      </c>
      <c r="B5" s="4" t="n">
        <f aca="false">Model_Data!B4</f>
        <v>45658</v>
      </c>
      <c r="C5" s="3" t="str">
        <f aca="false">Model_Data!C4</f>
        <v>East</v>
      </c>
      <c r="D5" s="3" t="str">
        <f aca="false">Model_Data!D4</f>
        <v>Residential</v>
      </c>
      <c r="E5" s="20" t="n">
        <f aca="false">Multiple_Regression!H5</f>
        <v>658832.62</v>
      </c>
      <c r="F5" s="20" t="n">
        <f aca="false">Multiple_Regression!$L$12+Multiple_Regression!$L$13*Multiple_Regression!A5+Multiple_Regression!$L$14*Multiple_Regression!B5+Multiple_Regression!$L$15*Multiple_Regression!C5+Multiple_Regression!$L$16*Multiple_Regression!D5+Multiple_Regression!$L$17*Multiple_Regression!E5+Multiple_Regression!$L$18*Multiple_Regression!F5+Multiple_Regression!$L$19*Multiple_Regression!G5</f>
        <v>704472.703785832</v>
      </c>
      <c r="G5" s="20" t="n">
        <f aca="false">E5-F5</f>
        <v>-45640.083785832</v>
      </c>
      <c r="H5" s="20" t="n">
        <f aca="false">ABS(G5)</f>
        <v>45640.083785832</v>
      </c>
      <c r="J5" s="2" t="s">
        <v>154</v>
      </c>
      <c r="K5" s="2" t="s">
        <v>0</v>
      </c>
      <c r="L5" s="2" t="s">
        <v>2</v>
      </c>
      <c r="M5" s="2" t="s">
        <v>3</v>
      </c>
      <c r="N5" s="2" t="s">
        <v>155</v>
      </c>
    </row>
    <row r="6" customFormat="false" ht="15" hidden="false" customHeight="true" outlineLevel="0" collapsed="false">
      <c r="A6" s="3" t="str">
        <f aca="false">Model_Data!A5</f>
        <v>STR-1001</v>
      </c>
      <c r="B6" s="4" t="n">
        <f aca="false">Model_Data!B5</f>
        <v>45689</v>
      </c>
      <c r="C6" s="3" t="str">
        <f aca="false">Model_Data!C5</f>
        <v>East</v>
      </c>
      <c r="D6" s="3" t="str">
        <f aca="false">Model_Data!D5</f>
        <v>Residential</v>
      </c>
      <c r="E6" s="20" t="n">
        <f aca="false">Multiple_Regression!H6</f>
        <v>634436</v>
      </c>
      <c r="F6" s="20" t="n">
        <f aca="false">Multiple_Regression!$L$12+Multiple_Regression!$L$13*Multiple_Regression!A6+Multiple_Regression!$L$14*Multiple_Regression!B6+Multiple_Regression!$L$15*Multiple_Regression!C6+Multiple_Regression!$L$16*Multiple_Regression!D6+Multiple_Regression!$L$17*Multiple_Regression!E6+Multiple_Regression!$L$18*Multiple_Regression!F6+Multiple_Regression!$L$19*Multiple_Regression!G6</f>
        <v>700530.922409688</v>
      </c>
      <c r="G6" s="20" t="n">
        <f aca="false">E6-F6</f>
        <v>-66094.9224096882</v>
      </c>
      <c r="H6" s="20" t="n">
        <f aca="false">ABS(G6)</f>
        <v>66094.9224096882</v>
      </c>
      <c r="J6" s="3" t="n">
        <v>1</v>
      </c>
      <c r="K6" s="3" t="str">
        <f aca="false">INDEX($A$5:$A$324,MATCH(N6,$G$5:$G$324,0))</f>
        <v>STR-1030</v>
      </c>
      <c r="L6" s="3" t="str">
        <f aca="false">INDEX($C$5:$C$324,MATCH(N6,$G$5:$G$324,0))</f>
        <v>West</v>
      </c>
      <c r="M6" s="3" t="str">
        <f aca="false">INDEX($D$5:$D$324,MATCH(N6,$G$5:$G$324,0))</f>
        <v>Residential</v>
      </c>
      <c r="N6" s="20" t="n">
        <f aca="false">LARGE($G$5:$G$324,1)</f>
        <v>105899.44579317</v>
      </c>
    </row>
    <row r="7" customFormat="false" ht="15" hidden="false" customHeight="true" outlineLevel="0" collapsed="false">
      <c r="A7" s="3" t="str">
        <f aca="false">Model_Data!A6</f>
        <v>STR-1001</v>
      </c>
      <c r="B7" s="4" t="n">
        <f aca="false">Model_Data!B6</f>
        <v>45717</v>
      </c>
      <c r="C7" s="3" t="str">
        <f aca="false">Model_Data!C6</f>
        <v>East</v>
      </c>
      <c r="D7" s="3" t="str">
        <f aca="false">Model_Data!D6</f>
        <v>Residential</v>
      </c>
      <c r="E7" s="20" t="n">
        <f aca="false">Multiple_Regression!H7</f>
        <v>678722.06</v>
      </c>
      <c r="F7" s="20" t="n">
        <f aca="false">Multiple_Regression!$L$12+Multiple_Regression!$L$13*Multiple_Regression!A7+Multiple_Regression!$L$14*Multiple_Regression!B7+Multiple_Regression!$L$15*Multiple_Regression!C7+Multiple_Regression!$L$16*Multiple_Regression!D7+Multiple_Regression!$L$17*Multiple_Regression!E7+Multiple_Regression!$L$18*Multiple_Regression!F7+Multiple_Regression!$L$19*Multiple_Regression!G7</f>
        <v>753228.652838525</v>
      </c>
      <c r="G7" s="20" t="n">
        <f aca="false">E7-F7</f>
        <v>-74506.5928385248</v>
      </c>
      <c r="H7" s="20" t="n">
        <f aca="false">ABS(G7)</f>
        <v>74506.5928385248</v>
      </c>
      <c r="J7" s="3" t="n">
        <v>2</v>
      </c>
      <c r="K7" s="3" t="str">
        <f aca="false">INDEX($A$5:$A$324,MATCH(N7,$G$5:$G$324,0))</f>
        <v>STR-1073</v>
      </c>
      <c r="L7" s="3" t="str">
        <f aca="false">INDEX($C$5:$C$324,MATCH(N7,$G$5:$G$324,0))</f>
        <v>East</v>
      </c>
      <c r="M7" s="3" t="str">
        <f aca="false">INDEX($D$5:$D$324,MATCH(N7,$G$5:$G$324,0))</f>
        <v>Residential</v>
      </c>
      <c r="N7" s="20" t="n">
        <f aca="false">LARGE($G$5:$G$324,2)</f>
        <v>99623.4102760244</v>
      </c>
    </row>
    <row r="8" customFormat="false" ht="15" hidden="false" customHeight="true" outlineLevel="0" collapsed="false">
      <c r="A8" s="3" t="str">
        <f aca="false">Model_Data!A7</f>
        <v>STR-1001</v>
      </c>
      <c r="B8" s="4" t="n">
        <f aca="false">Model_Data!B7</f>
        <v>45748</v>
      </c>
      <c r="C8" s="3" t="str">
        <f aca="false">Model_Data!C7</f>
        <v>East</v>
      </c>
      <c r="D8" s="3" t="str">
        <f aca="false">Model_Data!D7</f>
        <v>Residential</v>
      </c>
      <c r="E8" s="20" t="n">
        <f aca="false">Multiple_Regression!H8</f>
        <v>658920.3</v>
      </c>
      <c r="F8" s="20" t="n">
        <f aca="false">Multiple_Regression!$L$12+Multiple_Regression!$L$13*Multiple_Regression!A8+Multiple_Regression!$L$14*Multiple_Regression!B8+Multiple_Regression!$L$15*Multiple_Regression!C8+Multiple_Regression!$L$16*Multiple_Regression!D8+Multiple_Regression!$L$17*Multiple_Regression!E8+Multiple_Regression!$L$18*Multiple_Regression!F8+Multiple_Regression!$L$19*Multiple_Regression!G8</f>
        <v>756529.955380869</v>
      </c>
      <c r="G8" s="20" t="n">
        <f aca="false">E8-F8</f>
        <v>-97609.6553808685</v>
      </c>
      <c r="H8" s="20" t="n">
        <f aca="false">ABS(G8)</f>
        <v>97609.6553808685</v>
      </c>
      <c r="J8" s="3" t="n">
        <v>3</v>
      </c>
      <c r="K8" s="3" t="str">
        <f aca="false">INDEX($A$5:$A$324,MATCH(N8,$G$5:$G$324,0))</f>
        <v>STR-1032</v>
      </c>
      <c r="L8" s="3" t="str">
        <f aca="false">INDEX($C$5:$C$324,MATCH(N8,$G$5:$G$324,0))</f>
        <v>South</v>
      </c>
      <c r="M8" s="3" t="str">
        <f aca="false">INDEX($D$5:$D$324,MATCH(N8,$G$5:$G$324,0))</f>
        <v>High Street</v>
      </c>
      <c r="N8" s="20" t="n">
        <f aca="false">LARGE($G$5:$G$324,3)</f>
        <v>98771.441020534</v>
      </c>
    </row>
    <row r="9" customFormat="false" ht="15" hidden="false" customHeight="true" outlineLevel="0" collapsed="false">
      <c r="A9" s="3" t="str">
        <f aca="false">Model_Data!A8</f>
        <v>STR-1002</v>
      </c>
      <c r="B9" s="4" t="n">
        <f aca="false">Model_Data!B8</f>
        <v>45658</v>
      </c>
      <c r="C9" s="3" t="str">
        <f aca="false">Model_Data!C8</f>
        <v>East</v>
      </c>
      <c r="D9" s="3" t="str">
        <f aca="false">Model_Data!D8</f>
        <v>High Street</v>
      </c>
      <c r="E9" s="20" t="n">
        <f aca="false">Multiple_Regression!H9</f>
        <v>741341.44</v>
      </c>
      <c r="F9" s="20" t="n">
        <f aca="false">Multiple_Regression!$L$12+Multiple_Regression!$L$13*Multiple_Regression!A9+Multiple_Regression!$L$14*Multiple_Regression!B9+Multiple_Regression!$L$15*Multiple_Regression!C9+Multiple_Regression!$L$16*Multiple_Regression!D9+Multiple_Regression!$L$17*Multiple_Regression!E9+Multiple_Regression!$L$18*Multiple_Regression!F9+Multiple_Regression!$L$19*Multiple_Regression!G9</f>
        <v>793970.976806589</v>
      </c>
      <c r="G9" s="20" t="n">
        <f aca="false">E9-F9</f>
        <v>-52629.5368065892</v>
      </c>
      <c r="H9" s="20" t="n">
        <f aca="false">ABS(G9)</f>
        <v>52629.5368065892</v>
      </c>
      <c r="J9" s="3" t="n">
        <v>4</v>
      </c>
      <c r="K9" s="3" t="str">
        <f aca="false">INDEX($A$5:$A$324,MATCH(N9,$G$5:$G$324,0))</f>
        <v>STR-1050</v>
      </c>
      <c r="L9" s="3" t="str">
        <f aca="false">INDEX($C$5:$C$324,MATCH(N9,$G$5:$G$324,0))</f>
        <v>North</v>
      </c>
      <c r="M9" s="3" t="str">
        <f aca="false">INDEX($D$5:$D$324,MATCH(N9,$G$5:$G$324,0))</f>
        <v>Residential</v>
      </c>
      <c r="N9" s="20" t="n">
        <f aca="false">LARGE($G$5:$G$324,4)</f>
        <v>97246.4928888072</v>
      </c>
    </row>
    <row r="10" customFormat="false" ht="15" hidden="false" customHeight="true" outlineLevel="0" collapsed="false">
      <c r="A10" s="3" t="str">
        <f aca="false">Model_Data!A9</f>
        <v>STR-1002</v>
      </c>
      <c r="B10" s="4" t="n">
        <f aca="false">Model_Data!B9</f>
        <v>45689</v>
      </c>
      <c r="C10" s="3" t="str">
        <f aca="false">Model_Data!C9</f>
        <v>East</v>
      </c>
      <c r="D10" s="3" t="str">
        <f aca="false">Model_Data!D9</f>
        <v>High Street</v>
      </c>
      <c r="E10" s="20" t="n">
        <f aca="false">Multiple_Regression!H10</f>
        <v>761835.34</v>
      </c>
      <c r="F10" s="20" t="n">
        <f aca="false">Multiple_Regression!$L$12+Multiple_Regression!$L$13*Multiple_Regression!A10+Multiple_Regression!$L$14*Multiple_Regression!B10+Multiple_Regression!$L$15*Multiple_Regression!C10+Multiple_Regression!$L$16*Multiple_Regression!D10+Multiple_Regression!$L$17*Multiple_Regression!E10+Multiple_Regression!$L$18*Multiple_Regression!F10+Multiple_Regression!$L$19*Multiple_Regression!G10</f>
        <v>788194.055891361</v>
      </c>
      <c r="G10" s="20" t="n">
        <f aca="false">E10-F10</f>
        <v>-26358.7158913614</v>
      </c>
      <c r="H10" s="20" t="n">
        <f aca="false">ABS(G10)</f>
        <v>26358.7158913614</v>
      </c>
      <c r="J10" s="3" t="n">
        <v>5</v>
      </c>
      <c r="K10" s="3" t="str">
        <f aca="false">INDEX($A$5:$A$324,MATCH(N10,$G$5:$G$324,0))</f>
        <v>STR-1028</v>
      </c>
      <c r="L10" s="3" t="str">
        <f aca="false">INDEX($C$5:$C$324,MATCH(N10,$G$5:$G$324,0))</f>
        <v>East</v>
      </c>
      <c r="M10" s="3" t="str">
        <f aca="false">INDEX($D$5:$D$324,MATCH(N10,$G$5:$G$324,0))</f>
        <v>Mall</v>
      </c>
      <c r="N10" s="20" t="n">
        <f aca="false">LARGE($G$5:$G$324,5)</f>
        <v>95145.3238065299</v>
      </c>
    </row>
    <row r="11" customFormat="false" ht="15" hidden="false" customHeight="true" outlineLevel="0" collapsed="false">
      <c r="A11" s="3" t="str">
        <f aca="false">Model_Data!A10</f>
        <v>STR-1002</v>
      </c>
      <c r="B11" s="4" t="n">
        <f aca="false">Model_Data!B10</f>
        <v>45717</v>
      </c>
      <c r="C11" s="3" t="str">
        <f aca="false">Model_Data!C10</f>
        <v>East</v>
      </c>
      <c r="D11" s="3" t="str">
        <f aca="false">Model_Data!D10</f>
        <v>High Street</v>
      </c>
      <c r="E11" s="20" t="n">
        <f aca="false">Multiple_Regression!H11</f>
        <v>806615.54</v>
      </c>
      <c r="F11" s="20" t="n">
        <f aca="false">Multiple_Regression!$L$12+Multiple_Regression!$L$13*Multiple_Regression!A11+Multiple_Regression!$L$14*Multiple_Regression!B11+Multiple_Regression!$L$15*Multiple_Regression!C11+Multiple_Regression!$L$16*Multiple_Regression!D11+Multiple_Regression!$L$17*Multiple_Regression!E11+Multiple_Regression!$L$18*Multiple_Regression!F11+Multiple_Regression!$L$19*Multiple_Regression!G11</f>
        <v>796669.955349177</v>
      </c>
      <c r="G11" s="20" t="n">
        <f aca="false">E11-F11</f>
        <v>9945.58465082303</v>
      </c>
      <c r="H11" s="20" t="n">
        <f aca="false">ABS(G11)</f>
        <v>9945.58465082303</v>
      </c>
    </row>
    <row r="12" customFormat="false" ht="15" hidden="false" customHeight="true" outlineLevel="0" collapsed="false">
      <c r="A12" s="3" t="str">
        <f aca="false">Model_Data!A11</f>
        <v>STR-1002</v>
      </c>
      <c r="B12" s="4" t="n">
        <f aca="false">Model_Data!B11</f>
        <v>45748</v>
      </c>
      <c r="C12" s="3" t="str">
        <f aca="false">Model_Data!C11</f>
        <v>East</v>
      </c>
      <c r="D12" s="3" t="str">
        <f aca="false">Model_Data!D11</f>
        <v>High Street</v>
      </c>
      <c r="E12" s="20" t="n">
        <f aca="false">Multiple_Regression!H12</f>
        <v>850164.26</v>
      </c>
      <c r="F12" s="20" t="n">
        <f aca="false">Multiple_Regression!$L$12+Multiple_Regression!$L$13*Multiple_Regression!A12+Multiple_Regression!$L$14*Multiple_Regression!B12+Multiple_Regression!$L$15*Multiple_Regression!C12+Multiple_Regression!$L$16*Multiple_Regression!D12+Multiple_Regression!$L$17*Multiple_Regression!E12+Multiple_Regression!$L$18*Multiple_Regression!F12+Multiple_Regression!$L$19*Multiple_Regression!G12</f>
        <v>784174.589946934</v>
      </c>
      <c r="G12" s="20" t="n">
        <f aca="false">E12-F12</f>
        <v>65989.6700530662</v>
      </c>
      <c r="H12" s="20" t="n">
        <f aca="false">ABS(G12)</f>
        <v>65989.6700530662</v>
      </c>
    </row>
    <row r="13" customFormat="false" ht="15" hidden="false" customHeight="true" outlineLevel="0" collapsed="false">
      <c r="A13" s="3" t="str">
        <f aca="false">Model_Data!A12</f>
        <v>STR-1003</v>
      </c>
      <c r="B13" s="4" t="n">
        <f aca="false">Model_Data!B12</f>
        <v>45658</v>
      </c>
      <c r="C13" s="3" t="str">
        <f aca="false">Model_Data!C12</f>
        <v>North</v>
      </c>
      <c r="D13" s="3" t="str">
        <f aca="false">Model_Data!D12</f>
        <v>Airport</v>
      </c>
      <c r="E13" s="20" t="n">
        <f aca="false">Multiple_Regression!H13</f>
        <v>930581.7</v>
      </c>
      <c r="F13" s="20" t="n">
        <f aca="false">Multiple_Regression!$L$12+Multiple_Regression!$L$13*Multiple_Regression!A13+Multiple_Regression!$L$14*Multiple_Regression!B13+Multiple_Regression!$L$15*Multiple_Regression!C13+Multiple_Regression!$L$16*Multiple_Regression!D13+Multiple_Regression!$L$17*Multiple_Regression!E13+Multiple_Regression!$L$18*Multiple_Regression!F13+Multiple_Regression!$L$19*Multiple_Regression!G13</f>
        <v>865386.513574139</v>
      </c>
      <c r="G13" s="20" t="n">
        <f aca="false">E13-F13</f>
        <v>65195.1864258607</v>
      </c>
      <c r="H13" s="20" t="n">
        <f aca="false">ABS(G13)</f>
        <v>65195.1864258607</v>
      </c>
      <c r="J13" s="19" t="s">
        <v>156</v>
      </c>
      <c r="K13" s="19"/>
      <c r="L13" s="19"/>
      <c r="M13" s="19"/>
      <c r="N13" s="19"/>
    </row>
    <row r="14" customFormat="false" ht="15" hidden="false" customHeight="true" outlineLevel="0" collapsed="false">
      <c r="A14" s="3" t="str">
        <f aca="false">Model_Data!A13</f>
        <v>STR-1003</v>
      </c>
      <c r="B14" s="4" t="n">
        <f aca="false">Model_Data!B13</f>
        <v>45689</v>
      </c>
      <c r="C14" s="3" t="str">
        <f aca="false">Model_Data!C13</f>
        <v>North</v>
      </c>
      <c r="D14" s="3" t="str">
        <f aca="false">Model_Data!D13</f>
        <v>Airport</v>
      </c>
      <c r="E14" s="20" t="n">
        <f aca="false">Multiple_Regression!H14</f>
        <v>779010.94</v>
      </c>
      <c r="F14" s="20" t="n">
        <f aca="false">Multiple_Regression!$L$12+Multiple_Regression!$L$13*Multiple_Regression!A14+Multiple_Regression!$L$14*Multiple_Regression!B14+Multiple_Regression!$L$15*Multiple_Regression!C14+Multiple_Regression!$L$16*Multiple_Regression!D14+Multiple_Regression!$L$17*Multiple_Regression!E14+Multiple_Regression!$L$18*Multiple_Regression!F14+Multiple_Regression!$L$19*Multiple_Regression!G14</f>
        <v>798799.0685916</v>
      </c>
      <c r="G14" s="20" t="n">
        <f aca="false">E14-F14</f>
        <v>-19788.1285915998</v>
      </c>
      <c r="H14" s="20" t="n">
        <f aca="false">ABS(G14)</f>
        <v>19788.1285915998</v>
      </c>
      <c r="J14" s="2" t="s">
        <v>154</v>
      </c>
      <c r="K14" s="2" t="s">
        <v>0</v>
      </c>
      <c r="L14" s="2" t="s">
        <v>2</v>
      </c>
      <c r="M14" s="2" t="s">
        <v>3</v>
      </c>
      <c r="N14" s="2" t="s">
        <v>155</v>
      </c>
    </row>
    <row r="15" customFormat="false" ht="15" hidden="false" customHeight="true" outlineLevel="0" collapsed="false">
      <c r="A15" s="3" t="str">
        <f aca="false">Model_Data!A14</f>
        <v>STR-1003</v>
      </c>
      <c r="B15" s="4" t="n">
        <f aca="false">Model_Data!B14</f>
        <v>45717</v>
      </c>
      <c r="C15" s="3" t="str">
        <f aca="false">Model_Data!C14</f>
        <v>North</v>
      </c>
      <c r="D15" s="3" t="str">
        <f aca="false">Model_Data!D14</f>
        <v>Airport</v>
      </c>
      <c r="E15" s="20" t="n">
        <f aca="false">Multiple_Regression!H15</f>
        <v>723060.76</v>
      </c>
      <c r="F15" s="20" t="n">
        <f aca="false">Multiple_Regression!$L$12+Multiple_Regression!$L$13*Multiple_Regression!A15+Multiple_Regression!$L$14*Multiple_Regression!B15+Multiple_Regression!$L$15*Multiple_Regression!C15+Multiple_Regression!$L$16*Multiple_Regression!D15+Multiple_Regression!$L$17*Multiple_Regression!E15+Multiple_Regression!$L$18*Multiple_Regression!F15+Multiple_Regression!$L$19*Multiple_Regression!G15</f>
        <v>760003.90291082</v>
      </c>
      <c r="G15" s="20" t="n">
        <f aca="false">E15-F15</f>
        <v>-36943.1429108195</v>
      </c>
      <c r="H15" s="20" t="n">
        <f aca="false">ABS(G15)</f>
        <v>36943.1429108195</v>
      </c>
      <c r="J15" s="3" t="n">
        <v>1</v>
      </c>
      <c r="K15" s="3" t="str">
        <f aca="false">INDEX($A$5:$A$324,MATCH(N15,$G$5:$G$324,0))</f>
        <v>STR-1017</v>
      </c>
      <c r="L15" s="3" t="str">
        <f aca="false">INDEX($C$5:$C$324,MATCH(N15,$G$5:$G$324,0))</f>
        <v>West</v>
      </c>
      <c r="M15" s="3" t="str">
        <f aca="false">INDEX($D$5:$D$324,MATCH(N15,$G$5:$G$324,0))</f>
        <v>High Street</v>
      </c>
      <c r="N15" s="20" t="n">
        <f aca="false">SMALL($G$5:$G$324,1)</f>
        <v>-159241.229586429</v>
      </c>
    </row>
    <row r="16" customFormat="false" ht="15" hidden="false" customHeight="true" outlineLevel="0" collapsed="false">
      <c r="A16" s="3" t="str">
        <f aca="false">Model_Data!A15</f>
        <v>STR-1003</v>
      </c>
      <c r="B16" s="4" t="n">
        <f aca="false">Model_Data!B15</f>
        <v>45748</v>
      </c>
      <c r="C16" s="3" t="str">
        <f aca="false">Model_Data!C15</f>
        <v>North</v>
      </c>
      <c r="D16" s="3" t="str">
        <f aca="false">Model_Data!D15</f>
        <v>Airport</v>
      </c>
      <c r="E16" s="20" t="n">
        <f aca="false">Multiple_Regression!H16</f>
        <v>910791.94</v>
      </c>
      <c r="F16" s="20" t="n">
        <f aca="false">Multiple_Regression!$L$12+Multiple_Regression!$L$13*Multiple_Regression!A16+Multiple_Regression!$L$14*Multiple_Regression!B16+Multiple_Regression!$L$15*Multiple_Regression!C16+Multiple_Regression!$L$16*Multiple_Regression!D16+Multiple_Regression!$L$17*Multiple_Regression!E16+Multiple_Regression!$L$18*Multiple_Regression!F16+Multiple_Regression!$L$19*Multiple_Regression!G16</f>
        <v>871984.851349465</v>
      </c>
      <c r="G16" s="20" t="n">
        <f aca="false">E16-F16</f>
        <v>38807.0886505352</v>
      </c>
      <c r="H16" s="20" t="n">
        <f aca="false">ABS(G16)</f>
        <v>38807.0886505352</v>
      </c>
      <c r="J16" s="3" t="n">
        <v>2</v>
      </c>
      <c r="K16" s="3" t="str">
        <f aca="false">INDEX($A$5:$A$324,MATCH(N16,$G$5:$G$324,0))</f>
        <v>STR-1023</v>
      </c>
      <c r="L16" s="3" t="str">
        <f aca="false">INDEX($C$5:$C$324,MATCH(N16,$G$5:$G$324,0))</f>
        <v>South</v>
      </c>
      <c r="M16" s="3" t="str">
        <f aca="false">INDEX($D$5:$D$324,MATCH(N16,$G$5:$G$324,0))</f>
        <v>Mall</v>
      </c>
      <c r="N16" s="20" t="n">
        <f aca="false">SMALL($G$5:$G$324,2)</f>
        <v>-128265.261439066</v>
      </c>
    </row>
    <row r="17" customFormat="false" ht="15" hidden="false" customHeight="true" outlineLevel="0" collapsed="false">
      <c r="A17" s="3" t="str">
        <f aca="false">Model_Data!A16</f>
        <v>STR-1004</v>
      </c>
      <c r="B17" s="4" t="n">
        <f aca="false">Model_Data!B16</f>
        <v>45658</v>
      </c>
      <c r="C17" s="3" t="str">
        <f aca="false">Model_Data!C16</f>
        <v>East</v>
      </c>
      <c r="D17" s="3" t="str">
        <f aca="false">Model_Data!D16</f>
        <v>Residential</v>
      </c>
      <c r="E17" s="20" t="n">
        <f aca="false">Multiple_Regression!H17</f>
        <v>922168.6</v>
      </c>
      <c r="F17" s="20" t="n">
        <f aca="false">Multiple_Regression!$L$12+Multiple_Regression!$L$13*Multiple_Regression!A17+Multiple_Regression!$L$14*Multiple_Regression!B17+Multiple_Regression!$L$15*Multiple_Regression!C17+Multiple_Regression!$L$16*Multiple_Regression!D17+Multiple_Regression!$L$17*Multiple_Regression!E17+Multiple_Regression!$L$18*Multiple_Regression!F17+Multiple_Regression!$L$19*Multiple_Regression!G17</f>
        <v>872478.777954953</v>
      </c>
      <c r="G17" s="20" t="n">
        <f aca="false">E17-F17</f>
        <v>49689.8220450474</v>
      </c>
      <c r="H17" s="20" t="n">
        <f aca="false">ABS(G17)</f>
        <v>49689.8220450474</v>
      </c>
      <c r="J17" s="3" t="n">
        <v>3</v>
      </c>
      <c r="K17" s="3" t="str">
        <f aca="false">INDEX($A$5:$A$324,MATCH(N17,$G$5:$G$324,0))</f>
        <v>STR-1012</v>
      </c>
      <c r="L17" s="3" t="str">
        <f aca="false">INDEX($C$5:$C$324,MATCH(N17,$G$5:$G$324,0))</f>
        <v>West</v>
      </c>
      <c r="M17" s="3" t="str">
        <f aca="false">INDEX($D$5:$D$324,MATCH(N17,$G$5:$G$324,0))</f>
        <v>Residential</v>
      </c>
      <c r="N17" s="20" t="n">
        <f aca="false">SMALL($G$5:$G$324,3)</f>
        <v>-121078.891513569</v>
      </c>
    </row>
    <row r="18" customFormat="false" ht="15" hidden="false" customHeight="true" outlineLevel="0" collapsed="false">
      <c r="A18" s="3" t="str">
        <f aca="false">Model_Data!A17</f>
        <v>STR-1004</v>
      </c>
      <c r="B18" s="4" t="n">
        <f aca="false">Model_Data!B17</f>
        <v>45689</v>
      </c>
      <c r="C18" s="3" t="str">
        <f aca="false">Model_Data!C17</f>
        <v>East</v>
      </c>
      <c r="D18" s="3" t="str">
        <f aca="false">Model_Data!D17</f>
        <v>Residential</v>
      </c>
      <c r="E18" s="20" t="n">
        <f aca="false">Multiple_Regression!H18</f>
        <v>726606.28</v>
      </c>
      <c r="F18" s="20" t="n">
        <f aca="false">Multiple_Regression!$L$12+Multiple_Regression!$L$13*Multiple_Regression!A18+Multiple_Regression!$L$14*Multiple_Regression!B18+Multiple_Regression!$L$15*Multiple_Regression!C18+Multiple_Regression!$L$16*Multiple_Regression!D18+Multiple_Regression!$L$17*Multiple_Regression!E18+Multiple_Regression!$L$18*Multiple_Regression!F18+Multiple_Regression!$L$19*Multiple_Regression!G18</f>
        <v>769936.364546321</v>
      </c>
      <c r="G18" s="20" t="n">
        <f aca="false">E18-F18</f>
        <v>-43330.0845463207</v>
      </c>
      <c r="H18" s="20" t="n">
        <f aca="false">ABS(G18)</f>
        <v>43330.0845463207</v>
      </c>
      <c r="J18" s="3" t="n">
        <v>4</v>
      </c>
      <c r="K18" s="3" t="str">
        <f aca="false">INDEX($A$5:$A$324,MATCH(N18,$G$5:$G$324,0))</f>
        <v>STR-1007</v>
      </c>
      <c r="L18" s="3" t="str">
        <f aca="false">INDEX($C$5:$C$324,MATCH(N18,$G$5:$G$324,0))</f>
        <v>West</v>
      </c>
      <c r="M18" s="3" t="str">
        <f aca="false">INDEX($D$5:$D$324,MATCH(N18,$G$5:$G$324,0))</f>
        <v>Mall</v>
      </c>
      <c r="N18" s="20" t="n">
        <f aca="false">SMALL($G$5:$G$324,4)</f>
        <v>-99820.5412077612</v>
      </c>
    </row>
    <row r="19" customFormat="false" ht="15" hidden="false" customHeight="true" outlineLevel="0" collapsed="false">
      <c r="A19" s="3" t="str">
        <f aca="false">Model_Data!A18</f>
        <v>STR-1004</v>
      </c>
      <c r="B19" s="4" t="n">
        <f aca="false">Model_Data!B18</f>
        <v>45717</v>
      </c>
      <c r="C19" s="3" t="str">
        <f aca="false">Model_Data!C18</f>
        <v>East</v>
      </c>
      <c r="D19" s="3" t="str">
        <f aca="false">Model_Data!D18</f>
        <v>Residential</v>
      </c>
      <c r="E19" s="20" t="n">
        <f aca="false">Multiple_Regression!H19</f>
        <v>746501.09</v>
      </c>
      <c r="F19" s="20" t="n">
        <f aca="false">Multiple_Regression!$L$12+Multiple_Regression!$L$13*Multiple_Regression!A19+Multiple_Regression!$L$14*Multiple_Regression!B19+Multiple_Regression!$L$15*Multiple_Regression!C19+Multiple_Regression!$L$16*Multiple_Regression!D19+Multiple_Regression!$L$17*Multiple_Regression!E19+Multiple_Regression!$L$18*Multiple_Regression!F19+Multiple_Regression!$L$19*Multiple_Regression!G19</f>
        <v>742679.026823408</v>
      </c>
      <c r="G19" s="20" t="n">
        <f aca="false">E19-F19</f>
        <v>3822.06317659165</v>
      </c>
      <c r="H19" s="20" t="n">
        <f aca="false">ABS(G19)</f>
        <v>3822.06317659165</v>
      </c>
      <c r="J19" s="3" t="n">
        <v>5</v>
      </c>
      <c r="K19" s="3" t="str">
        <f aca="false">INDEX($A$5:$A$324,MATCH(N19,$G$5:$G$324,0))</f>
        <v>STR-1009</v>
      </c>
      <c r="L19" s="3" t="str">
        <f aca="false">INDEX($C$5:$C$324,MATCH(N19,$G$5:$G$324,0))</f>
        <v>North</v>
      </c>
      <c r="M19" s="3" t="str">
        <f aca="false">INDEX($D$5:$D$324,MATCH(N19,$G$5:$G$324,0))</f>
        <v>Residential</v>
      </c>
      <c r="N19" s="20" t="n">
        <f aca="false">SMALL($G$5:$G$324,5)</f>
        <v>-98450.319471378</v>
      </c>
    </row>
    <row r="20" customFormat="false" ht="15" hidden="false" customHeight="true" outlineLevel="0" collapsed="false">
      <c r="A20" s="3" t="str">
        <f aca="false">Model_Data!A19</f>
        <v>STR-1004</v>
      </c>
      <c r="B20" s="4" t="n">
        <f aca="false">Model_Data!B19</f>
        <v>45748</v>
      </c>
      <c r="C20" s="3" t="str">
        <f aca="false">Model_Data!C19</f>
        <v>East</v>
      </c>
      <c r="D20" s="3" t="str">
        <f aca="false">Model_Data!D19</f>
        <v>Residential</v>
      </c>
      <c r="E20" s="20" t="n">
        <f aca="false">Multiple_Regression!H20</f>
        <v>834017.02</v>
      </c>
      <c r="F20" s="20" t="n">
        <f aca="false">Multiple_Regression!$L$12+Multiple_Regression!$L$13*Multiple_Regression!A20+Multiple_Regression!$L$14*Multiple_Regression!B20+Multiple_Regression!$L$15*Multiple_Regression!C20+Multiple_Regression!$L$16*Multiple_Regression!D20+Multiple_Regression!$L$17*Multiple_Regression!E20+Multiple_Regression!$L$18*Multiple_Regression!F20+Multiple_Regression!$L$19*Multiple_Regression!G20</f>
        <v>805632.609309027</v>
      </c>
      <c r="G20" s="20" t="n">
        <f aca="false">E20-F20</f>
        <v>28384.4106909726</v>
      </c>
      <c r="H20" s="20" t="n">
        <f aca="false">ABS(G20)</f>
        <v>28384.4106909726</v>
      </c>
    </row>
    <row r="21" customFormat="false" ht="15" hidden="false" customHeight="true" outlineLevel="0" collapsed="false">
      <c r="A21" s="3" t="str">
        <f aca="false">Model_Data!A20</f>
        <v>STR-1005</v>
      </c>
      <c r="B21" s="4" t="n">
        <f aca="false">Model_Data!B20</f>
        <v>45658</v>
      </c>
      <c r="C21" s="3" t="str">
        <f aca="false">Model_Data!C20</f>
        <v>South</v>
      </c>
      <c r="D21" s="3" t="str">
        <f aca="false">Model_Data!D20</f>
        <v>Residential</v>
      </c>
      <c r="E21" s="20" t="n">
        <f aca="false">Multiple_Regression!H21</f>
        <v>666152.52</v>
      </c>
      <c r="F21" s="20" t="n">
        <f aca="false">Multiple_Regression!$L$12+Multiple_Regression!$L$13*Multiple_Regression!A21+Multiple_Regression!$L$14*Multiple_Regression!B21+Multiple_Regression!$L$15*Multiple_Regression!C21+Multiple_Regression!$L$16*Multiple_Regression!D21+Multiple_Regression!$L$17*Multiple_Regression!E21+Multiple_Regression!$L$18*Multiple_Regression!F21+Multiple_Regression!$L$19*Multiple_Regression!G21</f>
        <v>677698.738095593</v>
      </c>
      <c r="G21" s="20" t="n">
        <f aca="false">E21-F21</f>
        <v>-11546.2180955929</v>
      </c>
      <c r="H21" s="20" t="n">
        <f aca="false">ABS(G21)</f>
        <v>11546.2180955929</v>
      </c>
    </row>
    <row r="22" customFormat="false" ht="15" hidden="false" customHeight="true" outlineLevel="0" collapsed="false">
      <c r="A22" s="3" t="str">
        <f aca="false">Model_Data!A21</f>
        <v>STR-1005</v>
      </c>
      <c r="B22" s="4" t="n">
        <f aca="false">Model_Data!B21</f>
        <v>45689</v>
      </c>
      <c r="C22" s="3" t="str">
        <f aca="false">Model_Data!C21</f>
        <v>South</v>
      </c>
      <c r="D22" s="3" t="str">
        <f aca="false">Model_Data!D21</f>
        <v>Residential</v>
      </c>
      <c r="E22" s="20" t="n">
        <f aca="false">Multiple_Regression!H22</f>
        <v>573155.19</v>
      </c>
      <c r="F22" s="20" t="n">
        <f aca="false">Multiple_Regression!$L$12+Multiple_Regression!$L$13*Multiple_Regression!A22+Multiple_Regression!$L$14*Multiple_Regression!B22+Multiple_Regression!$L$15*Multiple_Regression!C22+Multiple_Regression!$L$16*Multiple_Regression!D22+Multiple_Regression!$L$17*Multiple_Regression!E22+Multiple_Regression!$L$18*Multiple_Regression!F22+Multiple_Regression!$L$19*Multiple_Regression!G22</f>
        <v>588643.820178439</v>
      </c>
      <c r="G22" s="20" t="n">
        <f aca="false">E22-F22</f>
        <v>-15488.6301784387</v>
      </c>
      <c r="H22" s="20" t="n">
        <f aca="false">ABS(G22)</f>
        <v>15488.6301784387</v>
      </c>
    </row>
    <row r="23" customFormat="false" ht="15" hidden="false" customHeight="true" outlineLevel="0" collapsed="false">
      <c r="A23" s="3" t="str">
        <f aca="false">Model_Data!A22</f>
        <v>STR-1005</v>
      </c>
      <c r="B23" s="4" t="n">
        <f aca="false">Model_Data!B22</f>
        <v>45717</v>
      </c>
      <c r="C23" s="3" t="str">
        <f aca="false">Model_Data!C22</f>
        <v>South</v>
      </c>
      <c r="D23" s="3" t="str">
        <f aca="false">Model_Data!D22</f>
        <v>Residential</v>
      </c>
      <c r="E23" s="20" t="n">
        <f aca="false">Multiple_Regression!H23</f>
        <v>666573.2</v>
      </c>
      <c r="F23" s="20" t="n">
        <f aca="false">Multiple_Regression!$L$12+Multiple_Regression!$L$13*Multiple_Regression!A23+Multiple_Regression!$L$14*Multiple_Regression!B23+Multiple_Regression!$L$15*Multiple_Regression!C23+Multiple_Regression!$L$16*Multiple_Regression!D23+Multiple_Regression!$L$17*Multiple_Regression!E23+Multiple_Regression!$L$18*Multiple_Regression!F23+Multiple_Regression!$L$19*Multiple_Regression!G23</f>
        <v>681060.903279834</v>
      </c>
      <c r="G23" s="20" t="n">
        <f aca="false">E23-F23</f>
        <v>-14487.703279834</v>
      </c>
      <c r="H23" s="20" t="n">
        <f aca="false">ABS(G23)</f>
        <v>14487.703279834</v>
      </c>
    </row>
    <row r="24" customFormat="false" ht="15" hidden="false" customHeight="true" outlineLevel="0" collapsed="false">
      <c r="A24" s="3" t="str">
        <f aca="false">Model_Data!A23</f>
        <v>STR-1005</v>
      </c>
      <c r="B24" s="4" t="n">
        <f aca="false">Model_Data!B23</f>
        <v>45748</v>
      </c>
      <c r="C24" s="3" t="str">
        <f aca="false">Model_Data!C23</f>
        <v>South</v>
      </c>
      <c r="D24" s="3" t="str">
        <f aca="false">Model_Data!D23</f>
        <v>Residential</v>
      </c>
      <c r="E24" s="20" t="n">
        <f aca="false">Multiple_Regression!H24</f>
        <v>591619.95</v>
      </c>
      <c r="F24" s="20" t="n">
        <f aca="false">Multiple_Regression!$L$12+Multiple_Regression!$L$13*Multiple_Regression!A24+Multiple_Regression!$L$14*Multiple_Regression!B24+Multiple_Regression!$L$15*Multiple_Regression!C24+Multiple_Regression!$L$16*Multiple_Regression!D24+Multiple_Regression!$L$17*Multiple_Regression!E24+Multiple_Regression!$L$18*Multiple_Regression!F24+Multiple_Regression!$L$19*Multiple_Regression!G24</f>
        <v>588111.499349264</v>
      </c>
      <c r="G24" s="20" t="n">
        <f aca="false">E24-F24</f>
        <v>3508.45065073553</v>
      </c>
      <c r="H24" s="20" t="n">
        <f aca="false">ABS(G24)</f>
        <v>3508.45065073553</v>
      </c>
    </row>
    <row r="25" customFormat="false" ht="15" hidden="false" customHeight="true" outlineLevel="0" collapsed="false">
      <c r="A25" s="3" t="str">
        <f aca="false">Model_Data!A24</f>
        <v>STR-1006</v>
      </c>
      <c r="B25" s="4" t="n">
        <f aca="false">Model_Data!B24</f>
        <v>45658</v>
      </c>
      <c r="C25" s="3" t="str">
        <f aca="false">Model_Data!C24</f>
        <v>North</v>
      </c>
      <c r="D25" s="3" t="str">
        <f aca="false">Model_Data!D24</f>
        <v>Residential</v>
      </c>
      <c r="E25" s="20" t="n">
        <f aca="false">Multiple_Regression!H25</f>
        <v>415721.82</v>
      </c>
      <c r="F25" s="20" t="n">
        <f aca="false">Multiple_Regression!$L$12+Multiple_Regression!$L$13*Multiple_Regression!A25+Multiple_Regression!$L$14*Multiple_Regression!B25+Multiple_Regression!$L$15*Multiple_Regression!C25+Multiple_Regression!$L$16*Multiple_Regression!D25+Multiple_Regression!$L$17*Multiple_Regression!E25+Multiple_Regression!$L$18*Multiple_Regression!F25+Multiple_Regression!$L$19*Multiple_Regression!G25</f>
        <v>491609.469334804</v>
      </c>
      <c r="G25" s="20" t="n">
        <f aca="false">E25-F25</f>
        <v>-75887.6493348043</v>
      </c>
      <c r="H25" s="20" t="n">
        <f aca="false">ABS(G25)</f>
        <v>75887.6493348043</v>
      </c>
    </row>
    <row r="26" customFormat="false" ht="15" hidden="false" customHeight="true" outlineLevel="0" collapsed="false">
      <c r="A26" s="3" t="str">
        <f aca="false">Model_Data!A25</f>
        <v>STR-1006</v>
      </c>
      <c r="B26" s="4" t="n">
        <f aca="false">Model_Data!B25</f>
        <v>45689</v>
      </c>
      <c r="C26" s="3" t="str">
        <f aca="false">Model_Data!C25</f>
        <v>North</v>
      </c>
      <c r="D26" s="3" t="str">
        <f aca="false">Model_Data!D25</f>
        <v>Residential</v>
      </c>
      <c r="E26" s="20" t="n">
        <f aca="false">Multiple_Regression!H26</f>
        <v>491905.13</v>
      </c>
      <c r="F26" s="20" t="n">
        <f aca="false">Multiple_Regression!$L$12+Multiple_Regression!$L$13*Multiple_Regression!A26+Multiple_Regression!$L$14*Multiple_Regression!B26+Multiple_Regression!$L$15*Multiple_Regression!C26+Multiple_Regression!$L$16*Multiple_Regression!D26+Multiple_Regression!$L$17*Multiple_Regression!E26+Multiple_Regression!$L$18*Multiple_Regression!F26+Multiple_Regression!$L$19*Multiple_Regression!G26</f>
        <v>486041.777887111</v>
      </c>
      <c r="G26" s="20" t="n">
        <f aca="false">E26-F26</f>
        <v>5863.35211288882</v>
      </c>
      <c r="H26" s="20" t="n">
        <f aca="false">ABS(G26)</f>
        <v>5863.35211288882</v>
      </c>
    </row>
    <row r="27" customFormat="false" ht="15" hidden="false" customHeight="true" outlineLevel="0" collapsed="false">
      <c r="A27" s="3" t="str">
        <f aca="false">Model_Data!A26</f>
        <v>STR-1006</v>
      </c>
      <c r="B27" s="4" t="n">
        <f aca="false">Model_Data!B26</f>
        <v>45717</v>
      </c>
      <c r="C27" s="3" t="str">
        <f aca="false">Model_Data!C26</f>
        <v>North</v>
      </c>
      <c r="D27" s="3" t="str">
        <f aca="false">Model_Data!D26</f>
        <v>Residential</v>
      </c>
      <c r="E27" s="20" t="n">
        <f aca="false">Multiple_Regression!H27</f>
        <v>555929.4</v>
      </c>
      <c r="F27" s="20" t="n">
        <f aca="false">Multiple_Regression!$L$12+Multiple_Regression!$L$13*Multiple_Regression!A27+Multiple_Regression!$L$14*Multiple_Regression!B27+Multiple_Regression!$L$15*Multiple_Regression!C27+Multiple_Regression!$L$16*Multiple_Regression!D27+Multiple_Regression!$L$17*Multiple_Regression!E27+Multiple_Regression!$L$18*Multiple_Regression!F27+Multiple_Regression!$L$19*Multiple_Regression!G27</f>
        <v>519517.897397338</v>
      </c>
      <c r="G27" s="20" t="n">
        <f aca="false">E27-F27</f>
        <v>36411.5026026623</v>
      </c>
      <c r="H27" s="20" t="n">
        <f aca="false">ABS(G27)</f>
        <v>36411.5026026623</v>
      </c>
    </row>
    <row r="28" customFormat="false" ht="15" hidden="false" customHeight="true" outlineLevel="0" collapsed="false">
      <c r="A28" s="3" t="str">
        <f aca="false">Model_Data!A27</f>
        <v>STR-1006</v>
      </c>
      <c r="B28" s="4" t="n">
        <f aca="false">Model_Data!B27</f>
        <v>45748</v>
      </c>
      <c r="C28" s="3" t="str">
        <f aca="false">Model_Data!C27</f>
        <v>North</v>
      </c>
      <c r="D28" s="3" t="str">
        <f aca="false">Model_Data!D27</f>
        <v>Residential</v>
      </c>
      <c r="E28" s="20" t="n">
        <f aca="false">Multiple_Regression!H28</f>
        <v>565810.99</v>
      </c>
      <c r="F28" s="20" t="n">
        <f aca="false">Multiple_Regression!$L$12+Multiple_Regression!$L$13*Multiple_Regression!A28+Multiple_Regression!$L$14*Multiple_Regression!B28+Multiple_Regression!$L$15*Multiple_Regression!C28+Multiple_Regression!$L$16*Multiple_Regression!D28+Multiple_Regression!$L$17*Multiple_Regression!E28+Multiple_Regression!$L$18*Multiple_Regression!F28+Multiple_Regression!$L$19*Multiple_Regression!G28</f>
        <v>544317.112279221</v>
      </c>
      <c r="G28" s="20" t="n">
        <f aca="false">E28-F28</f>
        <v>21493.8777207795</v>
      </c>
      <c r="H28" s="20" t="n">
        <f aca="false">ABS(G28)</f>
        <v>21493.8777207795</v>
      </c>
    </row>
    <row r="29" customFormat="false" ht="15" hidden="false" customHeight="true" outlineLevel="0" collapsed="false">
      <c r="A29" s="3" t="str">
        <f aca="false">Model_Data!A28</f>
        <v>STR-1007</v>
      </c>
      <c r="B29" s="4" t="n">
        <f aca="false">Model_Data!B28</f>
        <v>45658</v>
      </c>
      <c r="C29" s="3" t="str">
        <f aca="false">Model_Data!C28</f>
        <v>West</v>
      </c>
      <c r="D29" s="3" t="str">
        <f aca="false">Model_Data!D28</f>
        <v>Mall</v>
      </c>
      <c r="E29" s="20" t="n">
        <f aca="false">Multiple_Regression!H29</f>
        <v>811771.14</v>
      </c>
      <c r="F29" s="20" t="n">
        <f aca="false">Multiple_Regression!$L$12+Multiple_Regression!$L$13*Multiple_Regression!A29+Multiple_Regression!$L$14*Multiple_Regression!B29+Multiple_Regression!$L$15*Multiple_Regression!C29+Multiple_Regression!$L$16*Multiple_Regression!D29+Multiple_Regression!$L$17*Multiple_Regression!E29+Multiple_Regression!$L$18*Multiple_Regression!F29+Multiple_Regression!$L$19*Multiple_Regression!G29</f>
        <v>836959.020569178</v>
      </c>
      <c r="G29" s="20" t="n">
        <f aca="false">E29-F29</f>
        <v>-25187.8805691784</v>
      </c>
      <c r="H29" s="20" t="n">
        <f aca="false">ABS(G29)</f>
        <v>25187.8805691784</v>
      </c>
    </row>
    <row r="30" customFormat="false" ht="15" hidden="false" customHeight="true" outlineLevel="0" collapsed="false">
      <c r="A30" s="3" t="str">
        <f aca="false">Model_Data!A29</f>
        <v>STR-1007</v>
      </c>
      <c r="B30" s="4" t="n">
        <f aca="false">Model_Data!B29</f>
        <v>45689</v>
      </c>
      <c r="C30" s="3" t="str">
        <f aca="false">Model_Data!C29</f>
        <v>West</v>
      </c>
      <c r="D30" s="3" t="str">
        <f aca="false">Model_Data!D29</f>
        <v>Mall</v>
      </c>
      <c r="E30" s="20" t="n">
        <f aca="false">Multiple_Regression!H30</f>
        <v>800451.94</v>
      </c>
      <c r="F30" s="20" t="n">
        <f aca="false">Multiple_Regression!$L$12+Multiple_Regression!$L$13*Multiple_Regression!A30+Multiple_Regression!$L$14*Multiple_Regression!B30+Multiple_Regression!$L$15*Multiple_Regression!C30+Multiple_Regression!$L$16*Multiple_Regression!D30+Multiple_Regression!$L$17*Multiple_Regression!E30+Multiple_Regression!$L$18*Multiple_Regression!F30+Multiple_Regression!$L$19*Multiple_Regression!G30</f>
        <v>900272.481207761</v>
      </c>
      <c r="G30" s="20" t="n">
        <f aca="false">E30-F30</f>
        <v>-99820.5412077612</v>
      </c>
      <c r="H30" s="20" t="n">
        <f aca="false">ABS(G30)</f>
        <v>99820.5412077612</v>
      </c>
    </row>
    <row r="31" customFormat="false" ht="15" hidden="false" customHeight="true" outlineLevel="0" collapsed="false">
      <c r="A31" s="3" t="str">
        <f aca="false">Model_Data!A30</f>
        <v>STR-1007</v>
      </c>
      <c r="B31" s="4" t="n">
        <f aca="false">Model_Data!B30</f>
        <v>45717</v>
      </c>
      <c r="C31" s="3" t="str">
        <f aca="false">Model_Data!C30</f>
        <v>West</v>
      </c>
      <c r="D31" s="3" t="str">
        <f aca="false">Model_Data!D30</f>
        <v>Mall</v>
      </c>
      <c r="E31" s="20" t="n">
        <f aca="false">Multiple_Regression!H31</f>
        <v>783672.82</v>
      </c>
      <c r="F31" s="20" t="n">
        <f aca="false">Multiple_Regression!$L$12+Multiple_Regression!$L$13*Multiple_Regression!A31+Multiple_Regression!$L$14*Multiple_Regression!B31+Multiple_Regression!$L$15*Multiple_Regression!C31+Multiple_Regression!$L$16*Multiple_Regression!D31+Multiple_Regression!$L$17*Multiple_Regression!E31+Multiple_Regression!$L$18*Multiple_Regression!F31+Multiple_Regression!$L$19*Multiple_Regression!G31</f>
        <v>792200.712595104</v>
      </c>
      <c r="G31" s="20" t="n">
        <f aca="false">E31-F31</f>
        <v>-8527.89259510418</v>
      </c>
      <c r="H31" s="20" t="n">
        <f aca="false">ABS(G31)</f>
        <v>8527.89259510418</v>
      </c>
    </row>
    <row r="32" customFormat="false" ht="15" hidden="false" customHeight="true" outlineLevel="0" collapsed="false">
      <c r="A32" s="3" t="str">
        <f aca="false">Model_Data!A31</f>
        <v>STR-1007</v>
      </c>
      <c r="B32" s="4" t="n">
        <f aca="false">Model_Data!B31</f>
        <v>45748</v>
      </c>
      <c r="C32" s="3" t="str">
        <f aca="false">Model_Data!C31</f>
        <v>West</v>
      </c>
      <c r="D32" s="3" t="str">
        <f aca="false">Model_Data!D31</f>
        <v>Mall</v>
      </c>
      <c r="E32" s="20" t="n">
        <f aca="false">Multiple_Regression!H32</f>
        <v>701641.97</v>
      </c>
      <c r="F32" s="20" t="n">
        <f aca="false">Multiple_Regression!$L$12+Multiple_Regression!$L$13*Multiple_Regression!A32+Multiple_Regression!$L$14*Multiple_Regression!B32+Multiple_Regression!$L$15*Multiple_Regression!C32+Multiple_Regression!$L$16*Multiple_Regression!D32+Multiple_Regression!$L$17*Multiple_Regression!E32+Multiple_Regression!$L$18*Multiple_Regression!F32+Multiple_Regression!$L$19*Multiple_Regression!G32</f>
        <v>698456.524405228</v>
      </c>
      <c r="G32" s="20" t="n">
        <f aca="false">E32-F32</f>
        <v>3185.44559477165</v>
      </c>
      <c r="H32" s="20" t="n">
        <f aca="false">ABS(G32)</f>
        <v>3185.44559477165</v>
      </c>
    </row>
    <row r="33" customFormat="false" ht="15" hidden="false" customHeight="true" outlineLevel="0" collapsed="false">
      <c r="A33" s="3" t="str">
        <f aca="false">Model_Data!A32</f>
        <v>STR-1008</v>
      </c>
      <c r="B33" s="4" t="n">
        <f aca="false">Model_Data!B32</f>
        <v>45658</v>
      </c>
      <c r="C33" s="3" t="str">
        <f aca="false">Model_Data!C32</f>
        <v>East</v>
      </c>
      <c r="D33" s="3" t="str">
        <f aca="false">Model_Data!D32</f>
        <v>Residential</v>
      </c>
      <c r="E33" s="20" t="n">
        <f aca="false">Multiple_Regression!H33</f>
        <v>511844.41</v>
      </c>
      <c r="F33" s="20" t="n">
        <f aca="false">Multiple_Regression!$L$12+Multiple_Regression!$L$13*Multiple_Regression!A33+Multiple_Regression!$L$14*Multiple_Regression!B33+Multiple_Regression!$L$15*Multiple_Regression!C33+Multiple_Regression!$L$16*Multiple_Regression!D33+Multiple_Regression!$L$17*Multiple_Regression!E33+Multiple_Regression!$L$18*Multiple_Regression!F33+Multiple_Regression!$L$19*Multiple_Regression!G33</f>
        <v>582340.439103278</v>
      </c>
      <c r="G33" s="20" t="n">
        <f aca="false">E33-F33</f>
        <v>-70496.0291032784</v>
      </c>
      <c r="H33" s="20" t="n">
        <f aca="false">ABS(G33)</f>
        <v>70496.0291032784</v>
      </c>
    </row>
    <row r="34" customFormat="false" ht="15" hidden="false" customHeight="true" outlineLevel="0" collapsed="false">
      <c r="A34" s="3" t="str">
        <f aca="false">Model_Data!A33</f>
        <v>STR-1008</v>
      </c>
      <c r="B34" s="4" t="n">
        <f aca="false">Model_Data!B33</f>
        <v>45689</v>
      </c>
      <c r="C34" s="3" t="str">
        <f aca="false">Model_Data!C33</f>
        <v>East</v>
      </c>
      <c r="D34" s="3" t="str">
        <f aca="false">Model_Data!D33</f>
        <v>Residential</v>
      </c>
      <c r="E34" s="20" t="n">
        <f aca="false">Multiple_Regression!H34</f>
        <v>537383.79</v>
      </c>
      <c r="F34" s="20" t="n">
        <f aca="false">Multiple_Regression!$L$12+Multiple_Regression!$L$13*Multiple_Regression!A34+Multiple_Regression!$L$14*Multiple_Regression!B34+Multiple_Regression!$L$15*Multiple_Regression!C34+Multiple_Regression!$L$16*Multiple_Regression!D34+Multiple_Regression!$L$17*Multiple_Regression!E34+Multiple_Regression!$L$18*Multiple_Regression!F34+Multiple_Regression!$L$19*Multiple_Regression!G34</f>
        <v>524305.489486554</v>
      </c>
      <c r="G34" s="20" t="n">
        <f aca="false">E34-F34</f>
        <v>13078.3005134457</v>
      </c>
      <c r="H34" s="20" t="n">
        <f aca="false">ABS(G34)</f>
        <v>13078.3005134457</v>
      </c>
    </row>
    <row r="35" customFormat="false" ht="15" hidden="false" customHeight="true" outlineLevel="0" collapsed="false">
      <c r="A35" s="3" t="str">
        <f aca="false">Model_Data!A34</f>
        <v>STR-1008</v>
      </c>
      <c r="B35" s="4" t="n">
        <f aca="false">Model_Data!B34</f>
        <v>45717</v>
      </c>
      <c r="C35" s="3" t="str">
        <f aca="false">Model_Data!C34</f>
        <v>East</v>
      </c>
      <c r="D35" s="3" t="str">
        <f aca="false">Model_Data!D34</f>
        <v>Residential</v>
      </c>
      <c r="E35" s="20" t="n">
        <f aca="false">Multiple_Regression!H35</f>
        <v>500173.02</v>
      </c>
      <c r="F35" s="20" t="n">
        <f aca="false">Multiple_Regression!$L$12+Multiple_Regression!$L$13*Multiple_Regression!A35+Multiple_Regression!$L$14*Multiple_Regression!B35+Multiple_Regression!$L$15*Multiple_Regression!C35+Multiple_Regression!$L$16*Multiple_Regression!D35+Multiple_Regression!$L$17*Multiple_Regression!E35+Multiple_Regression!$L$18*Multiple_Regression!F35+Multiple_Regression!$L$19*Multiple_Regression!G35</f>
        <v>510826.368471549</v>
      </c>
      <c r="G35" s="20" t="n">
        <f aca="false">E35-F35</f>
        <v>-10653.3484715486</v>
      </c>
      <c r="H35" s="20" t="n">
        <f aca="false">ABS(G35)</f>
        <v>10653.3484715486</v>
      </c>
    </row>
    <row r="36" customFormat="false" ht="15" hidden="false" customHeight="true" outlineLevel="0" collapsed="false">
      <c r="A36" s="3" t="str">
        <f aca="false">Model_Data!A35</f>
        <v>STR-1008</v>
      </c>
      <c r="B36" s="4" t="n">
        <f aca="false">Model_Data!B35</f>
        <v>45748</v>
      </c>
      <c r="C36" s="3" t="str">
        <f aca="false">Model_Data!C35</f>
        <v>East</v>
      </c>
      <c r="D36" s="3" t="str">
        <f aca="false">Model_Data!D35</f>
        <v>Residential</v>
      </c>
      <c r="E36" s="20" t="n">
        <f aca="false">Multiple_Regression!H36</f>
        <v>427917.38</v>
      </c>
      <c r="F36" s="20" t="n">
        <f aca="false">Multiple_Regression!$L$12+Multiple_Regression!$L$13*Multiple_Regression!A36+Multiple_Regression!$L$14*Multiple_Regression!B36+Multiple_Regression!$L$15*Multiple_Regression!C36+Multiple_Regression!$L$16*Multiple_Regression!D36+Multiple_Regression!$L$17*Multiple_Regression!E36+Multiple_Regression!$L$18*Multiple_Regression!F36+Multiple_Regression!$L$19*Multiple_Regression!G36</f>
        <v>494305.197438638</v>
      </c>
      <c r="G36" s="20" t="n">
        <f aca="false">E36-F36</f>
        <v>-66387.8174386383</v>
      </c>
      <c r="H36" s="20" t="n">
        <f aca="false">ABS(G36)</f>
        <v>66387.8174386383</v>
      </c>
    </row>
    <row r="37" customFormat="false" ht="15" hidden="false" customHeight="true" outlineLevel="0" collapsed="false">
      <c r="A37" s="3" t="str">
        <f aca="false">Model_Data!A36</f>
        <v>STR-1009</v>
      </c>
      <c r="B37" s="4" t="n">
        <f aca="false">Model_Data!B36</f>
        <v>45658</v>
      </c>
      <c r="C37" s="3" t="str">
        <f aca="false">Model_Data!C36</f>
        <v>North</v>
      </c>
      <c r="D37" s="3" t="str">
        <f aca="false">Model_Data!D36</f>
        <v>Residential</v>
      </c>
      <c r="E37" s="20" t="n">
        <f aca="false">Multiple_Regression!H37</f>
        <v>641865.03</v>
      </c>
      <c r="F37" s="20" t="n">
        <f aca="false">Multiple_Regression!$L$12+Multiple_Regression!$L$13*Multiple_Regression!A37+Multiple_Regression!$L$14*Multiple_Regression!B37+Multiple_Regression!$L$15*Multiple_Regression!C37+Multiple_Regression!$L$16*Multiple_Regression!D37+Multiple_Regression!$L$17*Multiple_Regression!E37+Multiple_Regression!$L$18*Multiple_Regression!F37+Multiple_Regression!$L$19*Multiple_Regression!G37</f>
        <v>740315.349471378</v>
      </c>
      <c r="G37" s="20" t="n">
        <f aca="false">E37-F37</f>
        <v>-98450.319471378</v>
      </c>
      <c r="H37" s="20" t="n">
        <f aca="false">ABS(G37)</f>
        <v>98450.319471378</v>
      </c>
    </row>
    <row r="38" customFormat="false" ht="15" hidden="false" customHeight="true" outlineLevel="0" collapsed="false">
      <c r="A38" s="3" t="str">
        <f aca="false">Model_Data!A37</f>
        <v>STR-1009</v>
      </c>
      <c r="B38" s="4" t="n">
        <f aca="false">Model_Data!B37</f>
        <v>45689</v>
      </c>
      <c r="C38" s="3" t="str">
        <f aca="false">Model_Data!C37</f>
        <v>North</v>
      </c>
      <c r="D38" s="3" t="str">
        <f aca="false">Model_Data!D37</f>
        <v>Residential</v>
      </c>
      <c r="E38" s="20" t="n">
        <f aca="false">Multiple_Regression!H38</f>
        <v>799477.76</v>
      </c>
      <c r="F38" s="20" t="n">
        <f aca="false">Multiple_Regression!$L$12+Multiple_Regression!$L$13*Multiple_Regression!A38+Multiple_Regression!$L$14*Multiple_Regression!B38+Multiple_Regression!$L$15*Multiple_Regression!C38+Multiple_Regression!$L$16*Multiple_Regression!D38+Multiple_Regression!$L$17*Multiple_Regression!E38+Multiple_Regression!$L$18*Multiple_Regression!F38+Multiple_Regression!$L$19*Multiple_Regression!G38</f>
        <v>850100.475148599</v>
      </c>
      <c r="G38" s="20" t="n">
        <f aca="false">E38-F38</f>
        <v>-50622.7151485994</v>
      </c>
      <c r="H38" s="20" t="n">
        <f aca="false">ABS(G38)</f>
        <v>50622.7151485994</v>
      </c>
    </row>
    <row r="39" customFormat="false" ht="15" hidden="false" customHeight="true" outlineLevel="0" collapsed="false">
      <c r="A39" s="3" t="str">
        <f aca="false">Model_Data!A38</f>
        <v>STR-1009</v>
      </c>
      <c r="B39" s="4" t="n">
        <f aca="false">Model_Data!B38</f>
        <v>45717</v>
      </c>
      <c r="C39" s="3" t="str">
        <f aca="false">Model_Data!C38</f>
        <v>North</v>
      </c>
      <c r="D39" s="3" t="str">
        <f aca="false">Model_Data!D38</f>
        <v>Residential</v>
      </c>
      <c r="E39" s="20" t="n">
        <f aca="false">Multiple_Regression!H39</f>
        <v>798952.17</v>
      </c>
      <c r="F39" s="20" t="n">
        <f aca="false">Multiple_Regression!$L$12+Multiple_Regression!$L$13*Multiple_Regression!A39+Multiple_Regression!$L$14*Multiple_Regression!B39+Multiple_Regression!$L$15*Multiple_Regression!C39+Multiple_Regression!$L$16*Multiple_Regression!D39+Multiple_Regression!$L$17*Multiple_Regression!E39+Multiple_Regression!$L$18*Multiple_Regression!F39+Multiple_Regression!$L$19*Multiple_Regression!G39</f>
        <v>799273.826284768</v>
      </c>
      <c r="G39" s="20" t="n">
        <f aca="false">E39-F39</f>
        <v>-321.656284767436</v>
      </c>
      <c r="H39" s="20" t="n">
        <f aca="false">ABS(G39)</f>
        <v>321.656284767436</v>
      </c>
    </row>
    <row r="40" customFormat="false" ht="15" hidden="false" customHeight="true" outlineLevel="0" collapsed="false">
      <c r="A40" s="3" t="str">
        <f aca="false">Model_Data!A39</f>
        <v>STR-1009</v>
      </c>
      <c r="B40" s="4" t="n">
        <f aca="false">Model_Data!B39</f>
        <v>45748</v>
      </c>
      <c r="C40" s="3" t="str">
        <f aca="false">Model_Data!C39</f>
        <v>North</v>
      </c>
      <c r="D40" s="3" t="str">
        <f aca="false">Model_Data!D39</f>
        <v>Residential</v>
      </c>
      <c r="E40" s="20" t="n">
        <f aca="false">Multiple_Regression!H40</f>
        <v>800979.78</v>
      </c>
      <c r="F40" s="20" t="n">
        <f aca="false">Multiple_Regression!$L$12+Multiple_Regression!$L$13*Multiple_Regression!A40+Multiple_Regression!$L$14*Multiple_Regression!B40+Multiple_Regression!$L$15*Multiple_Regression!C40+Multiple_Regression!$L$16*Multiple_Regression!D40+Multiple_Regression!$L$17*Multiple_Regression!E40+Multiple_Regression!$L$18*Multiple_Regression!F40+Multiple_Regression!$L$19*Multiple_Regression!G40</f>
        <v>815966.223145748</v>
      </c>
      <c r="G40" s="20" t="n">
        <f aca="false">E40-F40</f>
        <v>-14986.4431457479</v>
      </c>
      <c r="H40" s="20" t="n">
        <f aca="false">ABS(G40)</f>
        <v>14986.4431457479</v>
      </c>
    </row>
    <row r="41" customFormat="false" ht="15" hidden="false" customHeight="true" outlineLevel="0" collapsed="false">
      <c r="A41" s="3" t="str">
        <f aca="false">Model_Data!A40</f>
        <v>STR-1010</v>
      </c>
      <c r="B41" s="4" t="n">
        <f aca="false">Model_Data!B40</f>
        <v>45658</v>
      </c>
      <c r="C41" s="3" t="str">
        <f aca="false">Model_Data!C40</f>
        <v>North</v>
      </c>
      <c r="D41" s="3" t="str">
        <f aca="false">Model_Data!D40</f>
        <v>Mall</v>
      </c>
      <c r="E41" s="20" t="n">
        <f aca="false">Multiple_Regression!H41</f>
        <v>820593.93</v>
      </c>
      <c r="F41" s="20" t="n">
        <f aca="false">Multiple_Regression!$L$12+Multiple_Regression!$L$13*Multiple_Regression!A41+Multiple_Regression!$L$14*Multiple_Regression!B41+Multiple_Regression!$L$15*Multiple_Regression!C41+Multiple_Regression!$L$16*Multiple_Regression!D41+Multiple_Regression!$L$17*Multiple_Regression!E41+Multiple_Regression!$L$18*Multiple_Regression!F41+Multiple_Regression!$L$19*Multiple_Regression!G41</f>
        <v>777578.272473643</v>
      </c>
      <c r="G41" s="20" t="n">
        <f aca="false">E41-F41</f>
        <v>43015.6575263573</v>
      </c>
      <c r="H41" s="20" t="n">
        <f aca="false">ABS(G41)</f>
        <v>43015.6575263573</v>
      </c>
    </row>
    <row r="42" customFormat="false" ht="15" hidden="false" customHeight="true" outlineLevel="0" collapsed="false">
      <c r="A42" s="3" t="str">
        <f aca="false">Model_Data!A41</f>
        <v>STR-1010</v>
      </c>
      <c r="B42" s="4" t="n">
        <f aca="false">Model_Data!B41</f>
        <v>45689</v>
      </c>
      <c r="C42" s="3" t="str">
        <f aca="false">Model_Data!C41</f>
        <v>North</v>
      </c>
      <c r="D42" s="3" t="str">
        <f aca="false">Model_Data!D41</f>
        <v>Mall</v>
      </c>
      <c r="E42" s="20" t="n">
        <f aca="false">Multiple_Regression!H42</f>
        <v>718330.53</v>
      </c>
      <c r="F42" s="20" t="n">
        <f aca="false">Multiple_Regression!$L$12+Multiple_Regression!$L$13*Multiple_Regression!A42+Multiple_Regression!$L$14*Multiple_Regression!B42+Multiple_Regression!$L$15*Multiple_Regression!C42+Multiple_Regression!$L$16*Multiple_Regression!D42+Multiple_Regression!$L$17*Multiple_Regression!E42+Multiple_Regression!$L$18*Multiple_Regression!F42+Multiple_Regression!$L$19*Multiple_Regression!G42</f>
        <v>763914.525494593</v>
      </c>
      <c r="G42" s="20" t="n">
        <f aca="false">E42-F42</f>
        <v>-45583.9954945931</v>
      </c>
      <c r="H42" s="20" t="n">
        <f aca="false">ABS(G42)</f>
        <v>45583.9954945931</v>
      </c>
    </row>
    <row r="43" customFormat="false" ht="15" hidden="false" customHeight="true" outlineLevel="0" collapsed="false">
      <c r="A43" s="3" t="str">
        <f aca="false">Model_Data!A42</f>
        <v>STR-1010</v>
      </c>
      <c r="B43" s="4" t="n">
        <f aca="false">Model_Data!B42</f>
        <v>45717</v>
      </c>
      <c r="C43" s="3" t="str">
        <f aca="false">Model_Data!C42</f>
        <v>North</v>
      </c>
      <c r="D43" s="3" t="str">
        <f aca="false">Model_Data!D42</f>
        <v>Mall</v>
      </c>
      <c r="E43" s="20" t="n">
        <f aca="false">Multiple_Regression!H43</f>
        <v>736633.4</v>
      </c>
      <c r="F43" s="20" t="n">
        <f aca="false">Multiple_Regression!$L$12+Multiple_Regression!$L$13*Multiple_Regression!A43+Multiple_Regression!$L$14*Multiple_Regression!B43+Multiple_Regression!$L$15*Multiple_Regression!C43+Multiple_Regression!$L$16*Multiple_Regression!D43+Multiple_Regression!$L$17*Multiple_Regression!E43+Multiple_Regression!$L$18*Multiple_Regression!F43+Multiple_Regression!$L$19*Multiple_Regression!G43</f>
        <v>748885.344123199</v>
      </c>
      <c r="G43" s="20" t="n">
        <f aca="false">E43-F43</f>
        <v>-12251.9441231987</v>
      </c>
      <c r="H43" s="20" t="n">
        <f aca="false">ABS(G43)</f>
        <v>12251.9441231987</v>
      </c>
    </row>
    <row r="44" customFormat="false" ht="15" hidden="false" customHeight="true" outlineLevel="0" collapsed="false">
      <c r="A44" s="3" t="str">
        <f aca="false">Model_Data!A43</f>
        <v>STR-1010</v>
      </c>
      <c r="B44" s="4" t="n">
        <f aca="false">Model_Data!B43</f>
        <v>45748</v>
      </c>
      <c r="C44" s="3" t="str">
        <f aca="false">Model_Data!C43</f>
        <v>North</v>
      </c>
      <c r="D44" s="3" t="str">
        <f aca="false">Model_Data!D43</f>
        <v>Mall</v>
      </c>
      <c r="E44" s="20" t="n">
        <f aca="false">Multiple_Regression!H44</f>
        <v>828623.85</v>
      </c>
      <c r="F44" s="20" t="n">
        <f aca="false">Multiple_Regression!$L$12+Multiple_Regression!$L$13*Multiple_Regression!A44+Multiple_Regression!$L$14*Multiple_Regression!B44+Multiple_Regression!$L$15*Multiple_Regression!C44+Multiple_Regression!$L$16*Multiple_Regression!D44+Multiple_Regression!$L$17*Multiple_Regression!E44+Multiple_Regression!$L$18*Multiple_Regression!F44+Multiple_Regression!$L$19*Multiple_Regression!G44</f>
        <v>837238.58706205</v>
      </c>
      <c r="G44" s="20" t="n">
        <f aca="false">E44-F44</f>
        <v>-8614.73706205003</v>
      </c>
      <c r="H44" s="20" t="n">
        <f aca="false">ABS(G44)</f>
        <v>8614.73706205003</v>
      </c>
    </row>
    <row r="45" customFormat="false" ht="15" hidden="false" customHeight="true" outlineLevel="0" collapsed="false">
      <c r="A45" s="3" t="str">
        <f aca="false">Model_Data!A44</f>
        <v>STR-1011</v>
      </c>
      <c r="B45" s="4" t="n">
        <f aca="false">Model_Data!B44</f>
        <v>45658</v>
      </c>
      <c r="C45" s="3" t="str">
        <f aca="false">Model_Data!C44</f>
        <v>East</v>
      </c>
      <c r="D45" s="3" t="str">
        <f aca="false">Model_Data!D44</f>
        <v>Mall</v>
      </c>
      <c r="E45" s="20" t="n">
        <f aca="false">Multiple_Regression!H45</f>
        <v>592195.85</v>
      </c>
      <c r="F45" s="20" t="n">
        <f aca="false">Multiple_Regression!$L$12+Multiple_Regression!$L$13*Multiple_Regression!A45+Multiple_Regression!$L$14*Multiple_Regression!B45+Multiple_Regression!$L$15*Multiple_Regression!C45+Multiple_Regression!$L$16*Multiple_Regression!D45+Multiple_Regression!$L$17*Multiple_Regression!E45+Multiple_Regression!$L$18*Multiple_Regression!F45+Multiple_Regression!$L$19*Multiple_Regression!G45</f>
        <v>591587.198816133</v>
      </c>
      <c r="G45" s="20" t="n">
        <f aca="false">E45-F45</f>
        <v>608.651183866896</v>
      </c>
      <c r="H45" s="20" t="n">
        <f aca="false">ABS(G45)</f>
        <v>608.651183866896</v>
      </c>
    </row>
    <row r="46" customFormat="false" ht="15" hidden="false" customHeight="true" outlineLevel="0" collapsed="false">
      <c r="A46" s="3" t="str">
        <f aca="false">Model_Data!A45</f>
        <v>STR-1011</v>
      </c>
      <c r="B46" s="4" t="n">
        <f aca="false">Model_Data!B45</f>
        <v>45689</v>
      </c>
      <c r="C46" s="3" t="str">
        <f aca="false">Model_Data!C45</f>
        <v>East</v>
      </c>
      <c r="D46" s="3" t="str">
        <f aca="false">Model_Data!D45</f>
        <v>Mall</v>
      </c>
      <c r="E46" s="20" t="n">
        <f aca="false">Multiple_Regression!H46</f>
        <v>532644.46</v>
      </c>
      <c r="F46" s="20" t="n">
        <f aca="false">Multiple_Regression!$L$12+Multiple_Regression!$L$13*Multiple_Regression!A46+Multiple_Regression!$L$14*Multiple_Regression!B46+Multiple_Regression!$L$15*Multiple_Regression!C46+Multiple_Regression!$L$16*Multiple_Regression!D46+Multiple_Regression!$L$17*Multiple_Regression!E46+Multiple_Regression!$L$18*Multiple_Regression!F46+Multiple_Regression!$L$19*Multiple_Regression!G46</f>
        <v>528603.682588707</v>
      </c>
      <c r="G46" s="20" t="n">
        <f aca="false">E46-F46</f>
        <v>4040.77741129289</v>
      </c>
      <c r="H46" s="20" t="n">
        <f aca="false">ABS(G46)</f>
        <v>4040.77741129289</v>
      </c>
    </row>
    <row r="47" customFormat="false" ht="15" hidden="false" customHeight="true" outlineLevel="0" collapsed="false">
      <c r="A47" s="3" t="str">
        <f aca="false">Model_Data!A46</f>
        <v>STR-1011</v>
      </c>
      <c r="B47" s="4" t="n">
        <f aca="false">Model_Data!B46</f>
        <v>45717</v>
      </c>
      <c r="C47" s="3" t="str">
        <f aca="false">Model_Data!C46</f>
        <v>East</v>
      </c>
      <c r="D47" s="3" t="str">
        <f aca="false">Model_Data!D46</f>
        <v>Mall</v>
      </c>
      <c r="E47" s="20" t="n">
        <f aca="false">Multiple_Regression!H47</f>
        <v>657429.18</v>
      </c>
      <c r="F47" s="20" t="n">
        <f aca="false">Multiple_Regression!$L$12+Multiple_Regression!$L$13*Multiple_Regression!A47+Multiple_Regression!$L$14*Multiple_Regression!B47+Multiple_Regression!$L$15*Multiple_Regression!C47+Multiple_Regression!$L$16*Multiple_Regression!D47+Multiple_Regression!$L$17*Multiple_Regression!E47+Multiple_Regression!$L$18*Multiple_Regression!F47+Multiple_Regression!$L$19*Multiple_Regression!G47</f>
        <v>597967.001209693</v>
      </c>
      <c r="G47" s="20" t="n">
        <f aca="false">E47-F47</f>
        <v>59462.1787903067</v>
      </c>
      <c r="H47" s="20" t="n">
        <f aca="false">ABS(G47)</f>
        <v>59462.1787903067</v>
      </c>
    </row>
    <row r="48" customFormat="false" ht="15" hidden="false" customHeight="true" outlineLevel="0" collapsed="false">
      <c r="A48" s="3" t="str">
        <f aca="false">Model_Data!A47</f>
        <v>STR-1011</v>
      </c>
      <c r="B48" s="4" t="n">
        <f aca="false">Model_Data!B47</f>
        <v>45748</v>
      </c>
      <c r="C48" s="3" t="str">
        <f aca="false">Model_Data!C47</f>
        <v>East</v>
      </c>
      <c r="D48" s="3" t="str">
        <f aca="false">Model_Data!D47</f>
        <v>Mall</v>
      </c>
      <c r="E48" s="20" t="n">
        <f aca="false">Multiple_Regression!H48</f>
        <v>605178</v>
      </c>
      <c r="F48" s="20" t="n">
        <f aca="false">Multiple_Regression!$L$12+Multiple_Regression!$L$13*Multiple_Regression!A48+Multiple_Regression!$L$14*Multiple_Regression!B48+Multiple_Regression!$L$15*Multiple_Regression!C48+Multiple_Regression!$L$16*Multiple_Regression!D48+Multiple_Regression!$L$17*Multiple_Regression!E48+Multiple_Regression!$L$18*Multiple_Regression!F48+Multiple_Regression!$L$19*Multiple_Regression!G48</f>
        <v>608958.036965202</v>
      </c>
      <c r="G48" s="20" t="n">
        <f aca="false">E48-F48</f>
        <v>-3780.03696520161</v>
      </c>
      <c r="H48" s="20" t="n">
        <f aca="false">ABS(G48)</f>
        <v>3780.03696520161</v>
      </c>
    </row>
    <row r="49" customFormat="false" ht="15" hidden="false" customHeight="true" outlineLevel="0" collapsed="false">
      <c r="A49" s="3" t="str">
        <f aca="false">Model_Data!A48</f>
        <v>STR-1012</v>
      </c>
      <c r="B49" s="4" t="n">
        <f aca="false">Model_Data!B48</f>
        <v>45658</v>
      </c>
      <c r="C49" s="3" t="str">
        <f aca="false">Model_Data!C48</f>
        <v>West</v>
      </c>
      <c r="D49" s="3" t="str">
        <f aca="false">Model_Data!D48</f>
        <v>Residential</v>
      </c>
      <c r="E49" s="20" t="n">
        <f aca="false">Multiple_Regression!H49</f>
        <v>595467.6</v>
      </c>
      <c r="F49" s="20" t="n">
        <f aca="false">Multiple_Regression!$L$12+Multiple_Regression!$L$13*Multiple_Regression!A49+Multiple_Regression!$L$14*Multiple_Regression!B49+Multiple_Regression!$L$15*Multiple_Regression!C49+Multiple_Regression!$L$16*Multiple_Regression!D49+Multiple_Regression!$L$17*Multiple_Regression!E49+Multiple_Regression!$L$18*Multiple_Regression!F49+Multiple_Regression!$L$19*Multiple_Regression!G49</f>
        <v>716546.491513569</v>
      </c>
      <c r="G49" s="20" t="n">
        <f aca="false">E49-F49</f>
        <v>-121078.891513569</v>
      </c>
      <c r="H49" s="20" t="n">
        <f aca="false">ABS(G49)</f>
        <v>121078.891513569</v>
      </c>
    </row>
    <row r="50" customFormat="false" ht="15" hidden="false" customHeight="true" outlineLevel="0" collapsed="false">
      <c r="A50" s="3" t="str">
        <f aca="false">Model_Data!A49</f>
        <v>STR-1012</v>
      </c>
      <c r="B50" s="4" t="n">
        <f aca="false">Model_Data!B49</f>
        <v>45689</v>
      </c>
      <c r="C50" s="3" t="str">
        <f aca="false">Model_Data!C49</f>
        <v>West</v>
      </c>
      <c r="D50" s="3" t="str">
        <f aca="false">Model_Data!D49</f>
        <v>Residential</v>
      </c>
      <c r="E50" s="20" t="n">
        <f aca="false">Multiple_Regression!H50</f>
        <v>599603.4</v>
      </c>
      <c r="F50" s="20" t="n">
        <f aca="false">Multiple_Regression!$L$12+Multiple_Regression!$L$13*Multiple_Regression!A50+Multiple_Regression!$L$14*Multiple_Regression!B50+Multiple_Regression!$L$15*Multiple_Regression!C50+Multiple_Regression!$L$16*Multiple_Regression!D50+Multiple_Regression!$L$17*Multiple_Regression!E50+Multiple_Regression!$L$18*Multiple_Regression!F50+Multiple_Regression!$L$19*Multiple_Regression!G50</f>
        <v>626713.112539162</v>
      </c>
      <c r="G50" s="20" t="n">
        <f aca="false">E50-F50</f>
        <v>-27109.7125391624</v>
      </c>
      <c r="H50" s="20" t="n">
        <f aca="false">ABS(G50)</f>
        <v>27109.7125391624</v>
      </c>
    </row>
    <row r="51" customFormat="false" ht="15" hidden="false" customHeight="true" outlineLevel="0" collapsed="false">
      <c r="A51" s="3" t="str">
        <f aca="false">Model_Data!A50</f>
        <v>STR-1012</v>
      </c>
      <c r="B51" s="4" t="n">
        <f aca="false">Model_Data!B50</f>
        <v>45717</v>
      </c>
      <c r="C51" s="3" t="str">
        <f aca="false">Model_Data!C50</f>
        <v>West</v>
      </c>
      <c r="D51" s="3" t="str">
        <f aca="false">Model_Data!D50</f>
        <v>Residential</v>
      </c>
      <c r="E51" s="20" t="n">
        <f aca="false">Multiple_Regression!H51</f>
        <v>614800.09</v>
      </c>
      <c r="F51" s="20" t="n">
        <f aca="false">Multiple_Regression!$L$12+Multiple_Regression!$L$13*Multiple_Regression!A51+Multiple_Regression!$L$14*Multiple_Regression!B51+Multiple_Regression!$L$15*Multiple_Regression!C51+Multiple_Regression!$L$16*Multiple_Regression!D51+Multiple_Regression!$L$17*Multiple_Regression!E51+Multiple_Regression!$L$18*Multiple_Regression!F51+Multiple_Regression!$L$19*Multiple_Regression!G51</f>
        <v>572873.354694059</v>
      </c>
      <c r="G51" s="20" t="n">
        <f aca="false">E51-F51</f>
        <v>41926.7353059413</v>
      </c>
      <c r="H51" s="20" t="n">
        <f aca="false">ABS(G51)</f>
        <v>41926.7353059413</v>
      </c>
    </row>
    <row r="52" customFormat="false" ht="15" hidden="false" customHeight="true" outlineLevel="0" collapsed="false">
      <c r="A52" s="3" t="str">
        <f aca="false">Model_Data!A51</f>
        <v>STR-1012</v>
      </c>
      <c r="B52" s="4" t="n">
        <f aca="false">Model_Data!B51</f>
        <v>45748</v>
      </c>
      <c r="C52" s="3" t="str">
        <f aca="false">Model_Data!C51</f>
        <v>West</v>
      </c>
      <c r="D52" s="3" t="str">
        <f aca="false">Model_Data!D51</f>
        <v>Residential</v>
      </c>
      <c r="E52" s="20" t="n">
        <f aca="false">Multiple_Regression!H52</f>
        <v>585365.73</v>
      </c>
      <c r="F52" s="20" t="n">
        <f aca="false">Multiple_Regression!$L$12+Multiple_Regression!$L$13*Multiple_Regression!A52+Multiple_Regression!$L$14*Multiple_Regression!B52+Multiple_Regression!$L$15*Multiple_Regression!C52+Multiple_Regression!$L$16*Multiple_Regression!D52+Multiple_Regression!$L$17*Multiple_Regression!E52+Multiple_Regression!$L$18*Multiple_Regression!F52+Multiple_Regression!$L$19*Multiple_Regression!G52</f>
        <v>561519.155214251</v>
      </c>
      <c r="G52" s="20" t="n">
        <f aca="false">E52-F52</f>
        <v>23846.5747857488</v>
      </c>
      <c r="H52" s="20" t="n">
        <f aca="false">ABS(G52)</f>
        <v>23846.5747857488</v>
      </c>
    </row>
    <row r="53" customFormat="false" ht="15" hidden="false" customHeight="true" outlineLevel="0" collapsed="false">
      <c r="A53" s="3" t="str">
        <f aca="false">Model_Data!A52</f>
        <v>STR-1013</v>
      </c>
      <c r="B53" s="4" t="n">
        <f aca="false">Model_Data!B52</f>
        <v>45658</v>
      </c>
      <c r="C53" s="3" t="str">
        <f aca="false">Model_Data!C52</f>
        <v>North</v>
      </c>
      <c r="D53" s="3" t="str">
        <f aca="false">Model_Data!D52</f>
        <v>Mall</v>
      </c>
      <c r="E53" s="20" t="n">
        <f aca="false">Multiple_Regression!H53</f>
        <v>622811.74</v>
      </c>
      <c r="F53" s="20" t="n">
        <f aca="false">Multiple_Regression!$L$12+Multiple_Regression!$L$13*Multiple_Regression!A53+Multiple_Regression!$L$14*Multiple_Regression!B53+Multiple_Regression!$L$15*Multiple_Regression!C53+Multiple_Regression!$L$16*Multiple_Regression!D53+Multiple_Regression!$L$17*Multiple_Regression!E53+Multiple_Regression!$L$18*Multiple_Regression!F53+Multiple_Regression!$L$19*Multiple_Regression!G53</f>
        <v>660104.208728746</v>
      </c>
      <c r="G53" s="20" t="n">
        <f aca="false">E53-F53</f>
        <v>-37292.4687287456</v>
      </c>
      <c r="H53" s="20" t="n">
        <f aca="false">ABS(G53)</f>
        <v>37292.4687287456</v>
      </c>
    </row>
    <row r="54" customFormat="false" ht="15" hidden="false" customHeight="true" outlineLevel="0" collapsed="false">
      <c r="A54" s="3" t="str">
        <f aca="false">Model_Data!A53</f>
        <v>STR-1013</v>
      </c>
      <c r="B54" s="4" t="n">
        <f aca="false">Model_Data!B53</f>
        <v>45689</v>
      </c>
      <c r="C54" s="3" t="str">
        <f aca="false">Model_Data!C53</f>
        <v>North</v>
      </c>
      <c r="D54" s="3" t="str">
        <f aca="false">Model_Data!D53</f>
        <v>Mall</v>
      </c>
      <c r="E54" s="20" t="n">
        <f aca="false">Multiple_Regression!H54</f>
        <v>603297.57</v>
      </c>
      <c r="F54" s="20" t="n">
        <f aca="false">Multiple_Regression!$L$12+Multiple_Regression!$L$13*Multiple_Regression!A54+Multiple_Regression!$L$14*Multiple_Regression!B54+Multiple_Regression!$L$15*Multiple_Regression!C54+Multiple_Regression!$L$16*Multiple_Regression!D54+Multiple_Regression!$L$17*Multiple_Regression!E54+Multiple_Regression!$L$18*Multiple_Regression!F54+Multiple_Regression!$L$19*Multiple_Regression!G54</f>
        <v>593664.688908188</v>
      </c>
      <c r="G54" s="20" t="n">
        <f aca="false">E54-F54</f>
        <v>9632.88109181158</v>
      </c>
      <c r="H54" s="20" t="n">
        <f aca="false">ABS(G54)</f>
        <v>9632.88109181158</v>
      </c>
    </row>
    <row r="55" customFormat="false" ht="15" hidden="false" customHeight="true" outlineLevel="0" collapsed="false">
      <c r="A55" s="3" t="str">
        <f aca="false">Model_Data!A54</f>
        <v>STR-1013</v>
      </c>
      <c r="B55" s="4" t="n">
        <f aca="false">Model_Data!B54</f>
        <v>45717</v>
      </c>
      <c r="C55" s="3" t="str">
        <f aca="false">Model_Data!C54</f>
        <v>North</v>
      </c>
      <c r="D55" s="3" t="str">
        <f aca="false">Model_Data!D54</f>
        <v>Mall</v>
      </c>
      <c r="E55" s="20" t="n">
        <f aca="false">Multiple_Regression!H55</f>
        <v>625672.86</v>
      </c>
      <c r="F55" s="20" t="n">
        <f aca="false">Multiple_Regression!$L$12+Multiple_Regression!$L$13*Multiple_Regression!A55+Multiple_Regression!$L$14*Multiple_Regression!B55+Multiple_Regression!$L$15*Multiple_Regression!C55+Multiple_Regression!$L$16*Multiple_Regression!D55+Multiple_Regression!$L$17*Multiple_Regression!E55+Multiple_Regression!$L$18*Multiple_Regression!F55+Multiple_Regression!$L$19*Multiple_Regression!G55</f>
        <v>618822.712584912</v>
      </c>
      <c r="G55" s="20" t="n">
        <f aca="false">E55-F55</f>
        <v>6850.14741508849</v>
      </c>
      <c r="H55" s="20" t="n">
        <f aca="false">ABS(G55)</f>
        <v>6850.14741508849</v>
      </c>
    </row>
    <row r="56" customFormat="false" ht="15" hidden="false" customHeight="true" outlineLevel="0" collapsed="false">
      <c r="A56" s="3" t="str">
        <f aca="false">Model_Data!A55</f>
        <v>STR-1013</v>
      </c>
      <c r="B56" s="4" t="n">
        <f aca="false">Model_Data!B55</f>
        <v>45748</v>
      </c>
      <c r="C56" s="3" t="str">
        <f aca="false">Model_Data!C55</f>
        <v>North</v>
      </c>
      <c r="D56" s="3" t="str">
        <f aca="false">Model_Data!D55</f>
        <v>Mall</v>
      </c>
      <c r="E56" s="20" t="n">
        <f aca="false">Multiple_Regression!H56</f>
        <v>773815.14</v>
      </c>
      <c r="F56" s="20" t="n">
        <f aca="false">Multiple_Regression!$L$12+Multiple_Regression!$L$13*Multiple_Regression!A56+Multiple_Regression!$L$14*Multiple_Regression!B56+Multiple_Regression!$L$15*Multiple_Regression!C56+Multiple_Regression!$L$16*Multiple_Regression!D56+Multiple_Regression!$L$17*Multiple_Regression!E56+Multiple_Regression!$L$18*Multiple_Regression!F56+Multiple_Regression!$L$19*Multiple_Regression!G56</f>
        <v>744747.760979093</v>
      </c>
      <c r="G56" s="20" t="n">
        <f aca="false">E56-F56</f>
        <v>29067.379020907</v>
      </c>
      <c r="H56" s="20" t="n">
        <f aca="false">ABS(G56)</f>
        <v>29067.379020907</v>
      </c>
    </row>
    <row r="57" customFormat="false" ht="15" hidden="false" customHeight="true" outlineLevel="0" collapsed="false">
      <c r="A57" s="3" t="str">
        <f aca="false">Model_Data!A56</f>
        <v>STR-1014</v>
      </c>
      <c r="B57" s="4" t="n">
        <f aca="false">Model_Data!B56</f>
        <v>45658</v>
      </c>
      <c r="C57" s="3" t="str">
        <f aca="false">Model_Data!C56</f>
        <v>West</v>
      </c>
      <c r="D57" s="3" t="str">
        <f aca="false">Model_Data!D56</f>
        <v>High Street</v>
      </c>
      <c r="E57" s="20" t="n">
        <f aca="false">Multiple_Regression!H57</f>
        <v>463534.25</v>
      </c>
      <c r="F57" s="20" t="n">
        <f aca="false">Multiple_Regression!$L$12+Multiple_Regression!$L$13*Multiple_Regression!A57+Multiple_Regression!$L$14*Multiple_Regression!B57+Multiple_Regression!$L$15*Multiple_Regression!C57+Multiple_Regression!$L$16*Multiple_Regression!D57+Multiple_Regression!$L$17*Multiple_Regression!E57+Multiple_Regression!$L$18*Multiple_Regression!F57+Multiple_Regression!$L$19*Multiple_Regression!G57</f>
        <v>556963.06267766</v>
      </c>
      <c r="G57" s="20" t="n">
        <f aca="false">E57-F57</f>
        <v>-93428.8126776604</v>
      </c>
      <c r="H57" s="20" t="n">
        <f aca="false">ABS(G57)</f>
        <v>93428.8126776604</v>
      </c>
    </row>
    <row r="58" customFormat="false" ht="15" hidden="false" customHeight="true" outlineLevel="0" collapsed="false">
      <c r="A58" s="3" t="str">
        <f aca="false">Model_Data!A57</f>
        <v>STR-1014</v>
      </c>
      <c r="B58" s="4" t="n">
        <f aca="false">Model_Data!B57</f>
        <v>45689</v>
      </c>
      <c r="C58" s="3" t="str">
        <f aca="false">Model_Data!C57</f>
        <v>West</v>
      </c>
      <c r="D58" s="3" t="str">
        <f aca="false">Model_Data!D57</f>
        <v>High Street</v>
      </c>
      <c r="E58" s="20" t="n">
        <f aca="false">Multiple_Regression!H58</f>
        <v>746677.75</v>
      </c>
      <c r="F58" s="20" t="n">
        <f aca="false">Multiple_Regression!$L$12+Multiple_Regression!$L$13*Multiple_Regression!A58+Multiple_Regression!$L$14*Multiple_Regression!B58+Multiple_Regression!$L$15*Multiple_Regression!C58+Multiple_Regression!$L$16*Multiple_Regression!D58+Multiple_Regression!$L$17*Multiple_Regression!E58+Multiple_Regression!$L$18*Multiple_Regression!F58+Multiple_Regression!$L$19*Multiple_Regression!G58</f>
        <v>702267.259736356</v>
      </c>
      <c r="G58" s="20" t="n">
        <f aca="false">E58-F58</f>
        <v>44410.4902636441</v>
      </c>
      <c r="H58" s="20" t="n">
        <f aca="false">ABS(G58)</f>
        <v>44410.4902636441</v>
      </c>
    </row>
    <row r="59" customFormat="false" ht="15" hidden="false" customHeight="true" outlineLevel="0" collapsed="false">
      <c r="A59" s="3" t="str">
        <f aca="false">Model_Data!A58</f>
        <v>STR-1014</v>
      </c>
      <c r="B59" s="4" t="n">
        <f aca="false">Model_Data!B58</f>
        <v>45717</v>
      </c>
      <c r="C59" s="3" t="str">
        <f aca="false">Model_Data!C58</f>
        <v>West</v>
      </c>
      <c r="D59" s="3" t="str">
        <f aca="false">Model_Data!D58</f>
        <v>High Street</v>
      </c>
      <c r="E59" s="20" t="n">
        <f aca="false">Multiple_Regression!H59</f>
        <v>720852.5</v>
      </c>
      <c r="F59" s="20" t="n">
        <f aca="false">Multiple_Regression!$L$12+Multiple_Regression!$L$13*Multiple_Regression!A59+Multiple_Regression!$L$14*Multiple_Regression!B59+Multiple_Regression!$L$15*Multiple_Regression!C59+Multiple_Regression!$L$16*Multiple_Regression!D59+Multiple_Regression!$L$17*Multiple_Regression!E59+Multiple_Regression!$L$18*Multiple_Regression!F59+Multiple_Regression!$L$19*Multiple_Regression!G59</f>
        <v>675098.90293462</v>
      </c>
      <c r="G59" s="20" t="n">
        <f aca="false">E59-F59</f>
        <v>45753.5970653802</v>
      </c>
      <c r="H59" s="20" t="n">
        <f aca="false">ABS(G59)</f>
        <v>45753.5970653802</v>
      </c>
    </row>
    <row r="60" customFormat="false" ht="15" hidden="false" customHeight="true" outlineLevel="0" collapsed="false">
      <c r="A60" s="3" t="str">
        <f aca="false">Model_Data!A59</f>
        <v>STR-1014</v>
      </c>
      <c r="B60" s="4" t="n">
        <f aca="false">Model_Data!B59</f>
        <v>45748</v>
      </c>
      <c r="C60" s="3" t="str">
        <f aca="false">Model_Data!C59</f>
        <v>West</v>
      </c>
      <c r="D60" s="3" t="str">
        <f aca="false">Model_Data!D59</f>
        <v>High Street</v>
      </c>
      <c r="E60" s="20" t="n">
        <f aca="false">Multiple_Regression!H60</f>
        <v>487464.91</v>
      </c>
      <c r="F60" s="20" t="n">
        <f aca="false">Multiple_Regression!$L$12+Multiple_Regression!$L$13*Multiple_Regression!A60+Multiple_Regression!$L$14*Multiple_Regression!B60+Multiple_Regression!$L$15*Multiple_Regression!C60+Multiple_Regression!$L$16*Multiple_Regression!D60+Multiple_Regression!$L$17*Multiple_Regression!E60+Multiple_Regression!$L$18*Multiple_Regression!F60+Multiple_Regression!$L$19*Multiple_Regression!G60</f>
        <v>528998.67713608</v>
      </c>
      <c r="G60" s="20" t="n">
        <f aca="false">E60-F60</f>
        <v>-41533.7671360796</v>
      </c>
      <c r="H60" s="20" t="n">
        <f aca="false">ABS(G60)</f>
        <v>41533.7671360796</v>
      </c>
    </row>
    <row r="61" customFormat="false" ht="15" hidden="false" customHeight="true" outlineLevel="0" collapsed="false">
      <c r="A61" s="3" t="str">
        <f aca="false">Model_Data!A60</f>
        <v>STR-1015</v>
      </c>
      <c r="B61" s="4" t="n">
        <f aca="false">Model_Data!B60</f>
        <v>45658</v>
      </c>
      <c r="C61" s="3" t="str">
        <f aca="false">Model_Data!C60</f>
        <v>East</v>
      </c>
      <c r="D61" s="3" t="str">
        <f aca="false">Model_Data!D60</f>
        <v>Airport</v>
      </c>
      <c r="E61" s="20" t="n">
        <f aca="false">Multiple_Regression!H61</f>
        <v>518049.26</v>
      </c>
      <c r="F61" s="20" t="n">
        <f aca="false">Multiple_Regression!$L$12+Multiple_Regression!$L$13*Multiple_Regression!A61+Multiple_Regression!$L$14*Multiple_Regression!B61+Multiple_Regression!$L$15*Multiple_Regression!C61+Multiple_Regression!$L$16*Multiple_Regression!D61+Multiple_Regression!$L$17*Multiple_Regression!E61+Multiple_Regression!$L$18*Multiple_Regression!F61+Multiple_Regression!$L$19*Multiple_Regression!G61</f>
        <v>545956.509987997</v>
      </c>
      <c r="G61" s="20" t="n">
        <f aca="false">E61-F61</f>
        <v>-27907.2499879969</v>
      </c>
      <c r="H61" s="20" t="n">
        <f aca="false">ABS(G61)</f>
        <v>27907.2499879969</v>
      </c>
    </row>
    <row r="62" customFormat="false" ht="15" hidden="false" customHeight="true" outlineLevel="0" collapsed="false">
      <c r="A62" s="3" t="str">
        <f aca="false">Model_Data!A61</f>
        <v>STR-1015</v>
      </c>
      <c r="B62" s="4" t="n">
        <f aca="false">Model_Data!B61</f>
        <v>45689</v>
      </c>
      <c r="C62" s="3" t="str">
        <f aca="false">Model_Data!C61</f>
        <v>East</v>
      </c>
      <c r="D62" s="3" t="str">
        <f aca="false">Model_Data!D61</f>
        <v>Airport</v>
      </c>
      <c r="E62" s="20" t="n">
        <f aca="false">Multiple_Regression!H62</f>
        <v>500298.48</v>
      </c>
      <c r="F62" s="20" t="n">
        <f aca="false">Multiple_Regression!$L$12+Multiple_Regression!$L$13*Multiple_Regression!A62+Multiple_Regression!$L$14*Multiple_Regression!B62+Multiple_Regression!$L$15*Multiple_Regression!C62+Multiple_Regression!$L$16*Multiple_Regression!D62+Multiple_Regression!$L$17*Multiple_Regression!E62+Multiple_Regression!$L$18*Multiple_Regression!F62+Multiple_Regression!$L$19*Multiple_Regression!G62</f>
        <v>538515.202462924</v>
      </c>
      <c r="G62" s="20" t="n">
        <f aca="false">E62-F62</f>
        <v>-38216.7224629242</v>
      </c>
      <c r="H62" s="20" t="n">
        <f aca="false">ABS(G62)</f>
        <v>38216.7224629242</v>
      </c>
    </row>
    <row r="63" customFormat="false" ht="15" hidden="false" customHeight="true" outlineLevel="0" collapsed="false">
      <c r="A63" s="3" t="str">
        <f aca="false">Model_Data!A62</f>
        <v>STR-1015</v>
      </c>
      <c r="B63" s="4" t="n">
        <f aca="false">Model_Data!B62</f>
        <v>45717</v>
      </c>
      <c r="C63" s="3" t="str">
        <f aca="false">Model_Data!C62</f>
        <v>East</v>
      </c>
      <c r="D63" s="3" t="str">
        <f aca="false">Model_Data!D62</f>
        <v>Airport</v>
      </c>
      <c r="E63" s="20" t="n">
        <f aca="false">Multiple_Regression!H63</f>
        <v>617291.15</v>
      </c>
      <c r="F63" s="20" t="n">
        <f aca="false">Multiple_Regression!$L$12+Multiple_Regression!$L$13*Multiple_Regression!A63+Multiple_Regression!$L$14*Multiple_Regression!B63+Multiple_Regression!$L$15*Multiple_Regression!C63+Multiple_Regression!$L$16*Multiple_Regression!D63+Multiple_Regression!$L$17*Multiple_Regression!E63+Multiple_Regression!$L$18*Multiple_Regression!F63+Multiple_Regression!$L$19*Multiple_Regression!G63</f>
        <v>686138.91802078</v>
      </c>
      <c r="G63" s="20" t="n">
        <f aca="false">E63-F63</f>
        <v>-68847.7680207804</v>
      </c>
      <c r="H63" s="20" t="n">
        <f aca="false">ABS(G63)</f>
        <v>68847.7680207804</v>
      </c>
    </row>
    <row r="64" customFormat="false" ht="15" hidden="false" customHeight="true" outlineLevel="0" collapsed="false">
      <c r="A64" s="3" t="str">
        <f aca="false">Model_Data!A63</f>
        <v>STR-1015</v>
      </c>
      <c r="B64" s="4" t="n">
        <f aca="false">Model_Data!B63</f>
        <v>45748</v>
      </c>
      <c r="C64" s="3" t="str">
        <f aca="false">Model_Data!C63</f>
        <v>East</v>
      </c>
      <c r="D64" s="3" t="str">
        <f aca="false">Model_Data!D63</f>
        <v>Airport</v>
      </c>
      <c r="E64" s="20" t="n">
        <f aca="false">Multiple_Regression!H64</f>
        <v>553756.43</v>
      </c>
      <c r="F64" s="20" t="n">
        <f aca="false">Multiple_Regression!$L$12+Multiple_Regression!$L$13*Multiple_Regression!A64+Multiple_Regression!$L$14*Multiple_Regression!B64+Multiple_Regression!$L$15*Multiple_Regression!C64+Multiple_Regression!$L$16*Multiple_Regression!D64+Multiple_Regression!$L$17*Multiple_Regression!E64+Multiple_Regression!$L$18*Multiple_Regression!F64+Multiple_Regression!$L$19*Multiple_Regression!G64</f>
        <v>628369.00907913</v>
      </c>
      <c r="G64" s="20" t="n">
        <f aca="false">E64-F64</f>
        <v>-74612.5790791295</v>
      </c>
      <c r="H64" s="20" t="n">
        <f aca="false">ABS(G64)</f>
        <v>74612.5790791295</v>
      </c>
    </row>
    <row r="65" customFormat="false" ht="15" hidden="false" customHeight="true" outlineLevel="0" collapsed="false">
      <c r="A65" s="3" t="str">
        <f aca="false">Model_Data!A64</f>
        <v>STR-1016</v>
      </c>
      <c r="B65" s="4" t="n">
        <f aca="false">Model_Data!B64</f>
        <v>45658</v>
      </c>
      <c r="C65" s="3" t="str">
        <f aca="false">Model_Data!C64</f>
        <v>South</v>
      </c>
      <c r="D65" s="3" t="str">
        <f aca="false">Model_Data!D64</f>
        <v>High Street</v>
      </c>
      <c r="E65" s="20" t="n">
        <f aca="false">Multiple_Regression!H65</f>
        <v>749559.71</v>
      </c>
      <c r="F65" s="20" t="n">
        <f aca="false">Multiple_Regression!$L$12+Multiple_Regression!$L$13*Multiple_Regression!A65+Multiple_Regression!$L$14*Multiple_Regression!B65+Multiple_Regression!$L$15*Multiple_Regression!C65+Multiple_Regression!$L$16*Multiple_Regression!D65+Multiple_Regression!$L$17*Multiple_Regression!E65+Multiple_Regression!$L$18*Multiple_Regression!F65+Multiple_Regression!$L$19*Multiple_Regression!G65</f>
        <v>686102.920614476</v>
      </c>
      <c r="G65" s="20" t="n">
        <f aca="false">E65-F65</f>
        <v>63456.7893855243</v>
      </c>
      <c r="H65" s="20" t="n">
        <f aca="false">ABS(G65)</f>
        <v>63456.7893855243</v>
      </c>
    </row>
    <row r="66" customFormat="false" ht="15" hidden="false" customHeight="true" outlineLevel="0" collapsed="false">
      <c r="A66" s="3" t="str">
        <f aca="false">Model_Data!A65</f>
        <v>STR-1016</v>
      </c>
      <c r="B66" s="4" t="n">
        <f aca="false">Model_Data!B65</f>
        <v>45689</v>
      </c>
      <c r="C66" s="3" t="str">
        <f aca="false">Model_Data!C65</f>
        <v>South</v>
      </c>
      <c r="D66" s="3" t="str">
        <f aca="false">Model_Data!D65</f>
        <v>High Street</v>
      </c>
      <c r="E66" s="20" t="n">
        <f aca="false">Multiple_Regression!H66</f>
        <v>615966.48</v>
      </c>
      <c r="F66" s="20" t="n">
        <f aca="false">Multiple_Regression!$L$12+Multiple_Regression!$L$13*Multiple_Regression!A66+Multiple_Regression!$L$14*Multiple_Regression!B66+Multiple_Regression!$L$15*Multiple_Regression!C66+Multiple_Regression!$L$16*Multiple_Regression!D66+Multiple_Regression!$L$17*Multiple_Regression!E66+Multiple_Regression!$L$18*Multiple_Regression!F66+Multiple_Regression!$L$19*Multiple_Regression!G66</f>
        <v>567845.726293696</v>
      </c>
      <c r="G66" s="20" t="n">
        <f aca="false">E66-F66</f>
        <v>48120.7537063037</v>
      </c>
      <c r="H66" s="20" t="n">
        <f aca="false">ABS(G66)</f>
        <v>48120.7537063037</v>
      </c>
    </row>
    <row r="67" customFormat="false" ht="15" hidden="false" customHeight="true" outlineLevel="0" collapsed="false">
      <c r="A67" s="3" t="str">
        <f aca="false">Model_Data!A66</f>
        <v>STR-1016</v>
      </c>
      <c r="B67" s="4" t="n">
        <f aca="false">Model_Data!B66</f>
        <v>45717</v>
      </c>
      <c r="C67" s="3" t="str">
        <f aca="false">Model_Data!C66</f>
        <v>South</v>
      </c>
      <c r="D67" s="3" t="str">
        <f aca="false">Model_Data!D66</f>
        <v>High Street</v>
      </c>
      <c r="E67" s="20" t="n">
        <f aca="false">Multiple_Regression!H67</f>
        <v>572011.2</v>
      </c>
      <c r="F67" s="20" t="n">
        <f aca="false">Multiple_Regression!$L$12+Multiple_Regression!$L$13*Multiple_Regression!A67+Multiple_Regression!$L$14*Multiple_Regression!B67+Multiple_Regression!$L$15*Multiple_Regression!C67+Multiple_Regression!$L$16*Multiple_Regression!D67+Multiple_Regression!$L$17*Multiple_Regression!E67+Multiple_Regression!$L$18*Multiple_Regression!F67+Multiple_Regression!$L$19*Multiple_Regression!G67</f>
        <v>584575.924216914</v>
      </c>
      <c r="G67" s="20" t="n">
        <f aca="false">E67-F67</f>
        <v>-12564.7242169144</v>
      </c>
      <c r="H67" s="20" t="n">
        <f aca="false">ABS(G67)</f>
        <v>12564.7242169144</v>
      </c>
    </row>
    <row r="68" customFormat="false" ht="15" hidden="false" customHeight="true" outlineLevel="0" collapsed="false">
      <c r="A68" s="3" t="str">
        <f aca="false">Model_Data!A67</f>
        <v>STR-1016</v>
      </c>
      <c r="B68" s="4" t="n">
        <f aca="false">Model_Data!B67</f>
        <v>45748</v>
      </c>
      <c r="C68" s="3" t="str">
        <f aca="false">Model_Data!C67</f>
        <v>South</v>
      </c>
      <c r="D68" s="3" t="str">
        <f aca="false">Model_Data!D67</f>
        <v>High Street</v>
      </c>
      <c r="E68" s="20" t="n">
        <f aca="false">Multiple_Regression!H68</f>
        <v>761860.19</v>
      </c>
      <c r="F68" s="20" t="n">
        <f aca="false">Multiple_Regression!$L$12+Multiple_Regression!$L$13*Multiple_Regression!A68+Multiple_Regression!$L$14*Multiple_Regression!B68+Multiple_Regression!$L$15*Multiple_Regression!C68+Multiple_Regression!$L$16*Multiple_Regression!D68+Multiple_Regression!$L$17*Multiple_Regression!E68+Multiple_Regression!$L$18*Multiple_Regression!F68+Multiple_Regression!$L$19*Multiple_Regression!G68</f>
        <v>717358.118313683</v>
      </c>
      <c r="G68" s="20" t="n">
        <f aca="false">E68-F68</f>
        <v>44502.0716863173</v>
      </c>
      <c r="H68" s="20" t="n">
        <f aca="false">ABS(G68)</f>
        <v>44502.0716863173</v>
      </c>
    </row>
    <row r="69" customFormat="false" ht="15" hidden="false" customHeight="true" outlineLevel="0" collapsed="false">
      <c r="A69" s="3" t="str">
        <f aca="false">Model_Data!A68</f>
        <v>STR-1017</v>
      </c>
      <c r="B69" s="4" t="n">
        <f aca="false">Model_Data!B68</f>
        <v>45658</v>
      </c>
      <c r="C69" s="3" t="str">
        <f aca="false">Model_Data!C68</f>
        <v>West</v>
      </c>
      <c r="D69" s="3" t="str">
        <f aca="false">Model_Data!D68</f>
        <v>High Street</v>
      </c>
      <c r="E69" s="20" t="n">
        <f aca="false">Multiple_Regression!H69</f>
        <v>784502.68</v>
      </c>
      <c r="F69" s="20" t="n">
        <f aca="false">Multiple_Regression!$L$12+Multiple_Regression!$L$13*Multiple_Regression!A69+Multiple_Regression!$L$14*Multiple_Regression!B69+Multiple_Regression!$L$15*Multiple_Regression!C69+Multiple_Regression!$L$16*Multiple_Regression!D69+Multiple_Regression!$L$17*Multiple_Regression!E69+Multiple_Regression!$L$18*Multiple_Regression!F69+Multiple_Regression!$L$19*Multiple_Regression!G69</f>
        <v>806525.234343602</v>
      </c>
      <c r="G69" s="20" t="n">
        <f aca="false">E69-F69</f>
        <v>-22022.5543436022</v>
      </c>
      <c r="H69" s="20" t="n">
        <f aca="false">ABS(G69)</f>
        <v>22022.5543436022</v>
      </c>
    </row>
    <row r="70" customFormat="false" ht="15" hidden="false" customHeight="true" outlineLevel="0" collapsed="false">
      <c r="A70" s="3" t="str">
        <f aca="false">Model_Data!A69</f>
        <v>STR-1017</v>
      </c>
      <c r="B70" s="4" t="n">
        <f aca="false">Model_Data!B69</f>
        <v>45689</v>
      </c>
      <c r="C70" s="3" t="str">
        <f aca="false">Model_Data!C69</f>
        <v>West</v>
      </c>
      <c r="D70" s="3" t="str">
        <f aca="false">Model_Data!D69</f>
        <v>High Street</v>
      </c>
      <c r="E70" s="20" t="n">
        <f aca="false">Multiple_Regression!H70</f>
        <v>717141.55</v>
      </c>
      <c r="F70" s="20" t="n">
        <f aca="false">Multiple_Regression!$L$12+Multiple_Regression!$L$13*Multiple_Regression!A70+Multiple_Regression!$L$14*Multiple_Regression!B70+Multiple_Regression!$L$15*Multiple_Regression!C70+Multiple_Regression!$L$16*Multiple_Regression!D70+Multiple_Regression!$L$17*Multiple_Regression!E70+Multiple_Regression!$L$18*Multiple_Regression!F70+Multiple_Regression!$L$19*Multiple_Regression!G70</f>
        <v>734642.372737289</v>
      </c>
      <c r="G70" s="20" t="n">
        <f aca="false">E70-F70</f>
        <v>-17500.8227372884</v>
      </c>
      <c r="H70" s="20" t="n">
        <f aca="false">ABS(G70)</f>
        <v>17500.8227372884</v>
      </c>
    </row>
    <row r="71" customFormat="false" ht="15" hidden="false" customHeight="true" outlineLevel="0" collapsed="false">
      <c r="A71" s="3" t="str">
        <f aca="false">Model_Data!A70</f>
        <v>STR-1017</v>
      </c>
      <c r="B71" s="4" t="n">
        <f aca="false">Model_Data!B70</f>
        <v>45717</v>
      </c>
      <c r="C71" s="3" t="str">
        <f aca="false">Model_Data!C70</f>
        <v>West</v>
      </c>
      <c r="D71" s="3" t="str">
        <f aca="false">Model_Data!D70</f>
        <v>High Street</v>
      </c>
      <c r="E71" s="20" t="n">
        <f aca="false">Multiple_Regression!H71</f>
        <v>685379.08</v>
      </c>
      <c r="F71" s="20" t="n">
        <f aca="false">Multiple_Regression!$L$12+Multiple_Regression!$L$13*Multiple_Regression!A71+Multiple_Regression!$L$14*Multiple_Regression!B71+Multiple_Regression!$L$15*Multiple_Regression!C71+Multiple_Regression!$L$16*Multiple_Regression!D71+Multiple_Regression!$L$17*Multiple_Regression!E71+Multiple_Regression!$L$18*Multiple_Regression!F71+Multiple_Regression!$L$19*Multiple_Regression!G71</f>
        <v>844620.309586429</v>
      </c>
      <c r="G71" s="20" t="n">
        <f aca="false">E71-F71</f>
        <v>-159241.229586429</v>
      </c>
      <c r="H71" s="20" t="n">
        <f aca="false">ABS(G71)</f>
        <v>159241.229586429</v>
      </c>
    </row>
    <row r="72" customFormat="false" ht="15" hidden="false" customHeight="true" outlineLevel="0" collapsed="false">
      <c r="A72" s="3" t="str">
        <f aca="false">Model_Data!A71</f>
        <v>STR-1017</v>
      </c>
      <c r="B72" s="4" t="n">
        <f aca="false">Model_Data!B71</f>
        <v>45748</v>
      </c>
      <c r="C72" s="3" t="str">
        <f aca="false">Model_Data!C71</f>
        <v>West</v>
      </c>
      <c r="D72" s="3" t="str">
        <f aca="false">Model_Data!D71</f>
        <v>High Street</v>
      </c>
      <c r="E72" s="20" t="n">
        <f aca="false">Multiple_Regression!H72</f>
        <v>740496.65</v>
      </c>
      <c r="F72" s="20" t="n">
        <f aca="false">Multiple_Regression!$L$12+Multiple_Regression!$L$13*Multiple_Regression!A72+Multiple_Regression!$L$14*Multiple_Regression!B72+Multiple_Regression!$L$15*Multiple_Regression!C72+Multiple_Regression!$L$16*Multiple_Regression!D72+Multiple_Regression!$L$17*Multiple_Regression!E72+Multiple_Regression!$L$18*Multiple_Regression!F72+Multiple_Regression!$L$19*Multiple_Regression!G72</f>
        <v>733899.571949475</v>
      </c>
      <c r="G72" s="20" t="n">
        <f aca="false">E72-F72</f>
        <v>6597.07805052458</v>
      </c>
      <c r="H72" s="20" t="n">
        <f aca="false">ABS(G72)</f>
        <v>6597.07805052458</v>
      </c>
    </row>
    <row r="73" customFormat="false" ht="15" hidden="false" customHeight="true" outlineLevel="0" collapsed="false">
      <c r="A73" s="3" t="str">
        <f aca="false">Model_Data!A72</f>
        <v>STR-1018</v>
      </c>
      <c r="B73" s="4" t="n">
        <f aca="false">Model_Data!B72</f>
        <v>45658</v>
      </c>
      <c r="C73" s="3" t="str">
        <f aca="false">Model_Data!C72</f>
        <v>East</v>
      </c>
      <c r="D73" s="3" t="str">
        <f aca="false">Model_Data!D72</f>
        <v>High Street</v>
      </c>
      <c r="E73" s="20" t="n">
        <f aca="false">Multiple_Regression!H73</f>
        <v>661927.14</v>
      </c>
      <c r="F73" s="20" t="n">
        <f aca="false">Multiple_Regression!$L$12+Multiple_Regression!$L$13*Multiple_Regression!A73+Multiple_Regression!$L$14*Multiple_Regression!B73+Multiple_Regression!$L$15*Multiple_Regression!C73+Multiple_Regression!$L$16*Multiple_Regression!D73+Multiple_Regression!$L$17*Multiple_Regression!E73+Multiple_Regression!$L$18*Multiple_Regression!F73+Multiple_Regression!$L$19*Multiple_Regression!G73</f>
        <v>599112.499294589</v>
      </c>
      <c r="G73" s="20" t="n">
        <f aca="false">E73-F73</f>
        <v>62814.6407054112</v>
      </c>
      <c r="H73" s="20" t="n">
        <f aca="false">ABS(G73)</f>
        <v>62814.6407054112</v>
      </c>
    </row>
    <row r="74" customFormat="false" ht="15" hidden="false" customHeight="true" outlineLevel="0" collapsed="false">
      <c r="A74" s="3" t="str">
        <f aca="false">Model_Data!A73</f>
        <v>STR-1018</v>
      </c>
      <c r="B74" s="4" t="n">
        <f aca="false">Model_Data!B73</f>
        <v>45689</v>
      </c>
      <c r="C74" s="3" t="str">
        <f aca="false">Model_Data!C73</f>
        <v>East</v>
      </c>
      <c r="D74" s="3" t="str">
        <f aca="false">Model_Data!D73</f>
        <v>High Street</v>
      </c>
      <c r="E74" s="20" t="n">
        <f aca="false">Multiple_Regression!H74</f>
        <v>479050.5</v>
      </c>
      <c r="F74" s="20" t="n">
        <f aca="false">Multiple_Regression!$L$12+Multiple_Regression!$L$13*Multiple_Regression!A74+Multiple_Regression!$L$14*Multiple_Regression!B74+Multiple_Regression!$L$15*Multiple_Regression!C74+Multiple_Regression!$L$16*Multiple_Regression!D74+Multiple_Regression!$L$17*Multiple_Regression!E74+Multiple_Regression!$L$18*Multiple_Regression!F74+Multiple_Regression!$L$19*Multiple_Regression!G74</f>
        <v>509468.321087432</v>
      </c>
      <c r="G74" s="20" t="n">
        <f aca="false">E74-F74</f>
        <v>-30417.8210874324</v>
      </c>
      <c r="H74" s="20" t="n">
        <f aca="false">ABS(G74)</f>
        <v>30417.8210874324</v>
      </c>
    </row>
    <row r="75" customFormat="false" ht="15" hidden="false" customHeight="true" outlineLevel="0" collapsed="false">
      <c r="A75" s="3" t="str">
        <f aca="false">Model_Data!A74</f>
        <v>STR-1018</v>
      </c>
      <c r="B75" s="4" t="n">
        <f aca="false">Model_Data!B74</f>
        <v>45717</v>
      </c>
      <c r="C75" s="3" t="str">
        <f aca="false">Model_Data!C74</f>
        <v>East</v>
      </c>
      <c r="D75" s="3" t="str">
        <f aca="false">Model_Data!D74</f>
        <v>High Street</v>
      </c>
      <c r="E75" s="20" t="n">
        <f aca="false">Multiple_Regression!H75</f>
        <v>605023.87</v>
      </c>
      <c r="F75" s="20" t="n">
        <f aca="false">Multiple_Regression!$L$12+Multiple_Regression!$L$13*Multiple_Regression!A75+Multiple_Regression!$L$14*Multiple_Regression!B75+Multiple_Regression!$L$15*Multiple_Regression!C75+Multiple_Regression!$L$16*Multiple_Regression!D75+Multiple_Regression!$L$17*Multiple_Regression!E75+Multiple_Regression!$L$18*Multiple_Regression!F75+Multiple_Regression!$L$19*Multiple_Regression!G75</f>
        <v>600511.096147266</v>
      </c>
      <c r="G75" s="20" t="n">
        <f aca="false">E75-F75</f>
        <v>4512.77385273448</v>
      </c>
      <c r="H75" s="20" t="n">
        <f aca="false">ABS(G75)</f>
        <v>4512.77385273448</v>
      </c>
    </row>
    <row r="76" customFormat="false" ht="15" hidden="false" customHeight="true" outlineLevel="0" collapsed="false">
      <c r="A76" s="3" t="str">
        <f aca="false">Model_Data!A75</f>
        <v>STR-1018</v>
      </c>
      <c r="B76" s="4" t="n">
        <f aca="false">Model_Data!B75</f>
        <v>45748</v>
      </c>
      <c r="C76" s="3" t="str">
        <f aca="false">Model_Data!C75</f>
        <v>East</v>
      </c>
      <c r="D76" s="3" t="str">
        <f aca="false">Model_Data!D75</f>
        <v>High Street</v>
      </c>
      <c r="E76" s="20" t="n">
        <f aca="false">Multiple_Regression!H76</f>
        <v>674774.09</v>
      </c>
      <c r="F76" s="20" t="n">
        <f aca="false">Multiple_Regression!$L$12+Multiple_Regression!$L$13*Multiple_Regression!A76+Multiple_Regression!$L$14*Multiple_Regression!B76+Multiple_Regression!$L$15*Multiple_Regression!C76+Multiple_Regression!$L$16*Multiple_Regression!D76+Multiple_Regression!$L$17*Multiple_Regression!E76+Multiple_Regression!$L$18*Multiple_Regression!F76+Multiple_Regression!$L$19*Multiple_Regression!G76</f>
        <v>647743.684094503</v>
      </c>
      <c r="G76" s="20" t="n">
        <f aca="false">E76-F76</f>
        <v>27030.4059054969</v>
      </c>
      <c r="H76" s="20" t="n">
        <f aca="false">ABS(G76)</f>
        <v>27030.4059054969</v>
      </c>
    </row>
    <row r="77" customFormat="false" ht="15" hidden="false" customHeight="true" outlineLevel="0" collapsed="false">
      <c r="A77" s="3" t="str">
        <f aca="false">Model_Data!A76</f>
        <v>STR-1019</v>
      </c>
      <c r="B77" s="4" t="n">
        <f aca="false">Model_Data!B76</f>
        <v>45658</v>
      </c>
      <c r="C77" s="3" t="str">
        <f aca="false">Model_Data!C76</f>
        <v>East</v>
      </c>
      <c r="D77" s="3" t="str">
        <f aca="false">Model_Data!D76</f>
        <v>Residential</v>
      </c>
      <c r="E77" s="20" t="n">
        <f aca="false">Multiple_Regression!H77</f>
        <v>616069.41</v>
      </c>
      <c r="F77" s="20" t="n">
        <f aca="false">Multiple_Regression!$L$12+Multiple_Regression!$L$13*Multiple_Regression!A77+Multiple_Regression!$L$14*Multiple_Regression!B77+Multiple_Regression!$L$15*Multiple_Regression!C77+Multiple_Regression!$L$16*Multiple_Regression!D77+Multiple_Regression!$L$17*Multiple_Regression!E77+Multiple_Regression!$L$18*Multiple_Regression!F77+Multiple_Regression!$L$19*Multiple_Regression!G77</f>
        <v>593584.381162188</v>
      </c>
      <c r="G77" s="20" t="n">
        <f aca="false">E77-F77</f>
        <v>22485.0288378118</v>
      </c>
      <c r="H77" s="20" t="n">
        <f aca="false">ABS(G77)</f>
        <v>22485.0288378118</v>
      </c>
    </row>
    <row r="78" customFormat="false" ht="15" hidden="false" customHeight="true" outlineLevel="0" collapsed="false">
      <c r="A78" s="3" t="str">
        <f aca="false">Model_Data!A77</f>
        <v>STR-1019</v>
      </c>
      <c r="B78" s="4" t="n">
        <f aca="false">Model_Data!B77</f>
        <v>45689</v>
      </c>
      <c r="C78" s="3" t="str">
        <f aca="false">Model_Data!C77</f>
        <v>East</v>
      </c>
      <c r="D78" s="3" t="str">
        <f aca="false">Model_Data!D77</f>
        <v>Residential</v>
      </c>
      <c r="E78" s="20" t="n">
        <f aca="false">Multiple_Regression!H78</f>
        <v>630829.94</v>
      </c>
      <c r="F78" s="20" t="n">
        <f aca="false">Multiple_Regression!$L$12+Multiple_Regression!$L$13*Multiple_Regression!A78+Multiple_Regression!$L$14*Multiple_Regression!B78+Multiple_Regression!$L$15*Multiple_Regression!C78+Multiple_Regression!$L$16*Multiple_Regression!D78+Multiple_Regression!$L$17*Multiple_Regression!E78+Multiple_Regression!$L$18*Multiple_Regression!F78+Multiple_Regression!$L$19*Multiple_Regression!G78</f>
        <v>692647.349478798</v>
      </c>
      <c r="G78" s="20" t="n">
        <f aca="false">E78-F78</f>
        <v>-61817.4094787983</v>
      </c>
      <c r="H78" s="20" t="n">
        <f aca="false">ABS(G78)</f>
        <v>61817.4094787983</v>
      </c>
    </row>
    <row r="79" customFormat="false" ht="15" hidden="false" customHeight="true" outlineLevel="0" collapsed="false">
      <c r="A79" s="3" t="str">
        <f aca="false">Model_Data!A78</f>
        <v>STR-1019</v>
      </c>
      <c r="B79" s="4" t="n">
        <f aca="false">Model_Data!B78</f>
        <v>45717</v>
      </c>
      <c r="C79" s="3" t="str">
        <f aca="false">Model_Data!C78</f>
        <v>East</v>
      </c>
      <c r="D79" s="3" t="str">
        <f aca="false">Model_Data!D78</f>
        <v>Residential</v>
      </c>
      <c r="E79" s="20" t="n">
        <f aca="false">Multiple_Regression!H79</f>
        <v>788087.68</v>
      </c>
      <c r="F79" s="20" t="n">
        <f aca="false">Multiple_Regression!$L$12+Multiple_Regression!$L$13*Multiple_Regression!A79+Multiple_Regression!$L$14*Multiple_Regression!B79+Multiple_Regression!$L$15*Multiple_Regression!C79+Multiple_Regression!$L$16*Multiple_Regression!D79+Multiple_Regression!$L$17*Multiple_Regression!E79+Multiple_Regression!$L$18*Multiple_Regression!F79+Multiple_Regression!$L$19*Multiple_Regression!G79</f>
        <v>700134.401560716</v>
      </c>
      <c r="G79" s="20" t="n">
        <f aca="false">E79-F79</f>
        <v>87953.2784392837</v>
      </c>
      <c r="H79" s="20" t="n">
        <f aca="false">ABS(G79)</f>
        <v>87953.2784392837</v>
      </c>
    </row>
    <row r="80" customFormat="false" ht="15" hidden="false" customHeight="true" outlineLevel="0" collapsed="false">
      <c r="A80" s="3" t="str">
        <f aca="false">Model_Data!A79</f>
        <v>STR-1019</v>
      </c>
      <c r="B80" s="4" t="n">
        <f aca="false">Model_Data!B79</f>
        <v>45748</v>
      </c>
      <c r="C80" s="3" t="str">
        <f aca="false">Model_Data!C79</f>
        <v>East</v>
      </c>
      <c r="D80" s="3" t="str">
        <f aca="false">Model_Data!D79</f>
        <v>Residential</v>
      </c>
      <c r="E80" s="20" t="n">
        <f aca="false">Multiple_Regression!H80</f>
        <v>680840.36</v>
      </c>
      <c r="F80" s="20" t="n">
        <f aca="false">Multiple_Regression!$L$12+Multiple_Regression!$L$13*Multiple_Regression!A80+Multiple_Regression!$L$14*Multiple_Regression!B80+Multiple_Regression!$L$15*Multiple_Regression!C80+Multiple_Regression!$L$16*Multiple_Regression!D80+Multiple_Regression!$L$17*Multiple_Regression!E80+Multiple_Regression!$L$18*Multiple_Regression!F80+Multiple_Regression!$L$19*Multiple_Regression!G80</f>
        <v>710349.698106845</v>
      </c>
      <c r="G80" s="20" t="n">
        <f aca="false">E80-F80</f>
        <v>-29509.338106845</v>
      </c>
      <c r="H80" s="20" t="n">
        <f aca="false">ABS(G80)</f>
        <v>29509.338106845</v>
      </c>
    </row>
    <row r="81" customFormat="false" ht="15" hidden="false" customHeight="true" outlineLevel="0" collapsed="false">
      <c r="A81" s="3" t="str">
        <f aca="false">Model_Data!A80</f>
        <v>STR-1020</v>
      </c>
      <c r="B81" s="4" t="n">
        <f aca="false">Model_Data!B80</f>
        <v>45658</v>
      </c>
      <c r="C81" s="3" t="str">
        <f aca="false">Model_Data!C80</f>
        <v>South</v>
      </c>
      <c r="D81" s="3" t="str">
        <f aca="false">Model_Data!D80</f>
        <v>High Street</v>
      </c>
      <c r="E81" s="20" t="n">
        <f aca="false">Multiple_Regression!H81</f>
        <v>643657.47</v>
      </c>
      <c r="F81" s="20" t="n">
        <f aca="false">Multiple_Regression!$L$12+Multiple_Regression!$L$13*Multiple_Regression!A81+Multiple_Regression!$L$14*Multiple_Regression!B81+Multiple_Regression!$L$15*Multiple_Regression!C81+Multiple_Regression!$L$16*Multiple_Regression!D81+Multiple_Regression!$L$17*Multiple_Regression!E81+Multiple_Regression!$L$18*Multiple_Regression!F81+Multiple_Regression!$L$19*Multiple_Regression!G81</f>
        <v>654888.577296998</v>
      </c>
      <c r="G81" s="20" t="n">
        <f aca="false">E81-F81</f>
        <v>-11231.1072969981</v>
      </c>
      <c r="H81" s="20" t="n">
        <f aca="false">ABS(G81)</f>
        <v>11231.1072969981</v>
      </c>
    </row>
    <row r="82" customFormat="false" ht="15" hidden="false" customHeight="true" outlineLevel="0" collapsed="false">
      <c r="A82" s="3" t="str">
        <f aca="false">Model_Data!A81</f>
        <v>STR-1020</v>
      </c>
      <c r="B82" s="4" t="n">
        <f aca="false">Model_Data!B81</f>
        <v>45689</v>
      </c>
      <c r="C82" s="3" t="str">
        <f aca="false">Model_Data!C81</f>
        <v>South</v>
      </c>
      <c r="D82" s="3" t="str">
        <f aca="false">Model_Data!D81</f>
        <v>High Street</v>
      </c>
      <c r="E82" s="20" t="n">
        <f aca="false">Multiple_Regression!H82</f>
        <v>691112.6</v>
      </c>
      <c r="F82" s="20" t="n">
        <f aca="false">Multiple_Regression!$L$12+Multiple_Regression!$L$13*Multiple_Regression!A82+Multiple_Regression!$L$14*Multiple_Regression!B82+Multiple_Regression!$L$15*Multiple_Regression!C82+Multiple_Regression!$L$16*Multiple_Regression!D82+Multiple_Regression!$L$17*Multiple_Regression!E82+Multiple_Regression!$L$18*Multiple_Regression!F82+Multiple_Regression!$L$19*Multiple_Regression!G82</f>
        <v>654105.895046573</v>
      </c>
      <c r="G82" s="20" t="n">
        <f aca="false">E82-F82</f>
        <v>37006.7049534273</v>
      </c>
      <c r="H82" s="20" t="n">
        <f aca="false">ABS(G82)</f>
        <v>37006.7049534273</v>
      </c>
    </row>
    <row r="83" customFormat="false" ht="15" hidden="false" customHeight="true" outlineLevel="0" collapsed="false">
      <c r="A83" s="3" t="str">
        <f aca="false">Model_Data!A82</f>
        <v>STR-1020</v>
      </c>
      <c r="B83" s="4" t="n">
        <f aca="false">Model_Data!B82</f>
        <v>45717</v>
      </c>
      <c r="C83" s="3" t="str">
        <f aca="false">Model_Data!C82</f>
        <v>South</v>
      </c>
      <c r="D83" s="3" t="str">
        <f aca="false">Model_Data!D82</f>
        <v>High Street</v>
      </c>
      <c r="E83" s="20" t="n">
        <f aca="false">Multiple_Regression!H83</f>
        <v>776922.17</v>
      </c>
      <c r="F83" s="20" t="n">
        <f aca="false">Multiple_Regression!$L$12+Multiple_Regression!$L$13*Multiple_Regression!A83+Multiple_Regression!$L$14*Multiple_Regression!B83+Multiple_Regression!$L$15*Multiple_Regression!C83+Multiple_Regression!$L$16*Multiple_Regression!D83+Multiple_Regression!$L$17*Multiple_Regression!E83+Multiple_Regression!$L$18*Multiple_Regression!F83+Multiple_Regression!$L$19*Multiple_Regression!G83</f>
        <v>722747.600619625</v>
      </c>
      <c r="G83" s="20" t="n">
        <f aca="false">E83-F83</f>
        <v>54174.5693803754</v>
      </c>
      <c r="H83" s="20" t="n">
        <f aca="false">ABS(G83)</f>
        <v>54174.5693803754</v>
      </c>
    </row>
    <row r="84" customFormat="false" ht="15" hidden="false" customHeight="true" outlineLevel="0" collapsed="false">
      <c r="A84" s="3" t="str">
        <f aca="false">Model_Data!A83</f>
        <v>STR-1020</v>
      </c>
      <c r="B84" s="4" t="n">
        <f aca="false">Model_Data!B83</f>
        <v>45748</v>
      </c>
      <c r="C84" s="3" t="str">
        <f aca="false">Model_Data!C83</f>
        <v>South</v>
      </c>
      <c r="D84" s="3" t="str">
        <f aca="false">Model_Data!D83</f>
        <v>High Street</v>
      </c>
      <c r="E84" s="20" t="n">
        <f aca="false">Multiple_Regression!H84</f>
        <v>636561.34</v>
      </c>
      <c r="F84" s="20" t="n">
        <f aca="false">Multiple_Regression!$L$12+Multiple_Regression!$L$13*Multiple_Regression!A84+Multiple_Regression!$L$14*Multiple_Regression!B84+Multiple_Regression!$L$15*Multiple_Regression!C84+Multiple_Regression!$L$16*Multiple_Regression!D84+Multiple_Regression!$L$17*Multiple_Regression!E84+Multiple_Regression!$L$18*Multiple_Regression!F84+Multiple_Regression!$L$19*Multiple_Regression!G84</f>
        <v>658082.302156977</v>
      </c>
      <c r="G84" s="20" t="n">
        <f aca="false">E84-F84</f>
        <v>-21520.9621569773</v>
      </c>
      <c r="H84" s="20" t="n">
        <f aca="false">ABS(G84)</f>
        <v>21520.9621569773</v>
      </c>
    </row>
    <row r="85" customFormat="false" ht="15" hidden="false" customHeight="true" outlineLevel="0" collapsed="false">
      <c r="A85" s="3" t="str">
        <f aca="false">Model_Data!A84</f>
        <v>STR-1021</v>
      </c>
      <c r="B85" s="4" t="n">
        <f aca="false">Model_Data!B84</f>
        <v>45658</v>
      </c>
      <c r="C85" s="3" t="str">
        <f aca="false">Model_Data!C84</f>
        <v>West</v>
      </c>
      <c r="D85" s="3" t="str">
        <f aca="false">Model_Data!D84</f>
        <v>Mall</v>
      </c>
      <c r="E85" s="20" t="n">
        <f aca="false">Multiple_Regression!H85</f>
        <v>621369.58</v>
      </c>
      <c r="F85" s="20" t="n">
        <f aca="false">Multiple_Regression!$L$12+Multiple_Regression!$L$13*Multiple_Regression!A85+Multiple_Regression!$L$14*Multiple_Regression!B85+Multiple_Regression!$L$15*Multiple_Regression!C85+Multiple_Regression!$L$16*Multiple_Regression!D85+Multiple_Regression!$L$17*Multiple_Regression!E85+Multiple_Regression!$L$18*Multiple_Regression!F85+Multiple_Regression!$L$19*Multiple_Regression!G85</f>
        <v>642681.423872196</v>
      </c>
      <c r="G85" s="20" t="n">
        <f aca="false">E85-F85</f>
        <v>-21311.8438721962</v>
      </c>
      <c r="H85" s="20" t="n">
        <f aca="false">ABS(G85)</f>
        <v>21311.8438721962</v>
      </c>
    </row>
    <row r="86" customFormat="false" ht="15" hidden="false" customHeight="true" outlineLevel="0" collapsed="false">
      <c r="A86" s="3" t="str">
        <f aca="false">Model_Data!A85</f>
        <v>STR-1021</v>
      </c>
      <c r="B86" s="4" t="n">
        <f aca="false">Model_Data!B85</f>
        <v>45689</v>
      </c>
      <c r="C86" s="3" t="str">
        <f aca="false">Model_Data!C85</f>
        <v>West</v>
      </c>
      <c r="D86" s="3" t="str">
        <f aca="false">Model_Data!D85</f>
        <v>Mall</v>
      </c>
      <c r="E86" s="20" t="n">
        <f aca="false">Multiple_Regression!H86</f>
        <v>682208.01</v>
      </c>
      <c r="F86" s="20" t="n">
        <f aca="false">Multiple_Regression!$L$12+Multiple_Regression!$L$13*Multiple_Regression!A86+Multiple_Regression!$L$14*Multiple_Regression!B86+Multiple_Regression!$L$15*Multiple_Regression!C86+Multiple_Regression!$L$16*Multiple_Regression!D86+Multiple_Regression!$L$17*Multiple_Regression!E86+Multiple_Regression!$L$18*Multiple_Regression!F86+Multiple_Regression!$L$19*Multiple_Regression!G86</f>
        <v>632158.984313689</v>
      </c>
      <c r="G86" s="20" t="n">
        <f aca="false">E86-F86</f>
        <v>50049.0256863107</v>
      </c>
      <c r="H86" s="20" t="n">
        <f aca="false">ABS(G86)</f>
        <v>50049.0256863107</v>
      </c>
    </row>
    <row r="87" customFormat="false" ht="15" hidden="false" customHeight="true" outlineLevel="0" collapsed="false">
      <c r="A87" s="3" t="str">
        <f aca="false">Model_Data!A86</f>
        <v>STR-1021</v>
      </c>
      <c r="B87" s="4" t="n">
        <f aca="false">Model_Data!B86</f>
        <v>45717</v>
      </c>
      <c r="C87" s="3" t="str">
        <f aca="false">Model_Data!C86</f>
        <v>West</v>
      </c>
      <c r="D87" s="3" t="str">
        <f aca="false">Model_Data!D86</f>
        <v>Mall</v>
      </c>
      <c r="E87" s="20" t="n">
        <f aca="false">Multiple_Regression!H87</f>
        <v>727241.86</v>
      </c>
      <c r="F87" s="20" t="n">
        <f aca="false">Multiple_Regression!$L$12+Multiple_Regression!$L$13*Multiple_Regression!A87+Multiple_Regression!$L$14*Multiple_Regression!B87+Multiple_Regression!$L$15*Multiple_Regression!C87+Multiple_Regression!$L$16*Multiple_Regression!D87+Multiple_Regression!$L$17*Multiple_Regression!E87+Multiple_Regression!$L$18*Multiple_Regression!F87+Multiple_Regression!$L$19*Multiple_Regression!G87</f>
        <v>645907.035362533</v>
      </c>
      <c r="G87" s="20" t="n">
        <f aca="false">E87-F87</f>
        <v>81334.8246374667</v>
      </c>
      <c r="H87" s="20" t="n">
        <f aca="false">ABS(G87)</f>
        <v>81334.8246374667</v>
      </c>
    </row>
    <row r="88" customFormat="false" ht="15" hidden="false" customHeight="true" outlineLevel="0" collapsed="false">
      <c r="A88" s="3" t="str">
        <f aca="false">Model_Data!A87</f>
        <v>STR-1021</v>
      </c>
      <c r="B88" s="4" t="n">
        <f aca="false">Model_Data!B87</f>
        <v>45748</v>
      </c>
      <c r="C88" s="3" t="str">
        <f aca="false">Model_Data!C87</f>
        <v>West</v>
      </c>
      <c r="D88" s="3" t="str">
        <f aca="false">Model_Data!D87</f>
        <v>Mall</v>
      </c>
      <c r="E88" s="20" t="n">
        <f aca="false">Multiple_Regression!H88</f>
        <v>569100.78</v>
      </c>
      <c r="F88" s="20" t="n">
        <f aca="false">Multiple_Regression!$L$12+Multiple_Regression!$L$13*Multiple_Regression!A88+Multiple_Regression!$L$14*Multiple_Regression!B88+Multiple_Regression!$L$15*Multiple_Regression!C88+Multiple_Regression!$L$16*Multiple_Regression!D88+Multiple_Regression!$L$17*Multiple_Regression!E88+Multiple_Regression!$L$18*Multiple_Regression!F88+Multiple_Regression!$L$19*Multiple_Regression!G88</f>
        <v>559803.247040578</v>
      </c>
      <c r="G88" s="20" t="n">
        <f aca="false">E88-F88</f>
        <v>9297.53295942175</v>
      </c>
      <c r="H88" s="20" t="n">
        <f aca="false">ABS(G88)</f>
        <v>9297.53295942175</v>
      </c>
    </row>
    <row r="89" customFormat="false" ht="15" hidden="false" customHeight="true" outlineLevel="0" collapsed="false">
      <c r="A89" s="3" t="str">
        <f aca="false">Model_Data!A88</f>
        <v>STR-1022</v>
      </c>
      <c r="B89" s="4" t="n">
        <f aca="false">Model_Data!B88</f>
        <v>45658</v>
      </c>
      <c r="C89" s="3" t="str">
        <f aca="false">Model_Data!C88</f>
        <v>West</v>
      </c>
      <c r="D89" s="3" t="str">
        <f aca="false">Model_Data!D88</f>
        <v>High Street</v>
      </c>
      <c r="E89" s="20" t="n">
        <f aca="false">Multiple_Regression!H89</f>
        <v>574436.29</v>
      </c>
      <c r="F89" s="20" t="n">
        <f aca="false">Multiple_Regression!$L$12+Multiple_Regression!$L$13*Multiple_Regression!A89+Multiple_Regression!$L$14*Multiple_Regression!B89+Multiple_Regression!$L$15*Multiple_Regression!C89+Multiple_Regression!$L$16*Multiple_Regression!D89+Multiple_Regression!$L$17*Multiple_Regression!E89+Multiple_Regression!$L$18*Multiple_Regression!F89+Multiple_Regression!$L$19*Multiple_Regression!G89</f>
        <v>555463.439682652</v>
      </c>
      <c r="G89" s="20" t="n">
        <f aca="false">E89-F89</f>
        <v>18972.850317348</v>
      </c>
      <c r="H89" s="20" t="n">
        <f aca="false">ABS(G89)</f>
        <v>18972.850317348</v>
      </c>
    </row>
    <row r="90" customFormat="false" ht="15" hidden="false" customHeight="true" outlineLevel="0" collapsed="false">
      <c r="A90" s="3" t="str">
        <f aca="false">Model_Data!A89</f>
        <v>STR-1022</v>
      </c>
      <c r="B90" s="4" t="n">
        <f aca="false">Model_Data!B89</f>
        <v>45689</v>
      </c>
      <c r="C90" s="3" t="str">
        <f aca="false">Model_Data!C89</f>
        <v>West</v>
      </c>
      <c r="D90" s="3" t="str">
        <f aca="false">Model_Data!D89</f>
        <v>High Street</v>
      </c>
      <c r="E90" s="20" t="n">
        <f aca="false">Multiple_Regression!H90</f>
        <v>611766.72</v>
      </c>
      <c r="F90" s="20" t="n">
        <f aca="false">Multiple_Regression!$L$12+Multiple_Regression!$L$13*Multiple_Regression!A90+Multiple_Regression!$L$14*Multiple_Regression!B90+Multiple_Regression!$L$15*Multiple_Regression!C90+Multiple_Regression!$L$16*Multiple_Regression!D90+Multiple_Regression!$L$17*Multiple_Regression!E90+Multiple_Regression!$L$18*Multiple_Regression!F90+Multiple_Regression!$L$19*Multiple_Regression!G90</f>
        <v>638458.712629196</v>
      </c>
      <c r="G90" s="20" t="n">
        <f aca="false">E90-F90</f>
        <v>-26691.9926291959</v>
      </c>
      <c r="H90" s="20" t="n">
        <f aca="false">ABS(G90)</f>
        <v>26691.9926291959</v>
      </c>
    </row>
    <row r="91" customFormat="false" ht="15" hidden="false" customHeight="true" outlineLevel="0" collapsed="false">
      <c r="A91" s="3" t="str">
        <f aca="false">Model_Data!A90</f>
        <v>STR-1022</v>
      </c>
      <c r="B91" s="4" t="n">
        <f aca="false">Model_Data!B90</f>
        <v>45717</v>
      </c>
      <c r="C91" s="3" t="str">
        <f aca="false">Model_Data!C90</f>
        <v>West</v>
      </c>
      <c r="D91" s="3" t="str">
        <f aca="false">Model_Data!D90</f>
        <v>High Street</v>
      </c>
      <c r="E91" s="20" t="n">
        <f aca="false">Multiple_Regression!H91</f>
        <v>614596.32</v>
      </c>
      <c r="F91" s="20" t="n">
        <f aca="false">Multiple_Regression!$L$12+Multiple_Regression!$L$13*Multiple_Regression!A91+Multiple_Regression!$L$14*Multiple_Regression!B91+Multiple_Regression!$L$15*Multiple_Regression!C91+Multiple_Regression!$L$16*Multiple_Regression!D91+Multiple_Regression!$L$17*Multiple_Regression!E91+Multiple_Regression!$L$18*Multiple_Regression!F91+Multiple_Regression!$L$19*Multiple_Regression!G91</f>
        <v>617742.643691337</v>
      </c>
      <c r="G91" s="20" t="n">
        <f aca="false">E91-F91</f>
        <v>-3146.32369133667</v>
      </c>
      <c r="H91" s="20" t="n">
        <f aca="false">ABS(G91)</f>
        <v>3146.32369133667</v>
      </c>
    </row>
    <row r="92" customFormat="false" ht="15" hidden="false" customHeight="true" outlineLevel="0" collapsed="false">
      <c r="A92" s="3" t="str">
        <f aca="false">Model_Data!A91</f>
        <v>STR-1022</v>
      </c>
      <c r="B92" s="4" t="n">
        <f aca="false">Model_Data!B91</f>
        <v>45748</v>
      </c>
      <c r="C92" s="3" t="str">
        <f aca="false">Model_Data!C91</f>
        <v>West</v>
      </c>
      <c r="D92" s="3" t="str">
        <f aca="false">Model_Data!D91</f>
        <v>High Street</v>
      </c>
      <c r="E92" s="20" t="n">
        <f aca="false">Multiple_Regression!H92</f>
        <v>450711.92</v>
      </c>
      <c r="F92" s="20" t="n">
        <f aca="false">Multiple_Regression!$L$12+Multiple_Regression!$L$13*Multiple_Regression!A92+Multiple_Regression!$L$14*Multiple_Regression!B92+Multiple_Regression!$L$15*Multiple_Regression!C92+Multiple_Regression!$L$16*Multiple_Regression!D92+Multiple_Regression!$L$17*Multiple_Regression!E92+Multiple_Regression!$L$18*Multiple_Regression!F92+Multiple_Regression!$L$19*Multiple_Regression!G92</f>
        <v>452230.665867408</v>
      </c>
      <c r="G92" s="20" t="n">
        <f aca="false">E92-F92</f>
        <v>-1518.74586740794</v>
      </c>
      <c r="H92" s="20" t="n">
        <f aca="false">ABS(G92)</f>
        <v>1518.74586740794</v>
      </c>
    </row>
    <row r="93" customFormat="false" ht="15" hidden="false" customHeight="true" outlineLevel="0" collapsed="false">
      <c r="A93" s="3" t="str">
        <f aca="false">Model_Data!A92</f>
        <v>STR-1023</v>
      </c>
      <c r="B93" s="4" t="n">
        <f aca="false">Model_Data!B92</f>
        <v>45658</v>
      </c>
      <c r="C93" s="3" t="str">
        <f aca="false">Model_Data!C92</f>
        <v>South</v>
      </c>
      <c r="D93" s="3" t="str">
        <f aca="false">Model_Data!D92</f>
        <v>Mall</v>
      </c>
      <c r="E93" s="20" t="n">
        <f aca="false">Multiple_Regression!H93</f>
        <v>711213.46</v>
      </c>
      <c r="F93" s="20" t="n">
        <f aca="false">Multiple_Regression!$L$12+Multiple_Regression!$L$13*Multiple_Regression!A93+Multiple_Regression!$L$14*Multiple_Regression!B93+Multiple_Regression!$L$15*Multiple_Regression!C93+Multiple_Regression!$L$16*Multiple_Regression!D93+Multiple_Regression!$L$17*Multiple_Regression!E93+Multiple_Regression!$L$18*Multiple_Regression!F93+Multiple_Regression!$L$19*Multiple_Regression!G93</f>
        <v>679670.189874943</v>
      </c>
      <c r="G93" s="20" t="n">
        <f aca="false">E93-F93</f>
        <v>31543.2701250573</v>
      </c>
      <c r="H93" s="20" t="n">
        <f aca="false">ABS(G93)</f>
        <v>31543.2701250573</v>
      </c>
    </row>
    <row r="94" customFormat="false" ht="15" hidden="false" customHeight="true" outlineLevel="0" collapsed="false">
      <c r="A94" s="3" t="str">
        <f aca="false">Model_Data!A93</f>
        <v>STR-1023</v>
      </c>
      <c r="B94" s="4" t="n">
        <f aca="false">Model_Data!B93</f>
        <v>45689</v>
      </c>
      <c r="C94" s="3" t="str">
        <f aca="false">Model_Data!C93</f>
        <v>South</v>
      </c>
      <c r="D94" s="3" t="str">
        <f aca="false">Model_Data!D93</f>
        <v>Mall</v>
      </c>
      <c r="E94" s="20" t="n">
        <f aca="false">Multiple_Regression!H94</f>
        <v>627171.9</v>
      </c>
      <c r="F94" s="20" t="n">
        <f aca="false">Multiple_Regression!$L$12+Multiple_Regression!$L$13*Multiple_Regression!A94+Multiple_Regression!$L$14*Multiple_Regression!B94+Multiple_Regression!$L$15*Multiple_Regression!C94+Multiple_Regression!$L$16*Multiple_Regression!D94+Multiple_Regression!$L$17*Multiple_Regression!E94+Multiple_Regression!$L$18*Multiple_Regression!F94+Multiple_Regression!$L$19*Multiple_Regression!G94</f>
        <v>755437.161439066</v>
      </c>
      <c r="G94" s="20" t="n">
        <f aca="false">E94-F94</f>
        <v>-128265.261439066</v>
      </c>
      <c r="H94" s="20" t="n">
        <f aca="false">ABS(G94)</f>
        <v>128265.261439066</v>
      </c>
    </row>
    <row r="95" customFormat="false" ht="15" hidden="false" customHeight="true" outlineLevel="0" collapsed="false">
      <c r="A95" s="3" t="str">
        <f aca="false">Model_Data!A94</f>
        <v>STR-1023</v>
      </c>
      <c r="B95" s="4" t="n">
        <f aca="false">Model_Data!B94</f>
        <v>45717</v>
      </c>
      <c r="C95" s="3" t="str">
        <f aca="false">Model_Data!C94</f>
        <v>South</v>
      </c>
      <c r="D95" s="3" t="str">
        <f aca="false">Model_Data!D94</f>
        <v>Mall</v>
      </c>
      <c r="E95" s="20" t="n">
        <f aca="false">Multiple_Regression!H95</f>
        <v>739852.58</v>
      </c>
      <c r="F95" s="20" t="n">
        <f aca="false">Multiple_Regression!$L$12+Multiple_Regression!$L$13*Multiple_Regression!A95+Multiple_Regression!$L$14*Multiple_Regression!B95+Multiple_Regression!$L$15*Multiple_Regression!C95+Multiple_Regression!$L$16*Multiple_Regression!D95+Multiple_Regression!$L$17*Multiple_Regression!E95+Multiple_Regression!$L$18*Multiple_Regression!F95+Multiple_Regression!$L$19*Multiple_Regression!G95</f>
        <v>718788.34045214</v>
      </c>
      <c r="G95" s="20" t="n">
        <f aca="false">E95-F95</f>
        <v>21064.2395478598</v>
      </c>
      <c r="H95" s="20" t="n">
        <f aca="false">ABS(G95)</f>
        <v>21064.2395478598</v>
      </c>
    </row>
    <row r="96" customFormat="false" ht="15" hidden="false" customHeight="true" outlineLevel="0" collapsed="false">
      <c r="A96" s="3" t="str">
        <f aca="false">Model_Data!A95</f>
        <v>STR-1023</v>
      </c>
      <c r="B96" s="4" t="n">
        <f aca="false">Model_Data!B95</f>
        <v>45748</v>
      </c>
      <c r="C96" s="3" t="str">
        <f aca="false">Model_Data!C95</f>
        <v>South</v>
      </c>
      <c r="D96" s="3" t="str">
        <f aca="false">Model_Data!D95</f>
        <v>Mall</v>
      </c>
      <c r="E96" s="20" t="n">
        <f aca="false">Multiple_Regression!H96</f>
        <v>586307.22</v>
      </c>
      <c r="F96" s="20" t="n">
        <f aca="false">Multiple_Regression!$L$12+Multiple_Regression!$L$13*Multiple_Regression!A96+Multiple_Regression!$L$14*Multiple_Regression!B96+Multiple_Regression!$L$15*Multiple_Regression!C96+Multiple_Regression!$L$16*Multiple_Regression!D96+Multiple_Regression!$L$17*Multiple_Regression!E96+Multiple_Regression!$L$18*Multiple_Regression!F96+Multiple_Regression!$L$19*Multiple_Regression!G96</f>
        <v>560978.887454168</v>
      </c>
      <c r="G96" s="20" t="n">
        <f aca="false">E96-F96</f>
        <v>25328.3325458316</v>
      </c>
      <c r="H96" s="20" t="n">
        <f aca="false">ABS(G96)</f>
        <v>25328.3325458316</v>
      </c>
    </row>
    <row r="97" customFormat="false" ht="15" hidden="false" customHeight="true" outlineLevel="0" collapsed="false">
      <c r="A97" s="3" t="str">
        <f aca="false">Model_Data!A96</f>
        <v>STR-1024</v>
      </c>
      <c r="B97" s="4" t="n">
        <f aca="false">Model_Data!B96</f>
        <v>45658</v>
      </c>
      <c r="C97" s="3" t="str">
        <f aca="false">Model_Data!C96</f>
        <v>West</v>
      </c>
      <c r="D97" s="3" t="str">
        <f aca="false">Model_Data!D96</f>
        <v>Residential</v>
      </c>
      <c r="E97" s="20" t="n">
        <f aca="false">Multiple_Regression!H97</f>
        <v>585937.48</v>
      </c>
      <c r="F97" s="20" t="n">
        <f aca="false">Multiple_Regression!$L$12+Multiple_Regression!$L$13*Multiple_Regression!A97+Multiple_Regression!$L$14*Multiple_Regression!B97+Multiple_Regression!$L$15*Multiple_Regression!C97+Multiple_Regression!$L$16*Multiple_Regression!D97+Multiple_Regression!$L$17*Multiple_Regression!E97+Multiple_Regression!$L$18*Multiple_Regression!F97+Multiple_Regression!$L$19*Multiple_Regression!G97</f>
        <v>579524.178817848</v>
      </c>
      <c r="G97" s="20" t="n">
        <f aca="false">E97-F97</f>
        <v>6413.30118215247</v>
      </c>
      <c r="H97" s="20" t="n">
        <f aca="false">ABS(G97)</f>
        <v>6413.30118215247</v>
      </c>
    </row>
    <row r="98" customFormat="false" ht="15" hidden="false" customHeight="true" outlineLevel="0" collapsed="false">
      <c r="A98" s="3" t="str">
        <f aca="false">Model_Data!A97</f>
        <v>STR-1024</v>
      </c>
      <c r="B98" s="4" t="n">
        <f aca="false">Model_Data!B97</f>
        <v>45689</v>
      </c>
      <c r="C98" s="3" t="str">
        <f aca="false">Model_Data!C97</f>
        <v>West</v>
      </c>
      <c r="D98" s="3" t="str">
        <f aca="false">Model_Data!D97</f>
        <v>Residential</v>
      </c>
      <c r="E98" s="20" t="n">
        <f aca="false">Multiple_Regression!H98</f>
        <v>753473.55</v>
      </c>
      <c r="F98" s="20" t="n">
        <f aca="false">Multiple_Regression!$L$12+Multiple_Regression!$L$13*Multiple_Regression!A98+Multiple_Regression!$L$14*Multiple_Regression!B98+Multiple_Regression!$L$15*Multiple_Regression!C98+Multiple_Regression!$L$16*Multiple_Regression!D98+Multiple_Regression!$L$17*Multiple_Regression!E98+Multiple_Regression!$L$18*Multiple_Regression!F98+Multiple_Regression!$L$19*Multiple_Regression!G98</f>
        <v>689790.867577977</v>
      </c>
      <c r="G98" s="20" t="n">
        <f aca="false">E98-F98</f>
        <v>63682.6824220229</v>
      </c>
      <c r="H98" s="20" t="n">
        <f aca="false">ABS(G98)</f>
        <v>63682.6824220229</v>
      </c>
    </row>
    <row r="99" customFormat="false" ht="15" hidden="false" customHeight="true" outlineLevel="0" collapsed="false">
      <c r="A99" s="3" t="str">
        <f aca="false">Model_Data!A98</f>
        <v>STR-1024</v>
      </c>
      <c r="B99" s="4" t="n">
        <f aca="false">Model_Data!B98</f>
        <v>45717</v>
      </c>
      <c r="C99" s="3" t="str">
        <f aca="false">Model_Data!C98</f>
        <v>West</v>
      </c>
      <c r="D99" s="3" t="str">
        <f aca="false">Model_Data!D98</f>
        <v>Residential</v>
      </c>
      <c r="E99" s="20" t="n">
        <f aca="false">Multiple_Regression!H99</f>
        <v>838250.32</v>
      </c>
      <c r="F99" s="20" t="n">
        <f aca="false">Multiple_Regression!$L$12+Multiple_Regression!$L$13*Multiple_Regression!A99+Multiple_Regression!$L$14*Multiple_Regression!B99+Multiple_Regression!$L$15*Multiple_Regression!C99+Multiple_Regression!$L$16*Multiple_Regression!D99+Multiple_Regression!$L$17*Multiple_Regression!E99+Multiple_Regression!$L$18*Multiple_Regression!F99+Multiple_Regression!$L$19*Multiple_Regression!G99</f>
        <v>759075.146474258</v>
      </c>
      <c r="G99" s="20" t="n">
        <f aca="false">E99-F99</f>
        <v>79175.1735257421</v>
      </c>
      <c r="H99" s="20" t="n">
        <f aca="false">ABS(G99)</f>
        <v>79175.1735257421</v>
      </c>
    </row>
    <row r="100" customFormat="false" ht="15" hidden="false" customHeight="true" outlineLevel="0" collapsed="false">
      <c r="A100" s="3" t="str">
        <f aca="false">Model_Data!A99</f>
        <v>STR-1024</v>
      </c>
      <c r="B100" s="4" t="n">
        <f aca="false">Model_Data!B99</f>
        <v>45748</v>
      </c>
      <c r="C100" s="3" t="str">
        <f aca="false">Model_Data!C99</f>
        <v>West</v>
      </c>
      <c r="D100" s="3" t="str">
        <f aca="false">Model_Data!D99</f>
        <v>Residential</v>
      </c>
      <c r="E100" s="20" t="n">
        <f aca="false">Multiple_Regression!H100</f>
        <v>607898.12</v>
      </c>
      <c r="F100" s="20" t="n">
        <f aca="false">Multiple_Regression!$L$12+Multiple_Regression!$L$13*Multiple_Regression!A100+Multiple_Regression!$L$14*Multiple_Regression!B100+Multiple_Regression!$L$15*Multiple_Regression!C100+Multiple_Regression!$L$16*Multiple_Regression!D100+Multiple_Regression!$L$17*Multiple_Regression!E100+Multiple_Regression!$L$18*Multiple_Regression!F100+Multiple_Regression!$L$19*Multiple_Regression!G100</f>
        <v>613408.043551321</v>
      </c>
      <c r="G100" s="20" t="n">
        <f aca="false">E100-F100</f>
        <v>-5509.92355132115</v>
      </c>
      <c r="H100" s="20" t="n">
        <f aca="false">ABS(G100)</f>
        <v>5509.92355132115</v>
      </c>
    </row>
    <row r="101" customFormat="false" ht="15" hidden="false" customHeight="true" outlineLevel="0" collapsed="false">
      <c r="A101" s="3" t="str">
        <f aca="false">Model_Data!A100</f>
        <v>STR-1025</v>
      </c>
      <c r="B101" s="4" t="n">
        <f aca="false">Model_Data!B100</f>
        <v>45658</v>
      </c>
      <c r="C101" s="3" t="str">
        <f aca="false">Model_Data!C100</f>
        <v>West</v>
      </c>
      <c r="D101" s="3" t="str">
        <f aca="false">Model_Data!D100</f>
        <v>Mall</v>
      </c>
      <c r="E101" s="20" t="n">
        <f aca="false">Multiple_Regression!H101</f>
        <v>691113.62</v>
      </c>
      <c r="F101" s="20" t="n">
        <f aca="false">Multiple_Regression!$L$12+Multiple_Regression!$L$13*Multiple_Regression!A101+Multiple_Regression!$L$14*Multiple_Regression!B101+Multiple_Regression!$L$15*Multiple_Regression!C101+Multiple_Regression!$L$16*Multiple_Regression!D101+Multiple_Regression!$L$17*Multiple_Regression!E101+Multiple_Regression!$L$18*Multiple_Regression!F101+Multiple_Regression!$L$19*Multiple_Regression!G101</f>
        <v>698351.029452464</v>
      </c>
      <c r="G101" s="20" t="n">
        <f aca="false">E101-F101</f>
        <v>-7237.40945246385</v>
      </c>
      <c r="H101" s="20" t="n">
        <f aca="false">ABS(G101)</f>
        <v>7237.40945246385</v>
      </c>
    </row>
    <row r="102" customFormat="false" ht="15" hidden="false" customHeight="true" outlineLevel="0" collapsed="false">
      <c r="A102" s="3" t="str">
        <f aca="false">Model_Data!A101</f>
        <v>STR-1025</v>
      </c>
      <c r="B102" s="4" t="n">
        <f aca="false">Model_Data!B101</f>
        <v>45689</v>
      </c>
      <c r="C102" s="3" t="str">
        <f aca="false">Model_Data!C101</f>
        <v>West</v>
      </c>
      <c r="D102" s="3" t="str">
        <f aca="false">Model_Data!D101</f>
        <v>Mall</v>
      </c>
      <c r="E102" s="20" t="n">
        <f aca="false">Multiple_Regression!H102</f>
        <v>735509.4</v>
      </c>
      <c r="F102" s="20" t="n">
        <f aca="false">Multiple_Regression!$L$12+Multiple_Regression!$L$13*Multiple_Regression!A102+Multiple_Regression!$L$14*Multiple_Regression!B102+Multiple_Regression!$L$15*Multiple_Regression!C102+Multiple_Regression!$L$16*Multiple_Regression!D102+Multiple_Regression!$L$17*Multiple_Regression!E102+Multiple_Regression!$L$18*Multiple_Regression!F102+Multiple_Regression!$L$19*Multiple_Regression!G102</f>
        <v>661032.681884798</v>
      </c>
      <c r="G102" s="20" t="n">
        <f aca="false">E102-F102</f>
        <v>74476.7181152023</v>
      </c>
      <c r="H102" s="20" t="n">
        <f aca="false">ABS(G102)</f>
        <v>74476.7181152023</v>
      </c>
    </row>
    <row r="103" customFormat="false" ht="15" hidden="false" customHeight="true" outlineLevel="0" collapsed="false">
      <c r="A103" s="3" t="str">
        <f aca="false">Model_Data!A102</f>
        <v>STR-1025</v>
      </c>
      <c r="B103" s="4" t="n">
        <f aca="false">Model_Data!B102</f>
        <v>45717</v>
      </c>
      <c r="C103" s="3" t="str">
        <f aca="false">Model_Data!C102</f>
        <v>West</v>
      </c>
      <c r="D103" s="3" t="str">
        <f aca="false">Model_Data!D102</f>
        <v>Mall</v>
      </c>
      <c r="E103" s="20" t="n">
        <f aca="false">Multiple_Regression!H103</f>
        <v>605775.33</v>
      </c>
      <c r="F103" s="20" t="n">
        <f aca="false">Multiple_Regression!$L$12+Multiple_Regression!$L$13*Multiple_Regression!A103+Multiple_Regression!$L$14*Multiple_Regression!B103+Multiple_Regression!$L$15*Multiple_Regression!C103+Multiple_Regression!$L$16*Multiple_Regression!D103+Multiple_Regression!$L$17*Multiple_Regression!E103+Multiple_Regression!$L$18*Multiple_Regression!F103+Multiple_Regression!$L$19*Multiple_Regression!G103</f>
        <v>616928.095786002</v>
      </c>
      <c r="G103" s="20" t="n">
        <f aca="false">E103-F103</f>
        <v>-11152.7657860017</v>
      </c>
      <c r="H103" s="20" t="n">
        <f aca="false">ABS(G103)</f>
        <v>11152.7657860017</v>
      </c>
    </row>
    <row r="104" customFormat="false" ht="15" hidden="false" customHeight="true" outlineLevel="0" collapsed="false">
      <c r="A104" s="3" t="str">
        <f aca="false">Model_Data!A103</f>
        <v>STR-1025</v>
      </c>
      <c r="B104" s="4" t="n">
        <f aca="false">Model_Data!B103</f>
        <v>45748</v>
      </c>
      <c r="C104" s="3" t="str">
        <f aca="false">Model_Data!C103</f>
        <v>West</v>
      </c>
      <c r="D104" s="3" t="str">
        <f aca="false">Model_Data!D103</f>
        <v>Mall</v>
      </c>
      <c r="E104" s="20" t="n">
        <f aca="false">Multiple_Regression!H104</f>
        <v>675177.68</v>
      </c>
      <c r="F104" s="20" t="n">
        <f aca="false">Multiple_Regression!$L$12+Multiple_Regression!$L$13*Multiple_Regression!A104+Multiple_Regression!$L$14*Multiple_Regression!B104+Multiple_Regression!$L$15*Multiple_Regression!C104+Multiple_Regression!$L$16*Multiple_Regression!D104+Multiple_Regression!$L$17*Multiple_Regression!E104+Multiple_Regression!$L$18*Multiple_Regression!F104+Multiple_Regression!$L$19*Multiple_Regression!G104</f>
        <v>652321.552797377</v>
      </c>
      <c r="G104" s="20" t="n">
        <f aca="false">E104-F104</f>
        <v>22856.1272026235</v>
      </c>
      <c r="H104" s="20" t="n">
        <f aca="false">ABS(G104)</f>
        <v>22856.1272026235</v>
      </c>
    </row>
    <row r="105" customFormat="false" ht="15" hidden="false" customHeight="true" outlineLevel="0" collapsed="false">
      <c r="A105" s="3" t="str">
        <f aca="false">Model_Data!A104</f>
        <v>STR-1026</v>
      </c>
      <c r="B105" s="4" t="n">
        <f aca="false">Model_Data!B104</f>
        <v>45658</v>
      </c>
      <c r="C105" s="3" t="str">
        <f aca="false">Model_Data!C104</f>
        <v>East</v>
      </c>
      <c r="D105" s="3" t="str">
        <f aca="false">Model_Data!D104</f>
        <v>Mall</v>
      </c>
      <c r="E105" s="20" t="n">
        <f aca="false">Multiple_Regression!H105</f>
        <v>635181.35</v>
      </c>
      <c r="F105" s="20" t="n">
        <f aca="false">Multiple_Regression!$L$12+Multiple_Regression!$L$13*Multiple_Regression!A105+Multiple_Regression!$L$14*Multiple_Regression!B105+Multiple_Regression!$L$15*Multiple_Regression!C105+Multiple_Regression!$L$16*Multiple_Regression!D105+Multiple_Regression!$L$17*Multiple_Regression!E105+Multiple_Regression!$L$18*Multiple_Regression!F105+Multiple_Regression!$L$19*Multiple_Regression!G105</f>
        <v>598293.952754417</v>
      </c>
      <c r="G105" s="20" t="n">
        <f aca="false">E105-F105</f>
        <v>36887.3972455827</v>
      </c>
      <c r="H105" s="20" t="n">
        <f aca="false">ABS(G105)</f>
        <v>36887.3972455827</v>
      </c>
    </row>
    <row r="106" customFormat="false" ht="15" hidden="false" customHeight="true" outlineLevel="0" collapsed="false">
      <c r="A106" s="3" t="str">
        <f aca="false">Model_Data!A105</f>
        <v>STR-1026</v>
      </c>
      <c r="B106" s="4" t="n">
        <f aca="false">Model_Data!B105</f>
        <v>45689</v>
      </c>
      <c r="C106" s="3" t="str">
        <f aca="false">Model_Data!C105</f>
        <v>East</v>
      </c>
      <c r="D106" s="3" t="str">
        <f aca="false">Model_Data!D105</f>
        <v>Mall</v>
      </c>
      <c r="E106" s="20" t="n">
        <f aca="false">Multiple_Regression!H106</f>
        <v>586626.94</v>
      </c>
      <c r="F106" s="20" t="n">
        <f aca="false">Multiple_Regression!$L$12+Multiple_Regression!$L$13*Multiple_Regression!A106+Multiple_Regression!$L$14*Multiple_Regression!B106+Multiple_Regression!$L$15*Multiple_Regression!C106+Multiple_Regression!$L$16*Multiple_Regression!D106+Multiple_Regression!$L$17*Multiple_Regression!E106+Multiple_Regression!$L$18*Multiple_Regression!F106+Multiple_Regression!$L$19*Multiple_Regression!G106</f>
        <v>630220.803129651</v>
      </c>
      <c r="G106" s="20" t="n">
        <f aca="false">E106-F106</f>
        <v>-43593.8631296509</v>
      </c>
      <c r="H106" s="20" t="n">
        <f aca="false">ABS(G106)</f>
        <v>43593.8631296509</v>
      </c>
    </row>
    <row r="107" customFormat="false" ht="15" hidden="false" customHeight="true" outlineLevel="0" collapsed="false">
      <c r="A107" s="3" t="str">
        <f aca="false">Model_Data!A106</f>
        <v>STR-1026</v>
      </c>
      <c r="B107" s="4" t="n">
        <f aca="false">Model_Data!B106</f>
        <v>45717</v>
      </c>
      <c r="C107" s="3" t="str">
        <f aca="false">Model_Data!C106</f>
        <v>East</v>
      </c>
      <c r="D107" s="3" t="str">
        <f aca="false">Model_Data!D106</f>
        <v>Mall</v>
      </c>
      <c r="E107" s="20" t="n">
        <f aca="false">Multiple_Regression!H107</f>
        <v>740102.64</v>
      </c>
      <c r="F107" s="20" t="n">
        <f aca="false">Multiple_Regression!$L$12+Multiple_Regression!$L$13*Multiple_Regression!A107+Multiple_Regression!$L$14*Multiple_Regression!B107+Multiple_Regression!$L$15*Multiple_Regression!C107+Multiple_Regression!$L$16*Multiple_Regression!D107+Multiple_Regression!$L$17*Multiple_Regression!E107+Multiple_Regression!$L$18*Multiple_Regression!F107+Multiple_Regression!$L$19*Multiple_Regression!G107</f>
        <v>714030.96224383</v>
      </c>
      <c r="G107" s="20" t="n">
        <f aca="false">E107-F107</f>
        <v>26071.6777561703</v>
      </c>
      <c r="H107" s="20" t="n">
        <f aca="false">ABS(G107)</f>
        <v>26071.6777561703</v>
      </c>
    </row>
    <row r="108" customFormat="false" ht="15" hidden="false" customHeight="true" outlineLevel="0" collapsed="false">
      <c r="A108" s="3" t="str">
        <f aca="false">Model_Data!A107</f>
        <v>STR-1026</v>
      </c>
      <c r="B108" s="4" t="n">
        <f aca="false">Model_Data!B107</f>
        <v>45748</v>
      </c>
      <c r="C108" s="3" t="str">
        <f aca="false">Model_Data!C107</f>
        <v>East</v>
      </c>
      <c r="D108" s="3" t="str">
        <f aca="false">Model_Data!D107</f>
        <v>Mall</v>
      </c>
      <c r="E108" s="20" t="n">
        <f aca="false">Multiple_Regression!H108</f>
        <v>625514.04</v>
      </c>
      <c r="F108" s="20" t="n">
        <f aca="false">Multiple_Regression!$L$12+Multiple_Regression!$L$13*Multiple_Regression!A108+Multiple_Regression!$L$14*Multiple_Regression!B108+Multiple_Regression!$L$15*Multiple_Regression!C108+Multiple_Regression!$L$16*Multiple_Regression!D108+Multiple_Regression!$L$17*Multiple_Regression!E108+Multiple_Regression!$L$18*Multiple_Regression!F108+Multiple_Regression!$L$19*Multiple_Regression!G108</f>
        <v>538915.985132419</v>
      </c>
      <c r="G108" s="20" t="n">
        <f aca="false">E108-F108</f>
        <v>86598.054867581</v>
      </c>
      <c r="H108" s="20" t="n">
        <f aca="false">ABS(G108)</f>
        <v>86598.054867581</v>
      </c>
    </row>
    <row r="109" customFormat="false" ht="15" hidden="false" customHeight="true" outlineLevel="0" collapsed="false">
      <c r="A109" s="3" t="str">
        <f aca="false">Model_Data!A108</f>
        <v>STR-1027</v>
      </c>
      <c r="B109" s="4" t="n">
        <f aca="false">Model_Data!B108</f>
        <v>45658</v>
      </c>
      <c r="C109" s="3" t="str">
        <f aca="false">Model_Data!C108</f>
        <v>West</v>
      </c>
      <c r="D109" s="3" t="str">
        <f aca="false">Model_Data!D108</f>
        <v>High Street</v>
      </c>
      <c r="E109" s="20" t="n">
        <f aca="false">Multiple_Regression!H109</f>
        <v>727227.2</v>
      </c>
      <c r="F109" s="20" t="n">
        <f aca="false">Multiple_Regression!$L$12+Multiple_Regression!$L$13*Multiple_Regression!A109+Multiple_Regression!$L$14*Multiple_Regression!B109+Multiple_Regression!$L$15*Multiple_Regression!C109+Multiple_Regression!$L$16*Multiple_Regression!D109+Multiple_Regression!$L$17*Multiple_Regression!E109+Multiple_Regression!$L$18*Multiple_Regression!F109+Multiple_Regression!$L$19*Multiple_Regression!G109</f>
        <v>693588.799582273</v>
      </c>
      <c r="G109" s="20" t="n">
        <f aca="false">E109-F109</f>
        <v>33638.4004177267</v>
      </c>
      <c r="H109" s="20" t="n">
        <f aca="false">ABS(G109)</f>
        <v>33638.4004177267</v>
      </c>
    </row>
    <row r="110" customFormat="false" ht="15" hidden="false" customHeight="true" outlineLevel="0" collapsed="false">
      <c r="A110" s="3" t="str">
        <f aca="false">Model_Data!A109</f>
        <v>STR-1027</v>
      </c>
      <c r="B110" s="4" t="n">
        <f aca="false">Model_Data!B109</f>
        <v>45689</v>
      </c>
      <c r="C110" s="3" t="str">
        <f aca="false">Model_Data!C109</f>
        <v>West</v>
      </c>
      <c r="D110" s="3" t="str">
        <f aca="false">Model_Data!D109</f>
        <v>High Street</v>
      </c>
      <c r="E110" s="20" t="n">
        <f aca="false">Multiple_Regression!H110</f>
        <v>783797.89</v>
      </c>
      <c r="F110" s="20" t="n">
        <f aca="false">Multiple_Regression!$L$12+Multiple_Regression!$L$13*Multiple_Regression!A110+Multiple_Regression!$L$14*Multiple_Regression!B110+Multiple_Regression!$L$15*Multiple_Regression!C110+Multiple_Regression!$L$16*Multiple_Regression!D110+Multiple_Regression!$L$17*Multiple_Regression!E110+Multiple_Regression!$L$18*Multiple_Regression!F110+Multiple_Regression!$L$19*Multiple_Regression!G110</f>
        <v>790355.33744135</v>
      </c>
      <c r="G110" s="20" t="n">
        <f aca="false">E110-F110</f>
        <v>-6557.44744134985</v>
      </c>
      <c r="H110" s="20" t="n">
        <f aca="false">ABS(G110)</f>
        <v>6557.44744134985</v>
      </c>
    </row>
    <row r="111" customFormat="false" ht="15" hidden="false" customHeight="true" outlineLevel="0" collapsed="false">
      <c r="A111" s="3" t="str">
        <f aca="false">Model_Data!A110</f>
        <v>STR-1027</v>
      </c>
      <c r="B111" s="4" t="n">
        <f aca="false">Model_Data!B110</f>
        <v>45717</v>
      </c>
      <c r="C111" s="3" t="str">
        <f aca="false">Model_Data!C110</f>
        <v>West</v>
      </c>
      <c r="D111" s="3" t="str">
        <f aca="false">Model_Data!D110</f>
        <v>High Street</v>
      </c>
      <c r="E111" s="20" t="n">
        <f aca="false">Multiple_Regression!H111</f>
        <v>795153.84</v>
      </c>
      <c r="F111" s="20" t="n">
        <f aca="false">Multiple_Regression!$L$12+Multiple_Regression!$L$13*Multiple_Regression!A111+Multiple_Regression!$L$14*Multiple_Regression!B111+Multiple_Regression!$L$15*Multiple_Regression!C111+Multiple_Regression!$L$16*Multiple_Regression!D111+Multiple_Regression!$L$17*Multiple_Regression!E111+Multiple_Regression!$L$18*Multiple_Regression!F111+Multiple_Regression!$L$19*Multiple_Regression!G111</f>
        <v>721805.685931084</v>
      </c>
      <c r="G111" s="20" t="n">
        <f aca="false">E111-F111</f>
        <v>73348.1540689158</v>
      </c>
      <c r="H111" s="20" t="n">
        <f aca="false">ABS(G111)</f>
        <v>73348.1540689158</v>
      </c>
    </row>
    <row r="112" customFormat="false" ht="15" hidden="false" customHeight="true" outlineLevel="0" collapsed="false">
      <c r="A112" s="3" t="str">
        <f aca="false">Model_Data!A111</f>
        <v>STR-1027</v>
      </c>
      <c r="B112" s="4" t="n">
        <f aca="false">Model_Data!B111</f>
        <v>45748</v>
      </c>
      <c r="C112" s="3" t="str">
        <f aca="false">Model_Data!C111</f>
        <v>West</v>
      </c>
      <c r="D112" s="3" t="str">
        <f aca="false">Model_Data!D111</f>
        <v>High Street</v>
      </c>
      <c r="E112" s="20" t="n">
        <f aca="false">Multiple_Regression!H112</f>
        <v>665594.94</v>
      </c>
      <c r="F112" s="20" t="n">
        <f aca="false">Multiple_Regression!$L$12+Multiple_Regression!$L$13*Multiple_Regression!A112+Multiple_Regression!$L$14*Multiple_Regression!B112+Multiple_Regression!$L$15*Multiple_Regression!C112+Multiple_Regression!$L$16*Multiple_Regression!D112+Multiple_Regression!$L$17*Multiple_Regression!E112+Multiple_Regression!$L$18*Multiple_Regression!F112+Multiple_Regression!$L$19*Multiple_Regression!G112</f>
        <v>670444.90499398</v>
      </c>
      <c r="G112" s="20" t="n">
        <f aca="false">E112-F112</f>
        <v>-4849.96499397978</v>
      </c>
      <c r="H112" s="20" t="n">
        <f aca="false">ABS(G112)</f>
        <v>4849.96499397978</v>
      </c>
    </row>
    <row r="113" customFormat="false" ht="15" hidden="false" customHeight="true" outlineLevel="0" collapsed="false">
      <c r="A113" s="3" t="str">
        <f aca="false">Model_Data!A112</f>
        <v>STR-1028</v>
      </c>
      <c r="B113" s="4" t="n">
        <f aca="false">Model_Data!B112</f>
        <v>45658</v>
      </c>
      <c r="C113" s="3" t="str">
        <f aca="false">Model_Data!C112</f>
        <v>East</v>
      </c>
      <c r="D113" s="3" t="str">
        <f aca="false">Model_Data!D112</f>
        <v>Mall</v>
      </c>
      <c r="E113" s="20" t="n">
        <f aca="false">Multiple_Regression!H113</f>
        <v>709478.39</v>
      </c>
      <c r="F113" s="20" t="n">
        <f aca="false">Multiple_Regression!$L$12+Multiple_Regression!$L$13*Multiple_Regression!A113+Multiple_Regression!$L$14*Multiple_Regression!B113+Multiple_Regression!$L$15*Multiple_Regression!C113+Multiple_Regression!$L$16*Multiple_Regression!D113+Multiple_Regression!$L$17*Multiple_Regression!E113+Multiple_Regression!$L$18*Multiple_Regression!F113+Multiple_Regression!$L$19*Multiple_Regression!G113</f>
        <v>683114.860835226</v>
      </c>
      <c r="G113" s="20" t="n">
        <f aca="false">E113-F113</f>
        <v>26363.5291647739</v>
      </c>
      <c r="H113" s="20" t="n">
        <f aca="false">ABS(G113)</f>
        <v>26363.5291647739</v>
      </c>
    </row>
    <row r="114" customFormat="false" ht="15" hidden="false" customHeight="true" outlineLevel="0" collapsed="false">
      <c r="A114" s="3" t="str">
        <f aca="false">Model_Data!A113</f>
        <v>STR-1028</v>
      </c>
      <c r="B114" s="4" t="n">
        <f aca="false">Model_Data!B113</f>
        <v>45689</v>
      </c>
      <c r="C114" s="3" t="str">
        <f aca="false">Model_Data!C113</f>
        <v>East</v>
      </c>
      <c r="D114" s="3" t="str">
        <f aca="false">Model_Data!D113</f>
        <v>Mall</v>
      </c>
      <c r="E114" s="20" t="n">
        <f aca="false">Multiple_Regression!H114</f>
        <v>664162.49</v>
      </c>
      <c r="F114" s="20" t="n">
        <f aca="false">Multiple_Regression!$L$12+Multiple_Regression!$L$13*Multiple_Regression!A114+Multiple_Regression!$L$14*Multiple_Regression!B114+Multiple_Regression!$L$15*Multiple_Regression!C114+Multiple_Regression!$L$16*Multiple_Regression!D114+Multiple_Regression!$L$17*Multiple_Regression!E114+Multiple_Regression!$L$18*Multiple_Regression!F114+Multiple_Regression!$L$19*Multiple_Regression!G114</f>
        <v>656563.086061162</v>
      </c>
      <c r="G114" s="20" t="n">
        <f aca="false">E114-F114</f>
        <v>7599.40393883758</v>
      </c>
      <c r="H114" s="20" t="n">
        <f aca="false">ABS(G114)</f>
        <v>7599.40393883758</v>
      </c>
    </row>
    <row r="115" customFormat="false" ht="15" hidden="false" customHeight="true" outlineLevel="0" collapsed="false">
      <c r="A115" s="3" t="str">
        <f aca="false">Model_Data!A114</f>
        <v>STR-1028</v>
      </c>
      <c r="B115" s="4" t="n">
        <f aca="false">Model_Data!B114</f>
        <v>45717</v>
      </c>
      <c r="C115" s="3" t="str">
        <f aca="false">Model_Data!C114</f>
        <v>East</v>
      </c>
      <c r="D115" s="3" t="str">
        <f aca="false">Model_Data!D114</f>
        <v>Mall</v>
      </c>
      <c r="E115" s="20" t="n">
        <f aca="false">Multiple_Regression!H115</f>
        <v>633494.21</v>
      </c>
      <c r="F115" s="20" t="n">
        <f aca="false">Multiple_Regression!$L$12+Multiple_Regression!$L$13*Multiple_Regression!A115+Multiple_Regression!$L$14*Multiple_Regression!B115+Multiple_Regression!$L$15*Multiple_Regression!C115+Multiple_Regression!$L$16*Multiple_Regression!D115+Multiple_Regression!$L$17*Multiple_Regression!E115+Multiple_Regression!$L$18*Multiple_Regression!F115+Multiple_Regression!$L$19*Multiple_Regression!G115</f>
        <v>663832.041587084</v>
      </c>
      <c r="G115" s="20" t="n">
        <f aca="false">E115-F115</f>
        <v>-30337.8315870836</v>
      </c>
      <c r="H115" s="20" t="n">
        <f aca="false">ABS(G115)</f>
        <v>30337.8315870836</v>
      </c>
    </row>
    <row r="116" customFormat="false" ht="15" hidden="false" customHeight="true" outlineLevel="0" collapsed="false">
      <c r="A116" s="3" t="str">
        <f aca="false">Model_Data!A115</f>
        <v>STR-1028</v>
      </c>
      <c r="B116" s="4" t="n">
        <f aca="false">Model_Data!B115</f>
        <v>45748</v>
      </c>
      <c r="C116" s="3" t="str">
        <f aca="false">Model_Data!C115</f>
        <v>East</v>
      </c>
      <c r="D116" s="3" t="str">
        <f aca="false">Model_Data!D115</f>
        <v>Mall</v>
      </c>
      <c r="E116" s="20" t="n">
        <f aca="false">Multiple_Regression!H116</f>
        <v>713611.16</v>
      </c>
      <c r="F116" s="20" t="n">
        <f aca="false">Multiple_Regression!$L$12+Multiple_Regression!$L$13*Multiple_Regression!A116+Multiple_Regression!$L$14*Multiple_Regression!B116+Multiple_Regression!$L$15*Multiple_Regression!C116+Multiple_Regression!$L$16*Multiple_Regression!D116+Multiple_Regression!$L$17*Multiple_Regression!E116+Multiple_Regression!$L$18*Multiple_Regression!F116+Multiple_Regression!$L$19*Multiple_Regression!G116</f>
        <v>618465.83619347</v>
      </c>
      <c r="G116" s="20" t="n">
        <f aca="false">E116-F116</f>
        <v>95145.3238065299</v>
      </c>
      <c r="H116" s="20" t="n">
        <f aca="false">ABS(G116)</f>
        <v>95145.3238065299</v>
      </c>
    </row>
    <row r="117" customFormat="false" ht="15" hidden="false" customHeight="true" outlineLevel="0" collapsed="false">
      <c r="A117" s="3" t="str">
        <f aca="false">Model_Data!A116</f>
        <v>STR-1029</v>
      </c>
      <c r="B117" s="4" t="n">
        <f aca="false">Model_Data!B116</f>
        <v>45658</v>
      </c>
      <c r="C117" s="3" t="str">
        <f aca="false">Model_Data!C116</f>
        <v>West</v>
      </c>
      <c r="D117" s="3" t="str">
        <f aca="false">Model_Data!D116</f>
        <v>Mall</v>
      </c>
      <c r="E117" s="20" t="n">
        <f aca="false">Multiple_Regression!H117</f>
        <v>778397.97</v>
      </c>
      <c r="F117" s="20" t="n">
        <f aca="false">Multiple_Regression!$L$12+Multiple_Regression!$L$13*Multiple_Regression!A117+Multiple_Regression!$L$14*Multiple_Regression!B117+Multiple_Regression!$L$15*Multiple_Regression!C117+Multiple_Regression!$L$16*Multiple_Regression!D117+Multiple_Regression!$L$17*Multiple_Regression!E117+Multiple_Regression!$L$18*Multiple_Regression!F117+Multiple_Regression!$L$19*Multiple_Regression!G117</f>
        <v>740871.833666865</v>
      </c>
      <c r="G117" s="20" t="n">
        <f aca="false">E117-F117</f>
        <v>37526.1363331351</v>
      </c>
      <c r="H117" s="20" t="n">
        <f aca="false">ABS(G117)</f>
        <v>37526.1363331351</v>
      </c>
    </row>
    <row r="118" customFormat="false" ht="15" hidden="false" customHeight="true" outlineLevel="0" collapsed="false">
      <c r="A118" s="3" t="str">
        <f aca="false">Model_Data!A117</f>
        <v>STR-1029</v>
      </c>
      <c r="B118" s="4" t="n">
        <f aca="false">Model_Data!B117</f>
        <v>45689</v>
      </c>
      <c r="C118" s="3" t="str">
        <f aca="false">Model_Data!C117</f>
        <v>West</v>
      </c>
      <c r="D118" s="3" t="str">
        <f aca="false">Model_Data!D117</f>
        <v>Mall</v>
      </c>
      <c r="E118" s="20" t="n">
        <f aca="false">Multiple_Regression!H118</f>
        <v>873380.02</v>
      </c>
      <c r="F118" s="20" t="n">
        <f aca="false">Multiple_Regression!$L$12+Multiple_Regression!$L$13*Multiple_Regression!A118+Multiple_Regression!$L$14*Multiple_Regression!B118+Multiple_Regression!$L$15*Multiple_Regression!C118+Multiple_Regression!$L$16*Multiple_Regression!D118+Multiple_Regression!$L$17*Multiple_Regression!E118+Multiple_Regression!$L$18*Multiple_Regression!F118+Multiple_Regression!$L$19*Multiple_Regression!G118</f>
        <v>835879.607791865</v>
      </c>
      <c r="G118" s="20" t="n">
        <f aca="false">E118-F118</f>
        <v>37500.4122081352</v>
      </c>
      <c r="H118" s="20" t="n">
        <f aca="false">ABS(G118)</f>
        <v>37500.4122081352</v>
      </c>
    </row>
    <row r="119" customFormat="false" ht="15" hidden="false" customHeight="true" outlineLevel="0" collapsed="false">
      <c r="A119" s="3" t="str">
        <f aca="false">Model_Data!A118</f>
        <v>STR-1029</v>
      </c>
      <c r="B119" s="4" t="n">
        <f aca="false">Model_Data!B118</f>
        <v>45717</v>
      </c>
      <c r="C119" s="3" t="str">
        <f aca="false">Model_Data!C118</f>
        <v>West</v>
      </c>
      <c r="D119" s="3" t="str">
        <f aca="false">Model_Data!D118</f>
        <v>Mall</v>
      </c>
      <c r="E119" s="20" t="n">
        <f aca="false">Multiple_Regression!H119</f>
        <v>697287.9</v>
      </c>
      <c r="F119" s="20" t="n">
        <f aca="false">Multiple_Regression!$L$12+Multiple_Regression!$L$13*Multiple_Regression!A119+Multiple_Regression!$L$14*Multiple_Regression!B119+Multiple_Regression!$L$15*Multiple_Regression!C119+Multiple_Regression!$L$16*Multiple_Regression!D119+Multiple_Regression!$L$17*Multiple_Regression!E119+Multiple_Regression!$L$18*Multiple_Regression!F119+Multiple_Regression!$L$19*Multiple_Regression!G119</f>
        <v>754005.138543863</v>
      </c>
      <c r="G119" s="20" t="n">
        <f aca="false">E119-F119</f>
        <v>-56717.2385438629</v>
      </c>
      <c r="H119" s="20" t="n">
        <f aca="false">ABS(G119)</f>
        <v>56717.2385438629</v>
      </c>
    </row>
    <row r="120" customFormat="false" ht="15" hidden="false" customHeight="true" outlineLevel="0" collapsed="false">
      <c r="A120" s="3" t="str">
        <f aca="false">Model_Data!A119</f>
        <v>STR-1029</v>
      </c>
      <c r="B120" s="4" t="n">
        <f aca="false">Model_Data!B119</f>
        <v>45748</v>
      </c>
      <c r="C120" s="3" t="str">
        <f aca="false">Model_Data!C119</f>
        <v>West</v>
      </c>
      <c r="D120" s="3" t="str">
        <f aca="false">Model_Data!D119</f>
        <v>Mall</v>
      </c>
      <c r="E120" s="20" t="n">
        <f aca="false">Multiple_Regression!H120</f>
        <v>718074.79</v>
      </c>
      <c r="F120" s="20" t="n">
        <f aca="false">Multiple_Regression!$L$12+Multiple_Regression!$L$13*Multiple_Regression!A120+Multiple_Regression!$L$14*Multiple_Regression!B120+Multiple_Regression!$L$15*Multiple_Regression!C120+Multiple_Regression!$L$16*Multiple_Regression!D120+Multiple_Regression!$L$17*Multiple_Regression!E120+Multiple_Regression!$L$18*Multiple_Regression!F120+Multiple_Regression!$L$19*Multiple_Regression!G120</f>
        <v>759421.593671565</v>
      </c>
      <c r="G120" s="20" t="n">
        <f aca="false">E120-F120</f>
        <v>-41346.8036715644</v>
      </c>
      <c r="H120" s="20" t="n">
        <f aca="false">ABS(G120)</f>
        <v>41346.8036715644</v>
      </c>
    </row>
    <row r="121" customFormat="false" ht="15" hidden="false" customHeight="true" outlineLevel="0" collapsed="false">
      <c r="A121" s="3" t="str">
        <f aca="false">Model_Data!A120</f>
        <v>STR-1030</v>
      </c>
      <c r="B121" s="4" t="n">
        <f aca="false">Model_Data!B120</f>
        <v>45658</v>
      </c>
      <c r="C121" s="3" t="str">
        <f aca="false">Model_Data!C120</f>
        <v>West</v>
      </c>
      <c r="D121" s="3" t="str">
        <f aca="false">Model_Data!D120</f>
        <v>Residential</v>
      </c>
      <c r="E121" s="20" t="n">
        <f aca="false">Multiple_Regression!H121</f>
        <v>714942.43</v>
      </c>
      <c r="F121" s="20" t="n">
        <f aca="false">Multiple_Regression!$L$12+Multiple_Regression!$L$13*Multiple_Regression!A121+Multiple_Regression!$L$14*Multiple_Regression!B121+Multiple_Regression!$L$15*Multiple_Regression!C121+Multiple_Regression!$L$16*Multiple_Regression!D121+Multiple_Regression!$L$17*Multiple_Regression!E121+Multiple_Regression!$L$18*Multiple_Regression!F121+Multiple_Regression!$L$19*Multiple_Regression!G121</f>
        <v>696455.688475059</v>
      </c>
      <c r="G121" s="20" t="n">
        <f aca="false">E121-F121</f>
        <v>18486.7415249407</v>
      </c>
      <c r="H121" s="20" t="n">
        <f aca="false">ABS(G121)</f>
        <v>18486.7415249407</v>
      </c>
    </row>
    <row r="122" customFormat="false" ht="15" hidden="false" customHeight="true" outlineLevel="0" collapsed="false">
      <c r="A122" s="3" t="str">
        <f aca="false">Model_Data!A121</f>
        <v>STR-1030</v>
      </c>
      <c r="B122" s="4" t="n">
        <f aca="false">Model_Data!B121</f>
        <v>45689</v>
      </c>
      <c r="C122" s="3" t="str">
        <f aca="false">Model_Data!C121</f>
        <v>West</v>
      </c>
      <c r="D122" s="3" t="str">
        <f aca="false">Model_Data!D121</f>
        <v>Residential</v>
      </c>
      <c r="E122" s="20" t="n">
        <f aca="false">Multiple_Regression!H122</f>
        <v>820519.04</v>
      </c>
      <c r="F122" s="20" t="n">
        <f aca="false">Multiple_Regression!$L$12+Multiple_Regression!$L$13*Multiple_Regression!A122+Multiple_Regression!$L$14*Multiple_Regression!B122+Multiple_Regression!$L$15*Multiple_Regression!C122+Multiple_Regression!$L$16*Multiple_Regression!D122+Multiple_Regression!$L$17*Multiple_Regression!E122+Multiple_Regression!$L$18*Multiple_Regression!F122+Multiple_Regression!$L$19*Multiple_Regression!G122</f>
        <v>714619.59420683</v>
      </c>
      <c r="G122" s="20" t="n">
        <f aca="false">E122-F122</f>
        <v>105899.44579317</v>
      </c>
      <c r="H122" s="20" t="n">
        <f aca="false">ABS(G122)</f>
        <v>105899.44579317</v>
      </c>
    </row>
    <row r="123" customFormat="false" ht="15" hidden="false" customHeight="true" outlineLevel="0" collapsed="false">
      <c r="A123" s="3" t="str">
        <f aca="false">Model_Data!A122</f>
        <v>STR-1030</v>
      </c>
      <c r="B123" s="4" t="n">
        <f aca="false">Model_Data!B122</f>
        <v>45717</v>
      </c>
      <c r="C123" s="3" t="str">
        <f aca="false">Model_Data!C122</f>
        <v>West</v>
      </c>
      <c r="D123" s="3" t="str">
        <f aca="false">Model_Data!D122</f>
        <v>Residential</v>
      </c>
      <c r="E123" s="20" t="n">
        <f aca="false">Multiple_Regression!H123</f>
        <v>684217.32</v>
      </c>
      <c r="F123" s="20" t="n">
        <f aca="false">Multiple_Regression!$L$12+Multiple_Regression!$L$13*Multiple_Regression!A123+Multiple_Regression!$L$14*Multiple_Regression!B123+Multiple_Regression!$L$15*Multiple_Regression!C123+Multiple_Regression!$L$16*Multiple_Regression!D123+Multiple_Regression!$L$17*Multiple_Regression!E123+Multiple_Regression!$L$18*Multiple_Regression!F123+Multiple_Regression!$L$19*Multiple_Regression!G123</f>
        <v>739003.421991175</v>
      </c>
      <c r="G123" s="20" t="n">
        <f aca="false">E123-F123</f>
        <v>-54786.101991175</v>
      </c>
      <c r="H123" s="20" t="n">
        <f aca="false">ABS(G123)</f>
        <v>54786.101991175</v>
      </c>
    </row>
    <row r="124" customFormat="false" ht="15" hidden="false" customHeight="true" outlineLevel="0" collapsed="false">
      <c r="A124" s="3" t="str">
        <f aca="false">Model_Data!A123</f>
        <v>STR-1030</v>
      </c>
      <c r="B124" s="4" t="n">
        <f aca="false">Model_Data!B123</f>
        <v>45748</v>
      </c>
      <c r="C124" s="3" t="str">
        <f aca="false">Model_Data!C123</f>
        <v>West</v>
      </c>
      <c r="D124" s="3" t="str">
        <f aca="false">Model_Data!D123</f>
        <v>Residential</v>
      </c>
      <c r="E124" s="20" t="n">
        <f aca="false">Multiple_Regression!H124</f>
        <v>735480.19</v>
      </c>
      <c r="F124" s="20" t="n">
        <f aca="false">Multiple_Regression!$L$12+Multiple_Regression!$L$13*Multiple_Regression!A124+Multiple_Regression!$L$14*Multiple_Regression!B124+Multiple_Regression!$L$15*Multiple_Regression!C124+Multiple_Regression!$L$16*Multiple_Regression!D124+Multiple_Regression!$L$17*Multiple_Regression!E124+Multiple_Regression!$L$18*Multiple_Regression!F124+Multiple_Regression!$L$19*Multiple_Regression!G124</f>
        <v>721069.548172746</v>
      </c>
      <c r="G124" s="20" t="n">
        <f aca="false">E124-F124</f>
        <v>14410.6418272544</v>
      </c>
      <c r="H124" s="20" t="n">
        <f aca="false">ABS(G124)</f>
        <v>14410.6418272544</v>
      </c>
    </row>
    <row r="125" customFormat="false" ht="15" hidden="false" customHeight="true" outlineLevel="0" collapsed="false">
      <c r="A125" s="3" t="str">
        <f aca="false">Model_Data!A124</f>
        <v>STR-1031</v>
      </c>
      <c r="B125" s="4" t="n">
        <f aca="false">Model_Data!B124</f>
        <v>45658</v>
      </c>
      <c r="C125" s="3" t="str">
        <f aca="false">Model_Data!C124</f>
        <v>North</v>
      </c>
      <c r="D125" s="3" t="str">
        <f aca="false">Model_Data!D124</f>
        <v>High Street</v>
      </c>
      <c r="E125" s="20" t="n">
        <f aca="false">Multiple_Regression!H125</f>
        <v>509484.81</v>
      </c>
      <c r="F125" s="20" t="n">
        <f aca="false">Multiple_Regression!$L$12+Multiple_Regression!$L$13*Multiple_Regression!A125+Multiple_Regression!$L$14*Multiple_Regression!B125+Multiple_Regression!$L$15*Multiple_Regression!C125+Multiple_Regression!$L$16*Multiple_Regression!D125+Multiple_Regression!$L$17*Multiple_Regression!E125+Multiple_Regression!$L$18*Multiple_Regression!F125+Multiple_Regression!$L$19*Multiple_Regression!G125</f>
        <v>561697.441228952</v>
      </c>
      <c r="G125" s="20" t="n">
        <f aca="false">E125-F125</f>
        <v>-52212.6312289521</v>
      </c>
      <c r="H125" s="20" t="n">
        <f aca="false">ABS(G125)</f>
        <v>52212.6312289521</v>
      </c>
    </row>
    <row r="126" customFormat="false" ht="15" hidden="false" customHeight="true" outlineLevel="0" collapsed="false">
      <c r="A126" s="3" t="str">
        <f aca="false">Model_Data!A125</f>
        <v>STR-1031</v>
      </c>
      <c r="B126" s="4" t="n">
        <f aca="false">Model_Data!B125</f>
        <v>45689</v>
      </c>
      <c r="C126" s="3" t="str">
        <f aca="false">Model_Data!C125</f>
        <v>North</v>
      </c>
      <c r="D126" s="3" t="str">
        <f aca="false">Model_Data!D125</f>
        <v>High Street</v>
      </c>
      <c r="E126" s="20" t="n">
        <f aca="false">Multiple_Regression!H126</f>
        <v>654317.09</v>
      </c>
      <c r="F126" s="20" t="n">
        <f aca="false">Multiple_Regression!$L$12+Multiple_Regression!$L$13*Multiple_Regression!A126+Multiple_Regression!$L$14*Multiple_Regression!B126+Multiple_Regression!$L$15*Multiple_Regression!C126+Multiple_Regression!$L$16*Multiple_Regression!D126+Multiple_Regression!$L$17*Multiple_Regression!E126+Multiple_Regression!$L$18*Multiple_Regression!F126+Multiple_Regression!$L$19*Multiple_Regression!G126</f>
        <v>626364.248397893</v>
      </c>
      <c r="G126" s="20" t="n">
        <f aca="false">E126-F126</f>
        <v>27952.8416021069</v>
      </c>
      <c r="H126" s="20" t="n">
        <f aca="false">ABS(G126)</f>
        <v>27952.8416021069</v>
      </c>
    </row>
    <row r="127" customFormat="false" ht="15" hidden="false" customHeight="true" outlineLevel="0" collapsed="false">
      <c r="A127" s="3" t="str">
        <f aca="false">Model_Data!A126</f>
        <v>STR-1031</v>
      </c>
      <c r="B127" s="4" t="n">
        <f aca="false">Model_Data!B126</f>
        <v>45717</v>
      </c>
      <c r="C127" s="3" t="str">
        <f aca="false">Model_Data!C126</f>
        <v>North</v>
      </c>
      <c r="D127" s="3" t="str">
        <f aca="false">Model_Data!D126</f>
        <v>High Street</v>
      </c>
      <c r="E127" s="20" t="n">
        <f aca="false">Multiple_Regression!H127</f>
        <v>557487.26</v>
      </c>
      <c r="F127" s="20" t="n">
        <f aca="false">Multiple_Regression!$L$12+Multiple_Regression!$L$13*Multiple_Regression!A127+Multiple_Regression!$L$14*Multiple_Regression!B127+Multiple_Regression!$L$15*Multiple_Regression!C127+Multiple_Regression!$L$16*Multiple_Regression!D127+Multiple_Regression!$L$17*Multiple_Regression!E127+Multiple_Regression!$L$18*Multiple_Regression!F127+Multiple_Regression!$L$19*Multiple_Regression!G127</f>
        <v>595353.594013971</v>
      </c>
      <c r="G127" s="20" t="n">
        <f aca="false">E127-F127</f>
        <v>-37866.3340139712</v>
      </c>
      <c r="H127" s="20" t="n">
        <f aca="false">ABS(G127)</f>
        <v>37866.3340139712</v>
      </c>
    </row>
    <row r="128" customFormat="false" ht="15" hidden="false" customHeight="true" outlineLevel="0" collapsed="false">
      <c r="A128" s="3" t="str">
        <f aca="false">Model_Data!A127</f>
        <v>STR-1031</v>
      </c>
      <c r="B128" s="4" t="n">
        <f aca="false">Model_Data!B127</f>
        <v>45748</v>
      </c>
      <c r="C128" s="3" t="str">
        <f aca="false">Model_Data!C127</f>
        <v>North</v>
      </c>
      <c r="D128" s="3" t="str">
        <f aca="false">Model_Data!D127</f>
        <v>High Street</v>
      </c>
      <c r="E128" s="20" t="n">
        <f aca="false">Multiple_Regression!H128</f>
        <v>441275.42</v>
      </c>
      <c r="F128" s="20" t="n">
        <f aca="false">Multiple_Regression!$L$12+Multiple_Regression!$L$13*Multiple_Regression!A128+Multiple_Regression!$L$14*Multiple_Regression!B128+Multiple_Regression!$L$15*Multiple_Regression!C128+Multiple_Regression!$L$16*Multiple_Regression!D128+Multiple_Regression!$L$17*Multiple_Regression!E128+Multiple_Regression!$L$18*Multiple_Regression!F128+Multiple_Regression!$L$19*Multiple_Regression!G128</f>
        <v>504086.399741007</v>
      </c>
      <c r="G128" s="20" t="n">
        <f aca="false">E128-F128</f>
        <v>-62810.979741007</v>
      </c>
      <c r="H128" s="20" t="n">
        <f aca="false">ABS(G128)</f>
        <v>62810.979741007</v>
      </c>
    </row>
    <row r="129" customFormat="false" ht="15" hidden="false" customHeight="true" outlineLevel="0" collapsed="false">
      <c r="A129" s="3" t="str">
        <f aca="false">Model_Data!A128</f>
        <v>STR-1032</v>
      </c>
      <c r="B129" s="4" t="n">
        <f aca="false">Model_Data!B128</f>
        <v>45658</v>
      </c>
      <c r="C129" s="3" t="str">
        <f aca="false">Model_Data!C128</f>
        <v>South</v>
      </c>
      <c r="D129" s="3" t="str">
        <f aca="false">Model_Data!D128</f>
        <v>High Street</v>
      </c>
      <c r="E129" s="20" t="n">
        <f aca="false">Multiple_Regression!H129</f>
        <v>914544.17</v>
      </c>
      <c r="F129" s="20" t="n">
        <f aca="false">Multiple_Regression!$L$12+Multiple_Regression!$L$13*Multiple_Regression!A129+Multiple_Regression!$L$14*Multiple_Regression!B129+Multiple_Regression!$L$15*Multiple_Regression!C129+Multiple_Regression!$L$16*Multiple_Regression!D129+Multiple_Regression!$L$17*Multiple_Regression!E129+Multiple_Regression!$L$18*Multiple_Regression!F129+Multiple_Regression!$L$19*Multiple_Regression!G129</f>
        <v>815772.728979466</v>
      </c>
      <c r="G129" s="20" t="n">
        <f aca="false">E129-F129</f>
        <v>98771.441020534</v>
      </c>
      <c r="H129" s="20" t="n">
        <f aca="false">ABS(G129)</f>
        <v>98771.441020534</v>
      </c>
    </row>
    <row r="130" customFormat="false" ht="15" hidden="false" customHeight="true" outlineLevel="0" collapsed="false">
      <c r="A130" s="3" t="str">
        <f aca="false">Model_Data!A129</f>
        <v>STR-1032</v>
      </c>
      <c r="B130" s="4" t="n">
        <f aca="false">Model_Data!B129</f>
        <v>45689</v>
      </c>
      <c r="C130" s="3" t="str">
        <f aca="false">Model_Data!C129</f>
        <v>South</v>
      </c>
      <c r="D130" s="3" t="str">
        <f aca="false">Model_Data!D129</f>
        <v>High Street</v>
      </c>
      <c r="E130" s="20" t="n">
        <f aca="false">Multiple_Regression!H130</f>
        <v>842439.67</v>
      </c>
      <c r="F130" s="20" t="n">
        <f aca="false">Multiple_Regression!$L$12+Multiple_Regression!$L$13*Multiple_Regression!A130+Multiple_Regression!$L$14*Multiple_Regression!B130+Multiple_Regression!$L$15*Multiple_Regression!C130+Multiple_Regression!$L$16*Multiple_Regression!D130+Multiple_Regression!$L$17*Multiple_Regression!E130+Multiple_Regression!$L$18*Multiple_Regression!F130+Multiple_Regression!$L$19*Multiple_Regression!G130</f>
        <v>846580.384692373</v>
      </c>
      <c r="G130" s="20" t="n">
        <f aca="false">E130-F130</f>
        <v>-4140.71469237318</v>
      </c>
      <c r="H130" s="20" t="n">
        <f aca="false">ABS(G130)</f>
        <v>4140.71469237318</v>
      </c>
    </row>
    <row r="131" customFormat="false" ht="15" hidden="false" customHeight="true" outlineLevel="0" collapsed="false">
      <c r="A131" s="3" t="str">
        <f aca="false">Model_Data!A130</f>
        <v>STR-1032</v>
      </c>
      <c r="B131" s="4" t="n">
        <f aca="false">Model_Data!B130</f>
        <v>45717</v>
      </c>
      <c r="C131" s="3" t="str">
        <f aca="false">Model_Data!C130</f>
        <v>South</v>
      </c>
      <c r="D131" s="3" t="str">
        <f aca="false">Model_Data!D130</f>
        <v>High Street</v>
      </c>
      <c r="E131" s="20" t="n">
        <f aca="false">Multiple_Regression!H131</f>
        <v>842157.92</v>
      </c>
      <c r="F131" s="20" t="n">
        <f aca="false">Multiple_Regression!$L$12+Multiple_Regression!$L$13*Multiple_Regression!A131+Multiple_Regression!$L$14*Multiple_Regression!B131+Multiple_Regression!$L$15*Multiple_Regression!C131+Multiple_Regression!$L$16*Multiple_Regression!D131+Multiple_Regression!$L$17*Multiple_Regression!E131+Multiple_Regression!$L$18*Multiple_Regression!F131+Multiple_Regression!$L$19*Multiple_Regression!G131</f>
        <v>777773.489974991</v>
      </c>
      <c r="G131" s="20" t="n">
        <f aca="false">E131-F131</f>
        <v>64384.4300250087</v>
      </c>
      <c r="H131" s="20" t="n">
        <f aca="false">ABS(G131)</f>
        <v>64384.4300250087</v>
      </c>
    </row>
    <row r="132" customFormat="false" ht="15" hidden="false" customHeight="true" outlineLevel="0" collapsed="false">
      <c r="A132" s="3" t="str">
        <f aca="false">Model_Data!A131</f>
        <v>STR-1032</v>
      </c>
      <c r="B132" s="4" t="n">
        <f aca="false">Model_Data!B131</f>
        <v>45748</v>
      </c>
      <c r="C132" s="3" t="str">
        <f aca="false">Model_Data!C131</f>
        <v>South</v>
      </c>
      <c r="D132" s="3" t="str">
        <f aca="false">Model_Data!D131</f>
        <v>High Street</v>
      </c>
      <c r="E132" s="20" t="n">
        <f aca="false">Multiple_Regression!H132</f>
        <v>697155.3</v>
      </c>
      <c r="F132" s="20" t="n">
        <f aca="false">Multiple_Regression!$L$12+Multiple_Regression!$L$13*Multiple_Regression!A132+Multiple_Regression!$L$14*Multiple_Regression!B132+Multiple_Regression!$L$15*Multiple_Regression!C132+Multiple_Regression!$L$16*Multiple_Regression!D132+Multiple_Regression!$L$17*Multiple_Regression!E132+Multiple_Regression!$L$18*Multiple_Regression!F132+Multiple_Regression!$L$19*Multiple_Regression!G132</f>
        <v>696698.622294965</v>
      </c>
      <c r="G132" s="20" t="n">
        <f aca="false">E132-F132</f>
        <v>456.677705034614</v>
      </c>
      <c r="H132" s="20" t="n">
        <f aca="false">ABS(G132)</f>
        <v>456.677705034614</v>
      </c>
    </row>
    <row r="133" customFormat="false" ht="15" hidden="false" customHeight="true" outlineLevel="0" collapsed="false">
      <c r="A133" s="3" t="str">
        <f aca="false">Model_Data!A132</f>
        <v>STR-1033</v>
      </c>
      <c r="B133" s="4" t="n">
        <f aca="false">Model_Data!B132</f>
        <v>45658</v>
      </c>
      <c r="C133" s="3" t="str">
        <f aca="false">Model_Data!C132</f>
        <v>East</v>
      </c>
      <c r="D133" s="3" t="str">
        <f aca="false">Model_Data!D132</f>
        <v>High Street</v>
      </c>
      <c r="E133" s="20" t="n">
        <f aca="false">Multiple_Regression!H133</f>
        <v>849018.3</v>
      </c>
      <c r="F133" s="20" t="n">
        <f aca="false">Multiple_Regression!$L$12+Multiple_Regression!$L$13*Multiple_Regression!A133+Multiple_Regression!$L$14*Multiple_Regression!B133+Multiple_Regression!$L$15*Multiple_Regression!C133+Multiple_Regression!$L$16*Multiple_Regression!D133+Multiple_Regression!$L$17*Multiple_Regression!E133+Multiple_Regression!$L$18*Multiple_Regression!F133+Multiple_Regression!$L$19*Multiple_Regression!G133</f>
        <v>828215.649883951</v>
      </c>
      <c r="G133" s="20" t="n">
        <f aca="false">E133-F133</f>
        <v>20802.6501160486</v>
      </c>
      <c r="H133" s="20" t="n">
        <f aca="false">ABS(G133)</f>
        <v>20802.6501160486</v>
      </c>
    </row>
    <row r="134" customFormat="false" ht="15" hidden="false" customHeight="true" outlineLevel="0" collapsed="false">
      <c r="A134" s="3" t="str">
        <f aca="false">Model_Data!A133</f>
        <v>STR-1033</v>
      </c>
      <c r="B134" s="4" t="n">
        <f aca="false">Model_Data!B133</f>
        <v>45689</v>
      </c>
      <c r="C134" s="3" t="str">
        <f aca="false">Model_Data!C133</f>
        <v>East</v>
      </c>
      <c r="D134" s="3" t="str">
        <f aca="false">Model_Data!D133</f>
        <v>High Street</v>
      </c>
      <c r="E134" s="20" t="n">
        <f aca="false">Multiple_Regression!H134</f>
        <v>801830.35</v>
      </c>
      <c r="F134" s="20" t="n">
        <f aca="false">Multiple_Regression!$L$12+Multiple_Regression!$L$13*Multiple_Regression!A134+Multiple_Regression!$L$14*Multiple_Regression!B134+Multiple_Regression!$L$15*Multiple_Regression!C134+Multiple_Regression!$L$16*Multiple_Regression!D134+Multiple_Regression!$L$17*Multiple_Regression!E134+Multiple_Regression!$L$18*Multiple_Regression!F134+Multiple_Regression!$L$19*Multiple_Regression!G134</f>
        <v>804854.621952709</v>
      </c>
      <c r="G134" s="20" t="n">
        <f aca="false">E134-F134</f>
        <v>-3024.2719527086</v>
      </c>
      <c r="H134" s="20" t="n">
        <f aca="false">ABS(G134)</f>
        <v>3024.2719527086</v>
      </c>
    </row>
    <row r="135" customFormat="false" ht="15" hidden="false" customHeight="true" outlineLevel="0" collapsed="false">
      <c r="A135" s="3" t="str">
        <f aca="false">Model_Data!A134</f>
        <v>STR-1033</v>
      </c>
      <c r="B135" s="4" t="n">
        <f aca="false">Model_Data!B134</f>
        <v>45717</v>
      </c>
      <c r="C135" s="3" t="str">
        <f aca="false">Model_Data!C134</f>
        <v>East</v>
      </c>
      <c r="D135" s="3" t="str">
        <f aca="false">Model_Data!D134</f>
        <v>High Street</v>
      </c>
      <c r="E135" s="20" t="n">
        <f aca="false">Multiple_Regression!H135</f>
        <v>725235.28</v>
      </c>
      <c r="F135" s="20" t="n">
        <f aca="false">Multiple_Regression!$L$12+Multiple_Regression!$L$13*Multiple_Regression!A135+Multiple_Regression!$L$14*Multiple_Regression!B135+Multiple_Regression!$L$15*Multiple_Regression!C135+Multiple_Regression!$L$16*Multiple_Regression!D135+Multiple_Regression!$L$17*Multiple_Regression!E135+Multiple_Regression!$L$18*Multiple_Regression!F135+Multiple_Regression!$L$19*Multiple_Regression!G135</f>
        <v>792891.137731979</v>
      </c>
      <c r="G135" s="20" t="n">
        <f aca="false">E135-F135</f>
        <v>-67655.857731979</v>
      </c>
      <c r="H135" s="20" t="n">
        <f aca="false">ABS(G135)</f>
        <v>67655.857731979</v>
      </c>
    </row>
    <row r="136" customFormat="false" ht="15" hidden="false" customHeight="true" outlineLevel="0" collapsed="false">
      <c r="A136" s="3" t="str">
        <f aca="false">Model_Data!A135</f>
        <v>STR-1033</v>
      </c>
      <c r="B136" s="4" t="n">
        <f aca="false">Model_Data!B135</f>
        <v>45748</v>
      </c>
      <c r="C136" s="3" t="str">
        <f aca="false">Model_Data!C135</f>
        <v>East</v>
      </c>
      <c r="D136" s="3" t="str">
        <f aca="false">Model_Data!D135</f>
        <v>High Street</v>
      </c>
      <c r="E136" s="20" t="n">
        <f aca="false">Multiple_Regression!H136</f>
        <v>811452.72</v>
      </c>
      <c r="F136" s="20" t="n">
        <f aca="false">Multiple_Regression!$L$12+Multiple_Regression!$L$13*Multiple_Regression!A136+Multiple_Regression!$L$14*Multiple_Regression!B136+Multiple_Regression!$L$15*Multiple_Regression!C136+Multiple_Regression!$L$16*Multiple_Regression!D136+Multiple_Regression!$L$17*Multiple_Regression!E136+Multiple_Regression!$L$18*Multiple_Regression!F136+Multiple_Regression!$L$19*Multiple_Regression!G136</f>
        <v>829012.587845807</v>
      </c>
      <c r="G136" s="20" t="n">
        <f aca="false">E136-F136</f>
        <v>-17559.8678458066</v>
      </c>
      <c r="H136" s="20" t="n">
        <f aca="false">ABS(G136)</f>
        <v>17559.8678458066</v>
      </c>
    </row>
    <row r="137" customFormat="false" ht="15" hidden="false" customHeight="true" outlineLevel="0" collapsed="false">
      <c r="A137" s="3" t="str">
        <f aca="false">Model_Data!A136</f>
        <v>STR-1034</v>
      </c>
      <c r="B137" s="4" t="n">
        <f aca="false">Model_Data!B136</f>
        <v>45658</v>
      </c>
      <c r="C137" s="3" t="str">
        <f aca="false">Model_Data!C136</f>
        <v>North</v>
      </c>
      <c r="D137" s="3" t="str">
        <f aca="false">Model_Data!D136</f>
        <v>High Street</v>
      </c>
      <c r="E137" s="20" t="n">
        <f aca="false">Multiple_Regression!H137</f>
        <v>527300.13</v>
      </c>
      <c r="F137" s="20" t="n">
        <f aca="false">Multiple_Regression!$L$12+Multiple_Regression!$L$13*Multiple_Regression!A137+Multiple_Regression!$L$14*Multiple_Regression!B137+Multiple_Regression!$L$15*Multiple_Regression!C137+Multiple_Regression!$L$16*Multiple_Regression!D137+Multiple_Regression!$L$17*Multiple_Regression!E137+Multiple_Regression!$L$18*Multiple_Regression!F137+Multiple_Regression!$L$19*Multiple_Regression!G137</f>
        <v>580411.297857149</v>
      </c>
      <c r="G137" s="20" t="n">
        <f aca="false">E137-F137</f>
        <v>-53111.1678571494</v>
      </c>
      <c r="H137" s="20" t="n">
        <f aca="false">ABS(G137)</f>
        <v>53111.1678571494</v>
      </c>
    </row>
    <row r="138" customFormat="false" ht="15" hidden="false" customHeight="true" outlineLevel="0" collapsed="false">
      <c r="A138" s="3" t="str">
        <f aca="false">Model_Data!A137</f>
        <v>STR-1034</v>
      </c>
      <c r="B138" s="4" t="n">
        <f aca="false">Model_Data!B137</f>
        <v>45689</v>
      </c>
      <c r="C138" s="3" t="str">
        <f aca="false">Model_Data!C137</f>
        <v>North</v>
      </c>
      <c r="D138" s="3" t="str">
        <f aca="false">Model_Data!D137</f>
        <v>High Street</v>
      </c>
      <c r="E138" s="20" t="n">
        <f aca="false">Multiple_Regression!H138</f>
        <v>400831.65</v>
      </c>
      <c r="F138" s="20" t="n">
        <f aca="false">Multiple_Regression!$L$12+Multiple_Regression!$L$13*Multiple_Regression!A138+Multiple_Regression!$L$14*Multiple_Regression!B138+Multiple_Regression!$L$15*Multiple_Regression!C138+Multiple_Regression!$L$16*Multiple_Regression!D138+Multiple_Regression!$L$17*Multiple_Regression!E138+Multiple_Regression!$L$18*Multiple_Regression!F138+Multiple_Regression!$L$19*Multiple_Regression!G138</f>
        <v>455553.711570412</v>
      </c>
      <c r="G138" s="20" t="n">
        <f aca="false">E138-F138</f>
        <v>-54722.0615704116</v>
      </c>
      <c r="H138" s="20" t="n">
        <f aca="false">ABS(G138)</f>
        <v>54722.0615704116</v>
      </c>
    </row>
    <row r="139" customFormat="false" ht="15" hidden="false" customHeight="true" outlineLevel="0" collapsed="false">
      <c r="A139" s="3" t="str">
        <f aca="false">Model_Data!A138</f>
        <v>STR-1034</v>
      </c>
      <c r="B139" s="4" t="n">
        <f aca="false">Model_Data!B138</f>
        <v>45717</v>
      </c>
      <c r="C139" s="3" t="str">
        <f aca="false">Model_Data!C138</f>
        <v>North</v>
      </c>
      <c r="D139" s="3" t="str">
        <f aca="false">Model_Data!D138</f>
        <v>High Street</v>
      </c>
      <c r="E139" s="20" t="n">
        <f aca="false">Multiple_Regression!H139</f>
        <v>593247.25</v>
      </c>
      <c r="F139" s="20" t="n">
        <f aca="false">Multiple_Regression!$L$12+Multiple_Regression!$L$13*Multiple_Regression!A139+Multiple_Regression!$L$14*Multiple_Regression!B139+Multiple_Regression!$L$15*Multiple_Regression!C139+Multiple_Regression!$L$16*Multiple_Regression!D139+Multiple_Regression!$L$17*Multiple_Regression!E139+Multiple_Regression!$L$18*Multiple_Regression!F139+Multiple_Regression!$L$19*Multiple_Regression!G139</f>
        <v>601496.906746682</v>
      </c>
      <c r="G139" s="20" t="n">
        <f aca="false">E139-F139</f>
        <v>-8249.65674668225</v>
      </c>
      <c r="H139" s="20" t="n">
        <f aca="false">ABS(G139)</f>
        <v>8249.65674668225</v>
      </c>
    </row>
    <row r="140" customFormat="false" ht="15" hidden="false" customHeight="true" outlineLevel="0" collapsed="false">
      <c r="A140" s="3" t="str">
        <f aca="false">Model_Data!A139</f>
        <v>STR-1034</v>
      </c>
      <c r="B140" s="4" t="n">
        <f aca="false">Model_Data!B139</f>
        <v>45748</v>
      </c>
      <c r="C140" s="3" t="str">
        <f aca="false">Model_Data!C139</f>
        <v>North</v>
      </c>
      <c r="D140" s="3" t="str">
        <f aca="false">Model_Data!D139</f>
        <v>High Street</v>
      </c>
      <c r="E140" s="20" t="n">
        <f aca="false">Multiple_Regression!H140</f>
        <v>529075.95</v>
      </c>
      <c r="F140" s="20" t="n">
        <f aca="false">Multiple_Regression!$L$12+Multiple_Regression!$L$13*Multiple_Regression!A140+Multiple_Regression!$L$14*Multiple_Regression!B140+Multiple_Regression!$L$15*Multiple_Regression!C140+Multiple_Regression!$L$16*Multiple_Regression!D140+Multiple_Regression!$L$17*Multiple_Regression!E140+Multiple_Regression!$L$18*Multiple_Regression!F140+Multiple_Regression!$L$19*Multiple_Regression!G140</f>
        <v>543792.622999169</v>
      </c>
      <c r="G140" s="20" t="n">
        <f aca="false">E140-F140</f>
        <v>-14716.6729991694</v>
      </c>
      <c r="H140" s="20" t="n">
        <f aca="false">ABS(G140)</f>
        <v>14716.6729991694</v>
      </c>
    </row>
    <row r="141" customFormat="false" ht="15" hidden="false" customHeight="true" outlineLevel="0" collapsed="false">
      <c r="A141" s="3" t="str">
        <f aca="false">Model_Data!A140</f>
        <v>STR-1035</v>
      </c>
      <c r="B141" s="4" t="n">
        <f aca="false">Model_Data!B140</f>
        <v>45658</v>
      </c>
      <c r="C141" s="3" t="str">
        <f aca="false">Model_Data!C140</f>
        <v>South</v>
      </c>
      <c r="D141" s="3" t="str">
        <f aca="false">Model_Data!D140</f>
        <v>Residential</v>
      </c>
      <c r="E141" s="20" t="n">
        <f aca="false">Multiple_Regression!H141</f>
        <v>633638.03</v>
      </c>
      <c r="F141" s="20" t="n">
        <f aca="false">Multiple_Regression!$L$12+Multiple_Regression!$L$13*Multiple_Regression!A141+Multiple_Regression!$L$14*Multiple_Regression!B141+Multiple_Regression!$L$15*Multiple_Regression!C141+Multiple_Regression!$L$16*Multiple_Regression!D141+Multiple_Regression!$L$17*Multiple_Regression!E141+Multiple_Regression!$L$18*Multiple_Regression!F141+Multiple_Regression!$L$19*Multiple_Regression!G141</f>
        <v>700571.536910123</v>
      </c>
      <c r="G141" s="20" t="n">
        <f aca="false">E141-F141</f>
        <v>-66933.5069101228</v>
      </c>
      <c r="H141" s="20" t="n">
        <f aca="false">ABS(G141)</f>
        <v>66933.5069101228</v>
      </c>
    </row>
    <row r="142" customFormat="false" ht="15" hidden="false" customHeight="true" outlineLevel="0" collapsed="false">
      <c r="A142" s="3" t="str">
        <f aca="false">Model_Data!A141</f>
        <v>STR-1035</v>
      </c>
      <c r="B142" s="4" t="n">
        <f aca="false">Model_Data!B141</f>
        <v>45689</v>
      </c>
      <c r="C142" s="3" t="str">
        <f aca="false">Model_Data!C141</f>
        <v>South</v>
      </c>
      <c r="D142" s="3" t="str">
        <f aca="false">Model_Data!D141</f>
        <v>Residential</v>
      </c>
      <c r="E142" s="20" t="n">
        <f aca="false">Multiple_Regression!H142</f>
        <v>743348.84</v>
      </c>
      <c r="F142" s="20" t="n">
        <f aca="false">Multiple_Regression!$L$12+Multiple_Regression!$L$13*Multiple_Regression!A142+Multiple_Regression!$L$14*Multiple_Regression!B142+Multiple_Regression!$L$15*Multiple_Regression!C142+Multiple_Regression!$L$16*Multiple_Regression!D142+Multiple_Regression!$L$17*Multiple_Regression!E142+Multiple_Regression!$L$18*Multiple_Regression!F142+Multiple_Regression!$L$19*Multiple_Regression!G142</f>
        <v>702438.536320326</v>
      </c>
      <c r="G142" s="20" t="n">
        <f aca="false">E142-F142</f>
        <v>40910.3036796738</v>
      </c>
      <c r="H142" s="20" t="n">
        <f aca="false">ABS(G142)</f>
        <v>40910.3036796738</v>
      </c>
    </row>
    <row r="143" customFormat="false" ht="15" hidden="false" customHeight="true" outlineLevel="0" collapsed="false">
      <c r="A143" s="3" t="str">
        <f aca="false">Model_Data!A142</f>
        <v>STR-1035</v>
      </c>
      <c r="B143" s="4" t="n">
        <f aca="false">Model_Data!B142</f>
        <v>45717</v>
      </c>
      <c r="C143" s="3" t="str">
        <f aca="false">Model_Data!C142</f>
        <v>South</v>
      </c>
      <c r="D143" s="3" t="str">
        <f aca="false">Model_Data!D142</f>
        <v>Residential</v>
      </c>
      <c r="E143" s="20" t="n">
        <f aca="false">Multiple_Regression!H143</f>
        <v>758827.64</v>
      </c>
      <c r="F143" s="20" t="n">
        <f aca="false">Multiple_Regression!$L$12+Multiple_Regression!$L$13*Multiple_Regression!A143+Multiple_Regression!$L$14*Multiple_Regression!B143+Multiple_Regression!$L$15*Multiple_Regression!C143+Multiple_Regression!$L$16*Multiple_Regression!D143+Multiple_Regression!$L$17*Multiple_Regression!E143+Multiple_Regression!$L$18*Multiple_Regression!F143+Multiple_Regression!$L$19*Multiple_Regression!G143</f>
        <v>683716.486883874</v>
      </c>
      <c r="G143" s="20" t="n">
        <f aca="false">E143-F143</f>
        <v>75111.1531161263</v>
      </c>
      <c r="H143" s="20" t="n">
        <f aca="false">ABS(G143)</f>
        <v>75111.1531161263</v>
      </c>
    </row>
    <row r="144" customFormat="false" ht="15" hidden="false" customHeight="true" outlineLevel="0" collapsed="false">
      <c r="A144" s="3" t="str">
        <f aca="false">Model_Data!A143</f>
        <v>STR-1035</v>
      </c>
      <c r="B144" s="4" t="n">
        <f aca="false">Model_Data!B143</f>
        <v>45748</v>
      </c>
      <c r="C144" s="3" t="str">
        <f aca="false">Model_Data!C143</f>
        <v>South</v>
      </c>
      <c r="D144" s="3" t="str">
        <f aca="false">Model_Data!D143</f>
        <v>Residential</v>
      </c>
      <c r="E144" s="20" t="n">
        <f aca="false">Multiple_Regression!H144</f>
        <v>646559.71</v>
      </c>
      <c r="F144" s="20" t="n">
        <f aca="false">Multiple_Regression!$L$12+Multiple_Regression!$L$13*Multiple_Regression!A144+Multiple_Regression!$L$14*Multiple_Regression!B144+Multiple_Regression!$L$15*Multiple_Regression!C144+Multiple_Regression!$L$16*Multiple_Regression!D144+Multiple_Regression!$L$17*Multiple_Regression!E144+Multiple_Regression!$L$18*Multiple_Regression!F144+Multiple_Regression!$L$19*Multiple_Regression!G144</f>
        <v>614931.910378003</v>
      </c>
      <c r="G144" s="20" t="n">
        <f aca="false">E144-F144</f>
        <v>31627.7996219966</v>
      </c>
      <c r="H144" s="20" t="n">
        <f aca="false">ABS(G144)</f>
        <v>31627.7996219966</v>
      </c>
    </row>
    <row r="145" customFormat="false" ht="15" hidden="false" customHeight="true" outlineLevel="0" collapsed="false">
      <c r="A145" s="3" t="str">
        <f aca="false">Model_Data!A144</f>
        <v>STR-1036</v>
      </c>
      <c r="B145" s="4" t="n">
        <f aca="false">Model_Data!B144</f>
        <v>45658</v>
      </c>
      <c r="C145" s="3" t="str">
        <f aca="false">Model_Data!C144</f>
        <v>West</v>
      </c>
      <c r="D145" s="3" t="str">
        <f aca="false">Model_Data!D144</f>
        <v>High Street</v>
      </c>
      <c r="E145" s="20" t="n">
        <f aca="false">Multiple_Regression!H145</f>
        <v>715890.53</v>
      </c>
      <c r="F145" s="20" t="n">
        <f aca="false">Multiple_Regression!$L$12+Multiple_Regression!$L$13*Multiple_Regression!A145+Multiple_Regression!$L$14*Multiple_Regression!B145+Multiple_Regression!$L$15*Multiple_Regression!C145+Multiple_Regression!$L$16*Multiple_Regression!D145+Multiple_Regression!$L$17*Multiple_Regression!E145+Multiple_Regression!$L$18*Multiple_Regression!F145+Multiple_Regression!$L$19*Multiple_Regression!G145</f>
        <v>665935.150499937</v>
      </c>
      <c r="G145" s="20" t="n">
        <f aca="false">E145-F145</f>
        <v>49955.379500063</v>
      </c>
      <c r="H145" s="20" t="n">
        <f aca="false">ABS(G145)</f>
        <v>49955.379500063</v>
      </c>
    </row>
    <row r="146" customFormat="false" ht="15" hidden="false" customHeight="true" outlineLevel="0" collapsed="false">
      <c r="A146" s="3" t="str">
        <f aca="false">Model_Data!A145</f>
        <v>STR-1036</v>
      </c>
      <c r="B146" s="4" t="n">
        <f aca="false">Model_Data!B145</f>
        <v>45689</v>
      </c>
      <c r="C146" s="3" t="str">
        <f aca="false">Model_Data!C145</f>
        <v>West</v>
      </c>
      <c r="D146" s="3" t="str">
        <f aca="false">Model_Data!D145</f>
        <v>High Street</v>
      </c>
      <c r="E146" s="20" t="n">
        <f aca="false">Multiple_Regression!H146</f>
        <v>715097.57</v>
      </c>
      <c r="F146" s="20" t="n">
        <f aca="false">Multiple_Regression!$L$12+Multiple_Regression!$L$13*Multiple_Regression!A146+Multiple_Regression!$L$14*Multiple_Regression!B146+Multiple_Regression!$L$15*Multiple_Regression!C146+Multiple_Regression!$L$16*Multiple_Regression!D146+Multiple_Regression!$L$17*Multiple_Regression!E146+Multiple_Regression!$L$18*Multiple_Regression!F146+Multiple_Regression!$L$19*Multiple_Regression!G146</f>
        <v>696344.053877921</v>
      </c>
      <c r="G146" s="20" t="n">
        <f aca="false">E146-F146</f>
        <v>18753.5161220786</v>
      </c>
      <c r="H146" s="20" t="n">
        <f aca="false">ABS(G146)</f>
        <v>18753.5161220786</v>
      </c>
    </row>
    <row r="147" customFormat="false" ht="15" hidden="false" customHeight="true" outlineLevel="0" collapsed="false">
      <c r="A147" s="3" t="str">
        <f aca="false">Model_Data!A146</f>
        <v>STR-1036</v>
      </c>
      <c r="B147" s="4" t="n">
        <f aca="false">Model_Data!B146</f>
        <v>45717</v>
      </c>
      <c r="C147" s="3" t="str">
        <f aca="false">Model_Data!C146</f>
        <v>West</v>
      </c>
      <c r="D147" s="3" t="str">
        <f aca="false">Model_Data!D146</f>
        <v>High Street</v>
      </c>
      <c r="E147" s="20" t="n">
        <f aca="false">Multiple_Regression!H147</f>
        <v>682639.28</v>
      </c>
      <c r="F147" s="20" t="n">
        <f aca="false">Multiple_Regression!$L$12+Multiple_Regression!$L$13*Multiple_Regression!A147+Multiple_Regression!$L$14*Multiple_Regression!B147+Multiple_Regression!$L$15*Multiple_Regression!C147+Multiple_Regression!$L$16*Multiple_Regression!D147+Multiple_Regression!$L$17*Multiple_Regression!E147+Multiple_Regression!$L$18*Multiple_Regression!F147+Multiple_Regression!$L$19*Multiple_Regression!G147</f>
        <v>639811.512480287</v>
      </c>
      <c r="G147" s="20" t="n">
        <f aca="false">E147-F147</f>
        <v>42827.7675197128</v>
      </c>
      <c r="H147" s="20" t="n">
        <f aca="false">ABS(G147)</f>
        <v>42827.7675197128</v>
      </c>
    </row>
    <row r="148" customFormat="false" ht="15" hidden="false" customHeight="true" outlineLevel="0" collapsed="false">
      <c r="A148" s="3" t="str">
        <f aca="false">Model_Data!A147</f>
        <v>STR-1036</v>
      </c>
      <c r="B148" s="4" t="n">
        <f aca="false">Model_Data!B147</f>
        <v>45748</v>
      </c>
      <c r="C148" s="3" t="str">
        <f aca="false">Model_Data!C147</f>
        <v>West</v>
      </c>
      <c r="D148" s="3" t="str">
        <f aca="false">Model_Data!D147</f>
        <v>High Street</v>
      </c>
      <c r="E148" s="20" t="n">
        <f aca="false">Multiple_Regression!H148</f>
        <v>695098.51</v>
      </c>
      <c r="F148" s="20" t="n">
        <f aca="false">Multiple_Regression!$L$12+Multiple_Regression!$L$13*Multiple_Regression!A148+Multiple_Regression!$L$14*Multiple_Regression!B148+Multiple_Regression!$L$15*Multiple_Regression!C148+Multiple_Regression!$L$16*Multiple_Regression!D148+Multiple_Regression!$L$17*Multiple_Regression!E148+Multiple_Regression!$L$18*Multiple_Regression!F148+Multiple_Regression!$L$19*Multiple_Regression!G148</f>
        <v>671790.572503408</v>
      </c>
      <c r="G148" s="20" t="n">
        <f aca="false">E148-F148</f>
        <v>23307.9374965918</v>
      </c>
      <c r="H148" s="20" t="n">
        <f aca="false">ABS(G148)</f>
        <v>23307.9374965918</v>
      </c>
    </row>
    <row r="149" customFormat="false" ht="15" hidden="false" customHeight="true" outlineLevel="0" collapsed="false">
      <c r="A149" s="3" t="str">
        <f aca="false">Model_Data!A148</f>
        <v>STR-1037</v>
      </c>
      <c r="B149" s="4" t="n">
        <f aca="false">Model_Data!B148</f>
        <v>45658</v>
      </c>
      <c r="C149" s="3" t="str">
        <f aca="false">Model_Data!C148</f>
        <v>North</v>
      </c>
      <c r="D149" s="3" t="str">
        <f aca="false">Model_Data!D148</f>
        <v>Residential</v>
      </c>
      <c r="E149" s="20" t="n">
        <f aca="false">Multiple_Regression!H149</f>
        <v>577732.57</v>
      </c>
      <c r="F149" s="20" t="n">
        <f aca="false">Multiple_Regression!$L$12+Multiple_Regression!$L$13*Multiple_Regression!A149+Multiple_Regression!$L$14*Multiple_Regression!B149+Multiple_Regression!$L$15*Multiple_Regression!C149+Multiple_Regression!$L$16*Multiple_Regression!D149+Multiple_Regression!$L$17*Multiple_Regression!E149+Multiple_Regression!$L$18*Multiple_Regression!F149+Multiple_Regression!$L$19*Multiple_Regression!G149</f>
        <v>608402.448827949</v>
      </c>
      <c r="G149" s="20" t="n">
        <f aca="false">E149-F149</f>
        <v>-30669.8788279487</v>
      </c>
      <c r="H149" s="20" t="n">
        <f aca="false">ABS(G149)</f>
        <v>30669.8788279487</v>
      </c>
    </row>
    <row r="150" customFormat="false" ht="15" hidden="false" customHeight="true" outlineLevel="0" collapsed="false">
      <c r="A150" s="3" t="str">
        <f aca="false">Model_Data!A149</f>
        <v>STR-1037</v>
      </c>
      <c r="B150" s="4" t="n">
        <f aca="false">Model_Data!B149</f>
        <v>45689</v>
      </c>
      <c r="C150" s="3" t="str">
        <f aca="false">Model_Data!C149</f>
        <v>North</v>
      </c>
      <c r="D150" s="3" t="str">
        <f aca="false">Model_Data!D149</f>
        <v>Residential</v>
      </c>
      <c r="E150" s="20" t="n">
        <f aca="false">Multiple_Regression!H150</f>
        <v>537058.33</v>
      </c>
      <c r="F150" s="20" t="n">
        <f aca="false">Multiple_Regression!$L$12+Multiple_Regression!$L$13*Multiple_Regression!A150+Multiple_Regression!$L$14*Multiple_Regression!B150+Multiple_Regression!$L$15*Multiple_Regression!C150+Multiple_Regression!$L$16*Multiple_Regression!D150+Multiple_Regression!$L$17*Multiple_Regression!E150+Multiple_Regression!$L$18*Multiple_Regression!F150+Multiple_Regression!$L$19*Multiple_Regression!G150</f>
        <v>563459.187380298</v>
      </c>
      <c r="G150" s="20" t="n">
        <f aca="false">E150-F150</f>
        <v>-26400.8573802977</v>
      </c>
      <c r="H150" s="20" t="n">
        <f aca="false">ABS(G150)</f>
        <v>26400.8573802977</v>
      </c>
    </row>
    <row r="151" customFormat="false" ht="15" hidden="false" customHeight="true" outlineLevel="0" collapsed="false">
      <c r="A151" s="3" t="str">
        <f aca="false">Model_Data!A150</f>
        <v>STR-1037</v>
      </c>
      <c r="B151" s="4" t="n">
        <f aca="false">Model_Data!B150</f>
        <v>45717</v>
      </c>
      <c r="C151" s="3" t="str">
        <f aca="false">Model_Data!C150</f>
        <v>North</v>
      </c>
      <c r="D151" s="3" t="str">
        <f aca="false">Model_Data!D150</f>
        <v>Residential</v>
      </c>
      <c r="E151" s="20" t="n">
        <f aca="false">Multiple_Regression!H151</f>
        <v>601568.87</v>
      </c>
      <c r="F151" s="20" t="n">
        <f aca="false">Multiple_Regression!$L$12+Multiple_Regression!$L$13*Multiple_Regression!A151+Multiple_Regression!$L$14*Multiple_Regression!B151+Multiple_Regression!$L$15*Multiple_Regression!C151+Multiple_Regression!$L$16*Multiple_Regression!D151+Multiple_Regression!$L$17*Multiple_Regression!E151+Multiple_Regression!$L$18*Multiple_Regression!F151+Multiple_Regression!$L$19*Multiple_Regression!G151</f>
        <v>597915.921142384</v>
      </c>
      <c r="G151" s="20" t="n">
        <f aca="false">E151-F151</f>
        <v>3652.94885761652</v>
      </c>
      <c r="H151" s="20" t="n">
        <f aca="false">ABS(G151)</f>
        <v>3652.94885761652</v>
      </c>
    </row>
    <row r="152" customFormat="false" ht="15" hidden="false" customHeight="true" outlineLevel="0" collapsed="false">
      <c r="A152" s="3" t="str">
        <f aca="false">Model_Data!A151</f>
        <v>STR-1037</v>
      </c>
      <c r="B152" s="4" t="n">
        <f aca="false">Model_Data!B151</f>
        <v>45748</v>
      </c>
      <c r="C152" s="3" t="str">
        <f aca="false">Model_Data!C151</f>
        <v>North</v>
      </c>
      <c r="D152" s="3" t="str">
        <f aca="false">Model_Data!D151</f>
        <v>Residential</v>
      </c>
      <c r="E152" s="20" t="n">
        <f aca="false">Multiple_Regression!H152</f>
        <v>570964.84</v>
      </c>
      <c r="F152" s="20" t="n">
        <f aca="false">Multiple_Regression!$L$12+Multiple_Regression!$L$13*Multiple_Regression!A152+Multiple_Regression!$L$14*Multiple_Regression!B152+Multiple_Regression!$L$15*Multiple_Regression!C152+Multiple_Regression!$L$16*Multiple_Regression!D152+Multiple_Regression!$L$17*Multiple_Regression!E152+Multiple_Regression!$L$18*Multiple_Regression!F152+Multiple_Regression!$L$19*Multiple_Regression!G152</f>
        <v>565362.335812678</v>
      </c>
      <c r="G152" s="20" t="n">
        <f aca="false">E152-F152</f>
        <v>5602.50418732164</v>
      </c>
      <c r="H152" s="20" t="n">
        <f aca="false">ABS(G152)</f>
        <v>5602.50418732164</v>
      </c>
    </row>
    <row r="153" customFormat="false" ht="15" hidden="false" customHeight="true" outlineLevel="0" collapsed="false">
      <c r="A153" s="3" t="str">
        <f aca="false">Model_Data!A152</f>
        <v>STR-1038</v>
      </c>
      <c r="B153" s="4" t="n">
        <f aca="false">Model_Data!B152</f>
        <v>45658</v>
      </c>
      <c r="C153" s="3" t="str">
        <f aca="false">Model_Data!C152</f>
        <v>South</v>
      </c>
      <c r="D153" s="3" t="str">
        <f aca="false">Model_Data!D152</f>
        <v>Mall</v>
      </c>
      <c r="E153" s="20" t="n">
        <f aca="false">Multiple_Regression!H153</f>
        <v>614024.91</v>
      </c>
      <c r="F153" s="20" t="n">
        <f aca="false">Multiple_Regression!$L$12+Multiple_Regression!$L$13*Multiple_Regression!A153+Multiple_Regression!$L$14*Multiple_Regression!B153+Multiple_Regression!$L$15*Multiple_Regression!C153+Multiple_Regression!$L$16*Multiple_Regression!D153+Multiple_Regression!$L$17*Multiple_Regression!E153+Multiple_Regression!$L$18*Multiple_Regression!F153+Multiple_Regression!$L$19*Multiple_Regression!G153</f>
        <v>649491.87917365</v>
      </c>
      <c r="G153" s="20" t="n">
        <f aca="false">E153-F153</f>
        <v>-35466.9691736499</v>
      </c>
      <c r="H153" s="20" t="n">
        <f aca="false">ABS(G153)</f>
        <v>35466.9691736499</v>
      </c>
    </row>
    <row r="154" customFormat="false" ht="15" hidden="false" customHeight="true" outlineLevel="0" collapsed="false">
      <c r="A154" s="3" t="str">
        <f aca="false">Model_Data!A153</f>
        <v>STR-1038</v>
      </c>
      <c r="B154" s="4" t="n">
        <f aca="false">Model_Data!B153</f>
        <v>45689</v>
      </c>
      <c r="C154" s="3" t="str">
        <f aca="false">Model_Data!C153</f>
        <v>South</v>
      </c>
      <c r="D154" s="3" t="str">
        <f aca="false">Model_Data!D153</f>
        <v>Mall</v>
      </c>
      <c r="E154" s="20" t="n">
        <f aca="false">Multiple_Regression!H154</f>
        <v>712868.35</v>
      </c>
      <c r="F154" s="20" t="n">
        <f aca="false">Multiple_Regression!$L$12+Multiple_Regression!$L$13*Multiple_Regression!A154+Multiple_Regression!$L$14*Multiple_Regression!B154+Multiple_Regression!$L$15*Multiple_Regression!C154+Multiple_Regression!$L$16*Multiple_Regression!D154+Multiple_Regression!$L$17*Multiple_Regression!E154+Multiple_Regression!$L$18*Multiple_Regression!F154+Multiple_Regression!$L$19*Multiple_Regression!G154</f>
        <v>713897.571031159</v>
      </c>
      <c r="G154" s="20" t="n">
        <f aca="false">E154-F154</f>
        <v>-1029.2210311594</v>
      </c>
      <c r="H154" s="20" t="n">
        <f aca="false">ABS(G154)</f>
        <v>1029.2210311594</v>
      </c>
    </row>
    <row r="155" customFormat="false" ht="15" hidden="false" customHeight="true" outlineLevel="0" collapsed="false">
      <c r="A155" s="3" t="str">
        <f aca="false">Model_Data!A154</f>
        <v>STR-1038</v>
      </c>
      <c r="B155" s="4" t="n">
        <f aca="false">Model_Data!B154</f>
        <v>45717</v>
      </c>
      <c r="C155" s="3" t="str">
        <f aca="false">Model_Data!C154</f>
        <v>South</v>
      </c>
      <c r="D155" s="3" t="str">
        <f aca="false">Model_Data!D154</f>
        <v>Mall</v>
      </c>
      <c r="E155" s="20" t="n">
        <f aca="false">Multiple_Regression!H155</f>
        <v>696744.15</v>
      </c>
      <c r="F155" s="20" t="n">
        <f aca="false">Multiple_Regression!$L$12+Multiple_Regression!$L$13*Multiple_Regression!A155+Multiple_Regression!$L$14*Multiple_Regression!B155+Multiple_Regression!$L$15*Multiple_Regression!C155+Multiple_Regression!$L$16*Multiple_Regression!D155+Multiple_Regression!$L$17*Multiple_Regression!E155+Multiple_Regression!$L$18*Multiple_Regression!F155+Multiple_Regression!$L$19*Multiple_Regression!G155</f>
        <v>669293.269425534</v>
      </c>
      <c r="G155" s="20" t="n">
        <f aca="false">E155-F155</f>
        <v>27450.8805744657</v>
      </c>
      <c r="H155" s="20" t="n">
        <f aca="false">ABS(G155)</f>
        <v>27450.8805744657</v>
      </c>
    </row>
    <row r="156" customFormat="false" ht="15" hidden="false" customHeight="true" outlineLevel="0" collapsed="false">
      <c r="A156" s="3" t="str">
        <f aca="false">Model_Data!A155</f>
        <v>STR-1038</v>
      </c>
      <c r="B156" s="4" t="n">
        <f aca="false">Model_Data!B155</f>
        <v>45748</v>
      </c>
      <c r="C156" s="3" t="str">
        <f aca="false">Model_Data!C155</f>
        <v>South</v>
      </c>
      <c r="D156" s="3" t="str">
        <f aca="false">Model_Data!D155</f>
        <v>Mall</v>
      </c>
      <c r="E156" s="20" t="n">
        <f aca="false">Multiple_Regression!H156</f>
        <v>725847.99</v>
      </c>
      <c r="F156" s="20" t="n">
        <f aca="false">Multiple_Regression!$L$12+Multiple_Regression!$L$13*Multiple_Regression!A156+Multiple_Regression!$L$14*Multiple_Regression!B156+Multiple_Regression!$L$15*Multiple_Regression!C156+Multiple_Regression!$L$16*Multiple_Regression!D156+Multiple_Regression!$L$17*Multiple_Regression!E156+Multiple_Regression!$L$18*Multiple_Regression!F156+Multiple_Regression!$L$19*Multiple_Regression!G156</f>
        <v>702489.364287456</v>
      </c>
      <c r="G156" s="20" t="n">
        <f aca="false">E156-F156</f>
        <v>23358.6257125444</v>
      </c>
      <c r="H156" s="20" t="n">
        <f aca="false">ABS(G156)</f>
        <v>23358.6257125444</v>
      </c>
    </row>
    <row r="157" customFormat="false" ht="15" hidden="false" customHeight="true" outlineLevel="0" collapsed="false">
      <c r="A157" s="3" t="str">
        <f aca="false">Model_Data!A156</f>
        <v>STR-1039</v>
      </c>
      <c r="B157" s="4" t="n">
        <f aca="false">Model_Data!B156</f>
        <v>45658</v>
      </c>
      <c r="C157" s="3" t="str">
        <f aca="false">Model_Data!C156</f>
        <v>East</v>
      </c>
      <c r="D157" s="3" t="str">
        <f aca="false">Model_Data!D156</f>
        <v>High Street</v>
      </c>
      <c r="E157" s="20" t="n">
        <f aca="false">Multiple_Regression!H157</f>
        <v>785028.25</v>
      </c>
      <c r="F157" s="20" t="n">
        <f aca="false">Multiple_Regression!$L$12+Multiple_Regression!$L$13*Multiple_Regression!A157+Multiple_Regression!$L$14*Multiple_Regression!B157+Multiple_Regression!$L$15*Multiple_Regression!C157+Multiple_Regression!$L$16*Multiple_Regression!D157+Multiple_Regression!$L$17*Multiple_Regression!E157+Multiple_Regression!$L$18*Multiple_Regression!F157+Multiple_Regression!$L$19*Multiple_Regression!G157</f>
        <v>799264.117680865</v>
      </c>
      <c r="G157" s="20" t="n">
        <f aca="false">E157-F157</f>
        <v>-14235.8676808652</v>
      </c>
      <c r="H157" s="20" t="n">
        <f aca="false">ABS(G157)</f>
        <v>14235.8676808652</v>
      </c>
    </row>
    <row r="158" customFormat="false" ht="15" hidden="false" customHeight="true" outlineLevel="0" collapsed="false">
      <c r="A158" s="3" t="str">
        <f aca="false">Model_Data!A157</f>
        <v>STR-1039</v>
      </c>
      <c r="B158" s="4" t="n">
        <f aca="false">Model_Data!B157</f>
        <v>45689</v>
      </c>
      <c r="C158" s="3" t="str">
        <f aca="false">Model_Data!C157</f>
        <v>East</v>
      </c>
      <c r="D158" s="3" t="str">
        <f aca="false">Model_Data!D157</f>
        <v>High Street</v>
      </c>
      <c r="E158" s="20" t="n">
        <f aca="false">Multiple_Regression!H158</f>
        <v>698492.67</v>
      </c>
      <c r="F158" s="20" t="n">
        <f aca="false">Multiple_Regression!$L$12+Multiple_Regression!$L$13*Multiple_Regression!A158+Multiple_Regression!$L$14*Multiple_Regression!B158+Multiple_Regression!$L$15*Multiple_Regression!C158+Multiple_Regression!$L$16*Multiple_Regression!D158+Multiple_Regression!$L$17*Multiple_Regression!E158+Multiple_Regression!$L$18*Multiple_Regression!F158+Multiple_Regression!$L$19*Multiple_Regression!G158</f>
        <v>689986.462808791</v>
      </c>
      <c r="G158" s="20" t="n">
        <f aca="false">E158-F158</f>
        <v>8506.20719120861</v>
      </c>
      <c r="H158" s="20" t="n">
        <f aca="false">ABS(G158)</f>
        <v>8506.20719120861</v>
      </c>
    </row>
    <row r="159" customFormat="false" ht="15" hidden="false" customHeight="true" outlineLevel="0" collapsed="false">
      <c r="A159" s="3" t="str">
        <f aca="false">Model_Data!A158</f>
        <v>STR-1039</v>
      </c>
      <c r="B159" s="4" t="n">
        <f aca="false">Model_Data!B158</f>
        <v>45717</v>
      </c>
      <c r="C159" s="3" t="str">
        <f aca="false">Model_Data!C158</f>
        <v>East</v>
      </c>
      <c r="D159" s="3" t="str">
        <f aca="false">Model_Data!D158</f>
        <v>High Street</v>
      </c>
      <c r="E159" s="20" t="n">
        <f aca="false">Multiple_Regression!H159</f>
        <v>685830.24</v>
      </c>
      <c r="F159" s="20" t="n">
        <f aca="false">Multiple_Regression!$L$12+Multiple_Regression!$L$13*Multiple_Regression!A159+Multiple_Regression!$L$14*Multiple_Regression!B159+Multiple_Regression!$L$15*Multiple_Regression!C159+Multiple_Regression!$L$16*Multiple_Regression!D159+Multiple_Regression!$L$17*Multiple_Regression!E159+Multiple_Regression!$L$18*Multiple_Regression!F159+Multiple_Regression!$L$19*Multiple_Regression!G159</f>
        <v>730247.636083913</v>
      </c>
      <c r="G159" s="20" t="n">
        <f aca="false">E159-F159</f>
        <v>-44417.3960839132</v>
      </c>
      <c r="H159" s="20" t="n">
        <f aca="false">ABS(G159)</f>
        <v>44417.3960839132</v>
      </c>
    </row>
    <row r="160" customFormat="false" ht="15" hidden="false" customHeight="true" outlineLevel="0" collapsed="false">
      <c r="A160" s="3" t="str">
        <f aca="false">Model_Data!A159</f>
        <v>STR-1039</v>
      </c>
      <c r="B160" s="4" t="n">
        <f aca="false">Model_Data!B159</f>
        <v>45748</v>
      </c>
      <c r="C160" s="3" t="str">
        <f aca="false">Model_Data!C159</f>
        <v>East</v>
      </c>
      <c r="D160" s="3" t="str">
        <f aca="false">Model_Data!D159</f>
        <v>High Street</v>
      </c>
      <c r="E160" s="20" t="n">
        <f aca="false">Multiple_Regression!H160</f>
        <v>702318.94</v>
      </c>
      <c r="F160" s="20" t="n">
        <f aca="false">Multiple_Regression!$L$12+Multiple_Regression!$L$13*Multiple_Regression!A160+Multiple_Regression!$L$14*Multiple_Regression!B160+Multiple_Regression!$L$15*Multiple_Regression!C160+Multiple_Regression!$L$16*Multiple_Regression!D160+Multiple_Regression!$L$17*Multiple_Regression!E160+Multiple_Regression!$L$18*Multiple_Regression!F160+Multiple_Regression!$L$19*Multiple_Regression!G160</f>
        <v>705047.837112487</v>
      </c>
      <c r="G160" s="20" t="n">
        <f aca="false">E160-F160</f>
        <v>-2728.89711248688</v>
      </c>
      <c r="H160" s="20" t="n">
        <f aca="false">ABS(G160)</f>
        <v>2728.89711248688</v>
      </c>
    </row>
    <row r="161" customFormat="false" ht="15" hidden="false" customHeight="true" outlineLevel="0" collapsed="false">
      <c r="A161" s="3" t="str">
        <f aca="false">Model_Data!A160</f>
        <v>STR-1040</v>
      </c>
      <c r="B161" s="4" t="n">
        <f aca="false">Model_Data!B160</f>
        <v>45658</v>
      </c>
      <c r="C161" s="3" t="str">
        <f aca="false">Model_Data!C160</f>
        <v>North</v>
      </c>
      <c r="D161" s="3" t="str">
        <f aca="false">Model_Data!D160</f>
        <v>Mall</v>
      </c>
      <c r="E161" s="20" t="n">
        <f aca="false">Multiple_Regression!H161</f>
        <v>700078.32</v>
      </c>
      <c r="F161" s="20" t="n">
        <f aca="false">Multiple_Regression!$L$12+Multiple_Regression!$L$13*Multiple_Regression!A161+Multiple_Regression!$L$14*Multiple_Regression!B161+Multiple_Regression!$L$15*Multiple_Regression!C161+Multiple_Regression!$L$16*Multiple_Regression!D161+Multiple_Regression!$L$17*Multiple_Regression!E161+Multiple_Regression!$L$18*Multiple_Regression!F161+Multiple_Regression!$L$19*Multiple_Regression!G161</f>
        <v>718212.520333231</v>
      </c>
      <c r="G161" s="20" t="n">
        <f aca="false">E161-F161</f>
        <v>-18134.2003332314</v>
      </c>
      <c r="H161" s="20" t="n">
        <f aca="false">ABS(G161)</f>
        <v>18134.2003332314</v>
      </c>
    </row>
    <row r="162" customFormat="false" ht="15" hidden="false" customHeight="true" outlineLevel="0" collapsed="false">
      <c r="A162" s="3" t="str">
        <f aca="false">Model_Data!A161</f>
        <v>STR-1040</v>
      </c>
      <c r="B162" s="4" t="n">
        <f aca="false">Model_Data!B161</f>
        <v>45689</v>
      </c>
      <c r="C162" s="3" t="str">
        <f aca="false">Model_Data!C161</f>
        <v>North</v>
      </c>
      <c r="D162" s="3" t="str">
        <f aca="false">Model_Data!D161</f>
        <v>Mall</v>
      </c>
      <c r="E162" s="20" t="n">
        <f aca="false">Multiple_Regression!H162</f>
        <v>602002.32</v>
      </c>
      <c r="F162" s="20" t="n">
        <f aca="false">Multiple_Regression!$L$12+Multiple_Regression!$L$13*Multiple_Regression!A162+Multiple_Regression!$L$14*Multiple_Regression!B162+Multiple_Regression!$L$15*Multiple_Regression!C162+Multiple_Regression!$L$16*Multiple_Regression!D162+Multiple_Regression!$L$17*Multiple_Regression!E162+Multiple_Regression!$L$18*Multiple_Regression!F162+Multiple_Regression!$L$19*Multiple_Regression!G162</f>
        <v>647118.576151194</v>
      </c>
      <c r="G162" s="20" t="n">
        <f aca="false">E162-F162</f>
        <v>-45116.256151194</v>
      </c>
      <c r="H162" s="20" t="n">
        <f aca="false">ABS(G162)</f>
        <v>45116.256151194</v>
      </c>
    </row>
    <row r="163" customFormat="false" ht="15" hidden="false" customHeight="true" outlineLevel="0" collapsed="false">
      <c r="A163" s="3" t="str">
        <f aca="false">Model_Data!A162</f>
        <v>STR-1040</v>
      </c>
      <c r="B163" s="4" t="n">
        <f aca="false">Model_Data!B162</f>
        <v>45717</v>
      </c>
      <c r="C163" s="3" t="str">
        <f aca="false">Model_Data!C162</f>
        <v>North</v>
      </c>
      <c r="D163" s="3" t="str">
        <f aca="false">Model_Data!D162</f>
        <v>Mall</v>
      </c>
      <c r="E163" s="20" t="n">
        <f aca="false">Multiple_Regression!H163</f>
        <v>724216.07</v>
      </c>
      <c r="F163" s="20" t="n">
        <f aca="false">Multiple_Regression!$L$12+Multiple_Regression!$L$13*Multiple_Regression!A163+Multiple_Regression!$L$14*Multiple_Regression!B163+Multiple_Regression!$L$15*Multiple_Regression!C163+Multiple_Regression!$L$16*Multiple_Regression!D163+Multiple_Regression!$L$17*Multiple_Regression!E163+Multiple_Regression!$L$18*Multiple_Regression!F163+Multiple_Regression!$L$19*Multiple_Regression!G163</f>
        <v>664219.858801119</v>
      </c>
      <c r="G163" s="20" t="n">
        <f aca="false">E163-F163</f>
        <v>59996.2111988807</v>
      </c>
      <c r="H163" s="20" t="n">
        <f aca="false">ABS(G163)</f>
        <v>59996.2111988807</v>
      </c>
    </row>
    <row r="164" customFormat="false" ht="15" hidden="false" customHeight="true" outlineLevel="0" collapsed="false">
      <c r="A164" s="3" t="str">
        <f aca="false">Model_Data!A163</f>
        <v>STR-1040</v>
      </c>
      <c r="B164" s="4" t="n">
        <f aca="false">Model_Data!B163</f>
        <v>45748</v>
      </c>
      <c r="C164" s="3" t="str">
        <f aca="false">Model_Data!C163</f>
        <v>North</v>
      </c>
      <c r="D164" s="3" t="str">
        <f aca="false">Model_Data!D163</f>
        <v>Mall</v>
      </c>
      <c r="E164" s="20" t="n">
        <f aca="false">Multiple_Regression!H164</f>
        <v>620973.03</v>
      </c>
      <c r="F164" s="20" t="n">
        <f aca="false">Multiple_Regression!$L$12+Multiple_Regression!$L$13*Multiple_Regression!A164+Multiple_Regression!$L$14*Multiple_Regression!B164+Multiple_Regression!$L$15*Multiple_Regression!C164+Multiple_Regression!$L$16*Multiple_Regression!D164+Multiple_Regression!$L$17*Multiple_Regression!E164+Multiple_Regression!$L$18*Multiple_Regression!F164+Multiple_Regression!$L$19*Multiple_Regression!G164</f>
        <v>574699.905948919</v>
      </c>
      <c r="G164" s="20" t="n">
        <f aca="false">E164-F164</f>
        <v>46273.1240510807</v>
      </c>
      <c r="H164" s="20" t="n">
        <f aca="false">ABS(G164)</f>
        <v>46273.1240510807</v>
      </c>
    </row>
    <row r="165" customFormat="false" ht="15" hidden="false" customHeight="true" outlineLevel="0" collapsed="false">
      <c r="A165" s="3" t="str">
        <f aca="false">Model_Data!A164</f>
        <v>STR-1041</v>
      </c>
      <c r="B165" s="4" t="n">
        <f aca="false">Model_Data!B164</f>
        <v>45658</v>
      </c>
      <c r="C165" s="3" t="str">
        <f aca="false">Model_Data!C164</f>
        <v>South</v>
      </c>
      <c r="D165" s="3" t="str">
        <f aca="false">Model_Data!D164</f>
        <v>High Street</v>
      </c>
      <c r="E165" s="20" t="n">
        <f aca="false">Multiple_Regression!H165</f>
        <v>650480.06</v>
      </c>
      <c r="F165" s="20" t="n">
        <f aca="false">Multiple_Regression!$L$12+Multiple_Regression!$L$13*Multiple_Regression!A165+Multiple_Regression!$L$14*Multiple_Regression!B165+Multiple_Regression!$L$15*Multiple_Regression!C165+Multiple_Regression!$L$16*Multiple_Regression!D165+Multiple_Regression!$L$17*Multiple_Regression!E165+Multiple_Regression!$L$18*Multiple_Regression!F165+Multiple_Regression!$L$19*Multiple_Regression!G165</f>
        <v>696280.379458913</v>
      </c>
      <c r="G165" s="20" t="n">
        <f aca="false">E165-F165</f>
        <v>-45800.3194589125</v>
      </c>
      <c r="H165" s="20" t="n">
        <f aca="false">ABS(G165)</f>
        <v>45800.3194589125</v>
      </c>
    </row>
    <row r="166" customFormat="false" ht="15" hidden="false" customHeight="true" outlineLevel="0" collapsed="false">
      <c r="A166" s="3" t="str">
        <f aca="false">Model_Data!A165</f>
        <v>STR-1041</v>
      </c>
      <c r="B166" s="4" t="n">
        <f aca="false">Model_Data!B165</f>
        <v>45689</v>
      </c>
      <c r="C166" s="3" t="str">
        <f aca="false">Model_Data!C165</f>
        <v>South</v>
      </c>
      <c r="D166" s="3" t="str">
        <f aca="false">Model_Data!D165</f>
        <v>High Street</v>
      </c>
      <c r="E166" s="20" t="n">
        <f aca="false">Multiple_Regression!H166</f>
        <v>778298.88</v>
      </c>
      <c r="F166" s="20" t="n">
        <f aca="false">Multiple_Regression!$L$12+Multiple_Regression!$L$13*Multiple_Regression!A166+Multiple_Regression!$L$14*Multiple_Regression!B166+Multiple_Regression!$L$15*Multiple_Regression!C166+Multiple_Regression!$L$16*Multiple_Regression!D166+Multiple_Regression!$L$17*Multiple_Regression!E166+Multiple_Regression!$L$18*Multiple_Regression!F166+Multiple_Regression!$L$19*Multiple_Regression!G166</f>
        <v>699855.805760395</v>
      </c>
      <c r="G166" s="20" t="n">
        <f aca="false">E166-F166</f>
        <v>78443.074239605</v>
      </c>
      <c r="H166" s="20" t="n">
        <f aca="false">ABS(G166)</f>
        <v>78443.074239605</v>
      </c>
    </row>
    <row r="167" customFormat="false" ht="15" hidden="false" customHeight="true" outlineLevel="0" collapsed="false">
      <c r="A167" s="3" t="str">
        <f aca="false">Model_Data!A166</f>
        <v>STR-1041</v>
      </c>
      <c r="B167" s="4" t="n">
        <f aca="false">Model_Data!B166</f>
        <v>45717</v>
      </c>
      <c r="C167" s="3" t="str">
        <f aca="false">Model_Data!C166</f>
        <v>South</v>
      </c>
      <c r="D167" s="3" t="str">
        <f aca="false">Model_Data!D166</f>
        <v>High Street</v>
      </c>
      <c r="E167" s="20" t="n">
        <f aca="false">Multiple_Regression!H167</f>
        <v>677096.71</v>
      </c>
      <c r="F167" s="20" t="n">
        <f aca="false">Multiple_Regression!$L$12+Multiple_Regression!$L$13*Multiple_Regression!A167+Multiple_Regression!$L$14*Multiple_Regression!B167+Multiple_Regression!$L$15*Multiple_Regression!C167+Multiple_Regression!$L$16*Multiple_Regression!D167+Multiple_Regression!$L$17*Multiple_Regression!E167+Multiple_Regression!$L$18*Multiple_Regression!F167+Multiple_Regression!$L$19*Multiple_Regression!G167</f>
        <v>680623.339073093</v>
      </c>
      <c r="G167" s="20" t="n">
        <f aca="false">E167-F167</f>
        <v>-3526.6290730933</v>
      </c>
      <c r="H167" s="20" t="n">
        <f aca="false">ABS(G167)</f>
        <v>3526.6290730933</v>
      </c>
    </row>
    <row r="168" customFormat="false" ht="15" hidden="false" customHeight="true" outlineLevel="0" collapsed="false">
      <c r="A168" s="3" t="str">
        <f aca="false">Model_Data!A167</f>
        <v>STR-1041</v>
      </c>
      <c r="B168" s="4" t="n">
        <f aca="false">Model_Data!B167</f>
        <v>45748</v>
      </c>
      <c r="C168" s="3" t="str">
        <f aca="false">Model_Data!C167</f>
        <v>South</v>
      </c>
      <c r="D168" s="3" t="str">
        <f aca="false">Model_Data!D167</f>
        <v>High Street</v>
      </c>
      <c r="E168" s="20" t="n">
        <f aca="false">Multiple_Regression!H168</f>
        <v>692008.64</v>
      </c>
      <c r="F168" s="20" t="n">
        <f aca="false">Multiple_Regression!$L$12+Multiple_Regression!$L$13*Multiple_Regression!A168+Multiple_Regression!$L$14*Multiple_Regression!B168+Multiple_Regression!$L$15*Multiple_Regression!C168+Multiple_Regression!$L$16*Multiple_Regression!D168+Multiple_Regression!$L$17*Multiple_Regression!E168+Multiple_Regression!$L$18*Multiple_Regression!F168+Multiple_Regression!$L$19*Multiple_Regression!G168</f>
        <v>695781.950893184</v>
      </c>
      <c r="G168" s="20" t="n">
        <f aca="false">E168-F168</f>
        <v>-3773.31089318416</v>
      </c>
      <c r="H168" s="20" t="n">
        <f aca="false">ABS(G168)</f>
        <v>3773.31089318416</v>
      </c>
    </row>
    <row r="169" customFormat="false" ht="15" hidden="false" customHeight="true" outlineLevel="0" collapsed="false">
      <c r="A169" s="3" t="str">
        <f aca="false">Model_Data!A168</f>
        <v>STR-1042</v>
      </c>
      <c r="B169" s="4" t="n">
        <f aca="false">Model_Data!B168</f>
        <v>45658</v>
      </c>
      <c r="C169" s="3" t="str">
        <f aca="false">Model_Data!C168</f>
        <v>North</v>
      </c>
      <c r="D169" s="3" t="str">
        <f aca="false">Model_Data!D168</f>
        <v>Mall</v>
      </c>
      <c r="E169" s="20" t="n">
        <f aca="false">Multiple_Regression!H169</f>
        <v>825797.91</v>
      </c>
      <c r="F169" s="20" t="n">
        <f aca="false">Multiple_Regression!$L$12+Multiple_Regression!$L$13*Multiple_Regression!A169+Multiple_Regression!$L$14*Multiple_Regression!B169+Multiple_Regression!$L$15*Multiple_Regression!C169+Multiple_Regression!$L$16*Multiple_Regression!D169+Multiple_Regression!$L$17*Multiple_Regression!E169+Multiple_Regression!$L$18*Multiple_Regression!F169+Multiple_Regression!$L$19*Multiple_Regression!G169</f>
        <v>785839.848567905</v>
      </c>
      <c r="G169" s="20" t="n">
        <f aca="false">E169-F169</f>
        <v>39958.061432095</v>
      </c>
      <c r="H169" s="20" t="n">
        <f aca="false">ABS(G169)</f>
        <v>39958.061432095</v>
      </c>
    </row>
    <row r="170" customFormat="false" ht="15" hidden="false" customHeight="true" outlineLevel="0" collapsed="false">
      <c r="A170" s="3" t="str">
        <f aca="false">Model_Data!A169</f>
        <v>STR-1042</v>
      </c>
      <c r="B170" s="4" t="n">
        <f aca="false">Model_Data!B169</f>
        <v>45689</v>
      </c>
      <c r="C170" s="3" t="str">
        <f aca="false">Model_Data!C169</f>
        <v>North</v>
      </c>
      <c r="D170" s="3" t="str">
        <f aca="false">Model_Data!D169</f>
        <v>Mall</v>
      </c>
      <c r="E170" s="20" t="n">
        <f aca="false">Multiple_Regression!H170</f>
        <v>706285.52</v>
      </c>
      <c r="F170" s="20" t="n">
        <f aca="false">Multiple_Regression!$L$12+Multiple_Regression!$L$13*Multiple_Regression!A170+Multiple_Regression!$L$14*Multiple_Regression!B170+Multiple_Regression!$L$15*Multiple_Regression!C170+Multiple_Regression!$L$16*Multiple_Regression!D170+Multiple_Regression!$L$17*Multiple_Regression!E170+Multiple_Regression!$L$18*Multiple_Regression!F170+Multiple_Regression!$L$19*Multiple_Regression!G170</f>
        <v>736525.003760543</v>
      </c>
      <c r="G170" s="20" t="n">
        <f aca="false">E170-F170</f>
        <v>-30239.4837605431</v>
      </c>
      <c r="H170" s="20" t="n">
        <f aca="false">ABS(G170)</f>
        <v>30239.4837605431</v>
      </c>
    </row>
    <row r="171" customFormat="false" ht="15" hidden="false" customHeight="true" outlineLevel="0" collapsed="false">
      <c r="A171" s="3" t="str">
        <f aca="false">Model_Data!A170</f>
        <v>STR-1042</v>
      </c>
      <c r="B171" s="4" t="n">
        <f aca="false">Model_Data!B170</f>
        <v>45717</v>
      </c>
      <c r="C171" s="3" t="str">
        <f aca="false">Model_Data!C170</f>
        <v>North</v>
      </c>
      <c r="D171" s="3" t="str">
        <f aca="false">Model_Data!D170</f>
        <v>Mall</v>
      </c>
      <c r="E171" s="20" t="n">
        <f aca="false">Multiple_Regression!H171</f>
        <v>665534.7</v>
      </c>
      <c r="F171" s="20" t="n">
        <f aca="false">Multiple_Regression!$L$12+Multiple_Regression!$L$13*Multiple_Regression!A171+Multiple_Regression!$L$14*Multiple_Regression!B171+Multiple_Regression!$L$15*Multiple_Regression!C171+Multiple_Regression!$L$16*Multiple_Regression!D171+Multiple_Regression!$L$17*Multiple_Regression!E171+Multiple_Regression!$L$18*Multiple_Regression!F171+Multiple_Regression!$L$19*Multiple_Regression!G171</f>
        <v>682966.120143891</v>
      </c>
      <c r="G171" s="20" t="n">
        <f aca="false">E171-F171</f>
        <v>-17431.4201438912</v>
      </c>
      <c r="H171" s="20" t="n">
        <f aca="false">ABS(G171)</f>
        <v>17431.4201438912</v>
      </c>
    </row>
    <row r="172" customFormat="false" ht="15" hidden="false" customHeight="true" outlineLevel="0" collapsed="false">
      <c r="A172" s="3" t="str">
        <f aca="false">Model_Data!A171</f>
        <v>STR-1042</v>
      </c>
      <c r="B172" s="4" t="n">
        <f aca="false">Model_Data!B171</f>
        <v>45748</v>
      </c>
      <c r="C172" s="3" t="str">
        <f aca="false">Model_Data!C171</f>
        <v>North</v>
      </c>
      <c r="D172" s="3" t="str">
        <f aca="false">Model_Data!D171</f>
        <v>Mall</v>
      </c>
      <c r="E172" s="20" t="n">
        <f aca="false">Multiple_Regression!H172</f>
        <v>820729.29</v>
      </c>
      <c r="F172" s="20" t="n">
        <f aca="false">Multiple_Regression!$L$12+Multiple_Regression!$L$13*Multiple_Regression!A172+Multiple_Regression!$L$14*Multiple_Regression!B172+Multiple_Regression!$L$15*Multiple_Regression!C172+Multiple_Regression!$L$16*Multiple_Regression!D172+Multiple_Regression!$L$17*Multiple_Regression!E172+Multiple_Regression!$L$18*Multiple_Regression!F172+Multiple_Regression!$L$19*Multiple_Regression!G172</f>
        <v>817833.833984566</v>
      </c>
      <c r="G172" s="20" t="n">
        <f aca="false">E172-F172</f>
        <v>2895.45601543435</v>
      </c>
      <c r="H172" s="20" t="n">
        <f aca="false">ABS(G172)</f>
        <v>2895.45601543435</v>
      </c>
    </row>
    <row r="173" customFormat="false" ht="15" hidden="false" customHeight="true" outlineLevel="0" collapsed="false">
      <c r="A173" s="3" t="str">
        <f aca="false">Model_Data!A172</f>
        <v>STR-1043</v>
      </c>
      <c r="B173" s="4" t="n">
        <f aca="false">Model_Data!B172</f>
        <v>45658</v>
      </c>
      <c r="C173" s="3" t="str">
        <f aca="false">Model_Data!C172</f>
        <v>East</v>
      </c>
      <c r="D173" s="3" t="str">
        <f aca="false">Model_Data!D172</f>
        <v>Residential</v>
      </c>
      <c r="E173" s="20" t="n">
        <f aca="false">Multiple_Regression!H173</f>
        <v>739831.73</v>
      </c>
      <c r="F173" s="20" t="n">
        <f aca="false">Multiple_Regression!$L$12+Multiple_Regression!$L$13*Multiple_Regression!A173+Multiple_Regression!$L$14*Multiple_Regression!B173+Multiple_Regression!$L$15*Multiple_Regression!C173+Multiple_Regression!$L$16*Multiple_Regression!D173+Multiple_Regression!$L$17*Multiple_Regression!E173+Multiple_Regression!$L$18*Multiple_Regression!F173+Multiple_Regression!$L$19*Multiple_Regression!G173</f>
        <v>761628.383548145</v>
      </c>
      <c r="G173" s="20" t="n">
        <f aca="false">E173-F173</f>
        <v>-21796.6535481454</v>
      </c>
      <c r="H173" s="20" t="n">
        <f aca="false">ABS(G173)</f>
        <v>21796.6535481454</v>
      </c>
    </row>
    <row r="174" customFormat="false" ht="15" hidden="false" customHeight="true" outlineLevel="0" collapsed="false">
      <c r="A174" s="3" t="str">
        <f aca="false">Model_Data!A173</f>
        <v>STR-1043</v>
      </c>
      <c r="B174" s="4" t="n">
        <f aca="false">Model_Data!B173</f>
        <v>45689</v>
      </c>
      <c r="C174" s="3" t="str">
        <f aca="false">Model_Data!C173</f>
        <v>East</v>
      </c>
      <c r="D174" s="3" t="str">
        <f aca="false">Model_Data!D173</f>
        <v>Residential</v>
      </c>
      <c r="E174" s="20" t="n">
        <f aca="false">Multiple_Regression!H174</f>
        <v>593637.14</v>
      </c>
      <c r="F174" s="20" t="n">
        <f aca="false">Multiple_Regression!$L$12+Multiple_Regression!$L$13*Multiple_Regression!A174+Multiple_Regression!$L$14*Multiple_Regression!B174+Multiple_Regression!$L$15*Multiple_Regression!C174+Multiple_Regression!$L$16*Multiple_Regression!D174+Multiple_Regression!$L$17*Multiple_Regression!E174+Multiple_Regression!$L$18*Multiple_Regression!F174+Multiple_Regression!$L$19*Multiple_Regression!G174</f>
        <v>660215.084748898</v>
      </c>
      <c r="G174" s="20" t="n">
        <f aca="false">E174-F174</f>
        <v>-66577.9447488976</v>
      </c>
      <c r="H174" s="20" t="n">
        <f aca="false">ABS(G174)</f>
        <v>66577.9447488976</v>
      </c>
    </row>
    <row r="175" customFormat="false" ht="15" hidden="false" customHeight="true" outlineLevel="0" collapsed="false">
      <c r="A175" s="3" t="str">
        <f aca="false">Model_Data!A174</f>
        <v>STR-1043</v>
      </c>
      <c r="B175" s="4" t="n">
        <f aca="false">Model_Data!B174</f>
        <v>45717</v>
      </c>
      <c r="C175" s="3" t="str">
        <f aca="false">Model_Data!C174</f>
        <v>East</v>
      </c>
      <c r="D175" s="3" t="str">
        <f aca="false">Model_Data!D174</f>
        <v>Residential</v>
      </c>
      <c r="E175" s="20" t="n">
        <f aca="false">Multiple_Regression!H175</f>
        <v>769702.76</v>
      </c>
      <c r="F175" s="20" t="n">
        <f aca="false">Multiple_Regression!$L$12+Multiple_Regression!$L$13*Multiple_Regression!A175+Multiple_Regression!$L$14*Multiple_Regression!B175+Multiple_Regression!$L$15*Multiple_Regression!C175+Multiple_Regression!$L$16*Multiple_Regression!D175+Multiple_Regression!$L$17*Multiple_Regression!E175+Multiple_Regression!$L$18*Multiple_Regression!F175+Multiple_Regression!$L$19*Multiple_Regression!G175</f>
        <v>725787.540610408</v>
      </c>
      <c r="G175" s="20" t="n">
        <f aca="false">E175-F175</f>
        <v>43915.2193895922</v>
      </c>
      <c r="H175" s="20" t="n">
        <f aca="false">ABS(G175)</f>
        <v>43915.2193895922</v>
      </c>
    </row>
    <row r="176" customFormat="false" ht="15" hidden="false" customHeight="true" outlineLevel="0" collapsed="false">
      <c r="A176" s="3" t="str">
        <f aca="false">Model_Data!A175</f>
        <v>STR-1043</v>
      </c>
      <c r="B176" s="4" t="n">
        <f aca="false">Model_Data!B175</f>
        <v>45748</v>
      </c>
      <c r="C176" s="3" t="str">
        <f aca="false">Model_Data!C175</f>
        <v>East</v>
      </c>
      <c r="D176" s="3" t="str">
        <f aca="false">Model_Data!D175</f>
        <v>Residential</v>
      </c>
      <c r="E176" s="20" t="n">
        <f aca="false">Multiple_Regression!H176</f>
        <v>679731.57</v>
      </c>
      <c r="F176" s="20" t="n">
        <f aca="false">Multiple_Regression!$L$12+Multiple_Regression!$L$13*Multiple_Regression!A176+Multiple_Regression!$L$14*Multiple_Regression!B176+Multiple_Regression!$L$15*Multiple_Regression!C176+Multiple_Regression!$L$16*Multiple_Regression!D176+Multiple_Regression!$L$17*Multiple_Regression!E176+Multiple_Regression!$L$18*Multiple_Regression!F176+Multiple_Regression!$L$19*Multiple_Regression!G176</f>
        <v>683796.797726174</v>
      </c>
      <c r="G176" s="20" t="n">
        <f aca="false">E176-F176</f>
        <v>-4065.22772617359</v>
      </c>
      <c r="H176" s="20" t="n">
        <f aca="false">ABS(G176)</f>
        <v>4065.22772617359</v>
      </c>
    </row>
    <row r="177" customFormat="false" ht="15" hidden="false" customHeight="true" outlineLevel="0" collapsed="false">
      <c r="A177" s="3" t="str">
        <f aca="false">Model_Data!A176</f>
        <v>STR-1044</v>
      </c>
      <c r="B177" s="4" t="n">
        <f aca="false">Model_Data!B176</f>
        <v>45658</v>
      </c>
      <c r="C177" s="3" t="str">
        <f aca="false">Model_Data!C176</f>
        <v>East</v>
      </c>
      <c r="D177" s="3" t="str">
        <f aca="false">Model_Data!D176</f>
        <v>Residential</v>
      </c>
      <c r="E177" s="20" t="n">
        <f aca="false">Multiple_Regression!H177</f>
        <v>780344.18</v>
      </c>
      <c r="F177" s="20" t="n">
        <f aca="false">Multiple_Regression!$L$12+Multiple_Regression!$L$13*Multiple_Regression!A177+Multiple_Regression!$L$14*Multiple_Regression!B177+Multiple_Regression!$L$15*Multiple_Regression!C177+Multiple_Regression!$L$16*Multiple_Regression!D177+Multiple_Regression!$L$17*Multiple_Regression!E177+Multiple_Regression!$L$18*Multiple_Regression!F177+Multiple_Regression!$L$19*Multiple_Regression!G177</f>
        <v>764694.854393114</v>
      </c>
      <c r="G177" s="20" t="n">
        <f aca="false">E177-F177</f>
        <v>15649.3256068861</v>
      </c>
      <c r="H177" s="20" t="n">
        <f aca="false">ABS(G177)</f>
        <v>15649.3256068861</v>
      </c>
    </row>
    <row r="178" customFormat="false" ht="15" hidden="false" customHeight="true" outlineLevel="0" collapsed="false">
      <c r="A178" s="3" t="str">
        <f aca="false">Model_Data!A177</f>
        <v>STR-1044</v>
      </c>
      <c r="B178" s="4" t="n">
        <f aca="false">Model_Data!B177</f>
        <v>45689</v>
      </c>
      <c r="C178" s="3" t="str">
        <f aca="false">Model_Data!C177</f>
        <v>East</v>
      </c>
      <c r="D178" s="3" t="str">
        <f aca="false">Model_Data!D177</f>
        <v>Residential</v>
      </c>
      <c r="E178" s="20" t="n">
        <f aca="false">Multiple_Regression!H178</f>
        <v>721364.11</v>
      </c>
      <c r="F178" s="20" t="n">
        <f aca="false">Multiple_Regression!$L$12+Multiple_Regression!$L$13*Multiple_Regression!A178+Multiple_Regression!$L$14*Multiple_Regression!B178+Multiple_Regression!$L$15*Multiple_Regression!C178+Multiple_Regression!$L$16*Multiple_Regression!D178+Multiple_Regression!$L$17*Multiple_Regression!E178+Multiple_Regression!$L$18*Multiple_Regression!F178+Multiple_Regression!$L$19*Multiple_Regression!G178</f>
        <v>751029.489593892</v>
      </c>
      <c r="G178" s="20" t="n">
        <f aca="false">E178-F178</f>
        <v>-29665.3795938921</v>
      </c>
      <c r="H178" s="20" t="n">
        <f aca="false">ABS(G178)</f>
        <v>29665.3795938921</v>
      </c>
    </row>
    <row r="179" customFormat="false" ht="15" hidden="false" customHeight="true" outlineLevel="0" collapsed="false">
      <c r="A179" s="3" t="str">
        <f aca="false">Model_Data!A178</f>
        <v>STR-1044</v>
      </c>
      <c r="B179" s="4" t="n">
        <f aca="false">Model_Data!B178</f>
        <v>45717</v>
      </c>
      <c r="C179" s="3" t="str">
        <f aca="false">Model_Data!C178</f>
        <v>East</v>
      </c>
      <c r="D179" s="3" t="str">
        <f aca="false">Model_Data!D178</f>
        <v>Residential</v>
      </c>
      <c r="E179" s="20" t="n">
        <f aca="false">Multiple_Regression!H179</f>
        <v>758138.29</v>
      </c>
      <c r="F179" s="20" t="n">
        <f aca="false">Multiple_Regression!$L$12+Multiple_Regression!$L$13*Multiple_Regression!A179+Multiple_Regression!$L$14*Multiple_Regression!B179+Multiple_Regression!$L$15*Multiple_Regression!C179+Multiple_Regression!$L$16*Multiple_Regression!D179+Multiple_Regression!$L$17*Multiple_Regression!E179+Multiple_Regression!$L$18*Multiple_Regression!F179+Multiple_Regression!$L$19*Multiple_Regression!G179</f>
        <v>774859.775500225</v>
      </c>
      <c r="G179" s="20" t="n">
        <f aca="false">E179-F179</f>
        <v>-16721.4855002248</v>
      </c>
      <c r="H179" s="20" t="n">
        <f aca="false">ABS(G179)</f>
        <v>16721.4855002248</v>
      </c>
    </row>
    <row r="180" customFormat="false" ht="15" hidden="false" customHeight="true" outlineLevel="0" collapsed="false">
      <c r="A180" s="3" t="str">
        <f aca="false">Model_Data!A179</f>
        <v>STR-1044</v>
      </c>
      <c r="B180" s="4" t="n">
        <f aca="false">Model_Data!B179</f>
        <v>45748</v>
      </c>
      <c r="C180" s="3" t="str">
        <f aca="false">Model_Data!C179</f>
        <v>East</v>
      </c>
      <c r="D180" s="3" t="str">
        <f aca="false">Model_Data!D179</f>
        <v>Residential</v>
      </c>
      <c r="E180" s="20" t="n">
        <f aca="false">Multiple_Regression!H180</f>
        <v>804264</v>
      </c>
      <c r="F180" s="20" t="n">
        <f aca="false">Multiple_Regression!$L$12+Multiple_Regression!$L$13*Multiple_Regression!A180+Multiple_Regression!$L$14*Multiple_Regression!B180+Multiple_Regression!$L$15*Multiple_Regression!C180+Multiple_Regression!$L$16*Multiple_Regression!D180+Multiple_Regression!$L$17*Multiple_Regression!E180+Multiple_Regression!$L$18*Multiple_Regression!F180+Multiple_Regression!$L$19*Multiple_Regression!G180</f>
        <v>816436.074932044</v>
      </c>
      <c r="G180" s="20" t="n">
        <f aca="false">E180-F180</f>
        <v>-12172.0749320441</v>
      </c>
      <c r="H180" s="20" t="n">
        <f aca="false">ABS(G180)</f>
        <v>12172.0749320441</v>
      </c>
    </row>
    <row r="181" customFormat="false" ht="15" hidden="false" customHeight="true" outlineLevel="0" collapsed="false">
      <c r="A181" s="3" t="str">
        <f aca="false">Model_Data!A180</f>
        <v>STR-1045</v>
      </c>
      <c r="B181" s="4" t="n">
        <f aca="false">Model_Data!B180</f>
        <v>45658</v>
      </c>
      <c r="C181" s="3" t="str">
        <f aca="false">Model_Data!C180</f>
        <v>West</v>
      </c>
      <c r="D181" s="3" t="str">
        <f aca="false">Model_Data!D180</f>
        <v>Airport</v>
      </c>
      <c r="E181" s="20" t="n">
        <f aca="false">Multiple_Regression!H181</f>
        <v>887537.75</v>
      </c>
      <c r="F181" s="20" t="n">
        <f aca="false">Multiple_Regression!$L$12+Multiple_Regression!$L$13*Multiple_Regression!A181+Multiple_Regression!$L$14*Multiple_Regression!B181+Multiple_Regression!$L$15*Multiple_Regression!C181+Multiple_Regression!$L$16*Multiple_Regression!D181+Multiple_Regression!$L$17*Multiple_Regression!E181+Multiple_Regression!$L$18*Multiple_Regression!F181+Multiple_Regression!$L$19*Multiple_Regression!G181</f>
        <v>880790.190434108</v>
      </c>
      <c r="G181" s="20" t="n">
        <f aca="false">E181-F181</f>
        <v>6747.55956589221</v>
      </c>
      <c r="H181" s="20" t="n">
        <f aca="false">ABS(G181)</f>
        <v>6747.55956589221</v>
      </c>
    </row>
    <row r="182" customFormat="false" ht="15" hidden="false" customHeight="true" outlineLevel="0" collapsed="false">
      <c r="A182" s="3" t="str">
        <f aca="false">Model_Data!A181</f>
        <v>STR-1045</v>
      </c>
      <c r="B182" s="4" t="n">
        <f aca="false">Model_Data!B181</f>
        <v>45689</v>
      </c>
      <c r="C182" s="3" t="str">
        <f aca="false">Model_Data!C181</f>
        <v>West</v>
      </c>
      <c r="D182" s="3" t="str">
        <f aca="false">Model_Data!D181</f>
        <v>Airport</v>
      </c>
      <c r="E182" s="20" t="n">
        <f aca="false">Multiple_Regression!H182</f>
        <v>783582</v>
      </c>
      <c r="F182" s="20" t="n">
        <f aca="false">Multiple_Regression!$L$12+Multiple_Regression!$L$13*Multiple_Regression!A182+Multiple_Regression!$L$14*Multiple_Regression!B182+Multiple_Regression!$L$15*Multiple_Regression!C182+Multiple_Regression!$L$16*Multiple_Regression!D182+Multiple_Regression!$L$17*Multiple_Regression!E182+Multiple_Regression!$L$18*Multiple_Regression!F182+Multiple_Regression!$L$19*Multiple_Regression!G182</f>
        <v>722242.522572055</v>
      </c>
      <c r="G182" s="20" t="n">
        <f aca="false">E182-F182</f>
        <v>61339.4774279455</v>
      </c>
      <c r="H182" s="20" t="n">
        <f aca="false">ABS(G182)</f>
        <v>61339.4774279455</v>
      </c>
    </row>
    <row r="183" customFormat="false" ht="15" hidden="false" customHeight="true" outlineLevel="0" collapsed="false">
      <c r="A183" s="3" t="str">
        <f aca="false">Model_Data!A182</f>
        <v>STR-1045</v>
      </c>
      <c r="B183" s="4" t="n">
        <f aca="false">Model_Data!B182</f>
        <v>45717</v>
      </c>
      <c r="C183" s="3" t="str">
        <f aca="false">Model_Data!C182</f>
        <v>West</v>
      </c>
      <c r="D183" s="3" t="str">
        <f aca="false">Model_Data!D182</f>
        <v>Airport</v>
      </c>
      <c r="E183" s="20" t="n">
        <f aca="false">Multiple_Regression!H183</f>
        <v>781955.52</v>
      </c>
      <c r="F183" s="20" t="n">
        <f aca="false">Multiple_Regression!$L$12+Multiple_Regression!$L$13*Multiple_Regression!A183+Multiple_Regression!$L$14*Multiple_Regression!B183+Multiple_Regression!$L$15*Multiple_Regression!C183+Multiple_Regression!$L$16*Multiple_Regression!D183+Multiple_Regression!$L$17*Multiple_Regression!E183+Multiple_Regression!$L$18*Multiple_Regression!F183+Multiple_Regression!$L$19*Multiple_Regression!G183</f>
        <v>762153.789683718</v>
      </c>
      <c r="G183" s="20" t="n">
        <f aca="false">E183-F183</f>
        <v>19801.7303162817</v>
      </c>
      <c r="H183" s="20" t="n">
        <f aca="false">ABS(G183)</f>
        <v>19801.7303162817</v>
      </c>
    </row>
    <row r="184" customFormat="false" ht="15" hidden="false" customHeight="true" outlineLevel="0" collapsed="false">
      <c r="A184" s="3" t="str">
        <f aca="false">Model_Data!A183</f>
        <v>STR-1045</v>
      </c>
      <c r="B184" s="4" t="n">
        <f aca="false">Model_Data!B183</f>
        <v>45748</v>
      </c>
      <c r="C184" s="3" t="str">
        <f aca="false">Model_Data!C183</f>
        <v>West</v>
      </c>
      <c r="D184" s="3" t="str">
        <f aca="false">Model_Data!D183</f>
        <v>Airport</v>
      </c>
      <c r="E184" s="20" t="n">
        <f aca="false">Multiple_Regression!H184</f>
        <v>898031.04</v>
      </c>
      <c r="F184" s="20" t="n">
        <f aca="false">Multiple_Regression!$L$12+Multiple_Regression!$L$13*Multiple_Regression!A184+Multiple_Regression!$L$14*Multiple_Regression!B184+Multiple_Regression!$L$15*Multiple_Regression!C184+Multiple_Regression!$L$16*Multiple_Regression!D184+Multiple_Regression!$L$17*Multiple_Regression!E184+Multiple_Regression!$L$18*Multiple_Regression!F184+Multiple_Regression!$L$19*Multiple_Regression!G184</f>
        <v>850844.840748084</v>
      </c>
      <c r="G184" s="20" t="n">
        <f aca="false">E184-F184</f>
        <v>47186.1992519163</v>
      </c>
      <c r="H184" s="20" t="n">
        <f aca="false">ABS(G184)</f>
        <v>47186.1992519163</v>
      </c>
    </row>
    <row r="185" customFormat="false" ht="15" hidden="false" customHeight="true" outlineLevel="0" collapsed="false">
      <c r="A185" s="3" t="str">
        <f aca="false">Model_Data!A184</f>
        <v>STR-1046</v>
      </c>
      <c r="B185" s="4" t="n">
        <f aca="false">Model_Data!B184</f>
        <v>45658</v>
      </c>
      <c r="C185" s="3" t="str">
        <f aca="false">Model_Data!C184</f>
        <v>West</v>
      </c>
      <c r="D185" s="3" t="str">
        <f aca="false">Model_Data!D184</f>
        <v>Residential</v>
      </c>
      <c r="E185" s="20" t="n">
        <f aca="false">Multiple_Regression!H185</f>
        <v>855341.28</v>
      </c>
      <c r="F185" s="20" t="n">
        <f aca="false">Multiple_Regression!$L$12+Multiple_Regression!$L$13*Multiple_Regression!A185+Multiple_Regression!$L$14*Multiple_Regression!B185+Multiple_Regression!$L$15*Multiple_Regression!C185+Multiple_Regression!$L$16*Multiple_Regression!D185+Multiple_Regression!$L$17*Multiple_Regression!E185+Multiple_Regression!$L$18*Multiple_Regression!F185+Multiple_Regression!$L$19*Multiple_Regression!G185</f>
        <v>843904.452453913</v>
      </c>
      <c r="G185" s="20" t="n">
        <f aca="false">E185-F185</f>
        <v>11436.8275460872</v>
      </c>
      <c r="H185" s="20" t="n">
        <f aca="false">ABS(G185)</f>
        <v>11436.8275460872</v>
      </c>
    </row>
    <row r="186" customFormat="false" ht="15" hidden="false" customHeight="true" outlineLevel="0" collapsed="false">
      <c r="A186" s="3" t="str">
        <f aca="false">Model_Data!A185</f>
        <v>STR-1046</v>
      </c>
      <c r="B186" s="4" t="n">
        <f aca="false">Model_Data!B185</f>
        <v>45689</v>
      </c>
      <c r="C186" s="3" t="str">
        <f aca="false">Model_Data!C185</f>
        <v>West</v>
      </c>
      <c r="D186" s="3" t="str">
        <f aca="false">Model_Data!D185</f>
        <v>Residential</v>
      </c>
      <c r="E186" s="20" t="n">
        <f aca="false">Multiple_Regression!H186</f>
        <v>751393.88</v>
      </c>
      <c r="F186" s="20" t="n">
        <f aca="false">Multiple_Regression!$L$12+Multiple_Regression!$L$13*Multiple_Regression!A186+Multiple_Regression!$L$14*Multiple_Regression!B186+Multiple_Regression!$L$15*Multiple_Regression!C186+Multiple_Regression!$L$16*Multiple_Regression!D186+Multiple_Regression!$L$17*Multiple_Regression!E186+Multiple_Regression!$L$18*Multiple_Regression!F186+Multiple_Regression!$L$19*Multiple_Regression!G186</f>
        <v>736665.664916482</v>
      </c>
      <c r="G186" s="20" t="n">
        <f aca="false">E186-F186</f>
        <v>14728.215083518</v>
      </c>
      <c r="H186" s="20" t="n">
        <f aca="false">ABS(G186)</f>
        <v>14728.215083518</v>
      </c>
    </row>
    <row r="187" customFormat="false" ht="15" hidden="false" customHeight="true" outlineLevel="0" collapsed="false">
      <c r="A187" s="3" t="str">
        <f aca="false">Model_Data!A186</f>
        <v>STR-1046</v>
      </c>
      <c r="B187" s="4" t="n">
        <f aca="false">Model_Data!B186</f>
        <v>45717</v>
      </c>
      <c r="C187" s="3" t="str">
        <f aca="false">Model_Data!C186</f>
        <v>West</v>
      </c>
      <c r="D187" s="3" t="str">
        <f aca="false">Model_Data!D186</f>
        <v>Residential</v>
      </c>
      <c r="E187" s="20" t="n">
        <f aca="false">Multiple_Regression!H187</f>
        <v>761077.08</v>
      </c>
      <c r="F187" s="20" t="n">
        <f aca="false">Multiple_Regression!$L$12+Multiple_Regression!$L$13*Multiple_Regression!A187+Multiple_Regression!$L$14*Multiple_Regression!B187+Multiple_Regression!$L$15*Multiple_Regression!C187+Multiple_Regression!$L$16*Multiple_Regression!D187+Multiple_Regression!$L$17*Multiple_Regression!E187+Multiple_Regression!$L$18*Multiple_Regression!F187+Multiple_Regression!$L$19*Multiple_Regression!G187</f>
        <v>747924.697782887</v>
      </c>
      <c r="G187" s="20" t="n">
        <f aca="false">E187-F187</f>
        <v>13152.3822171128</v>
      </c>
      <c r="H187" s="20" t="n">
        <f aca="false">ABS(G187)</f>
        <v>13152.3822171128</v>
      </c>
    </row>
    <row r="188" customFormat="false" ht="15" hidden="false" customHeight="true" outlineLevel="0" collapsed="false">
      <c r="A188" s="3" t="str">
        <f aca="false">Model_Data!A187</f>
        <v>STR-1046</v>
      </c>
      <c r="B188" s="4" t="n">
        <f aca="false">Model_Data!B187</f>
        <v>45748</v>
      </c>
      <c r="C188" s="3" t="str">
        <f aca="false">Model_Data!C187</f>
        <v>West</v>
      </c>
      <c r="D188" s="3" t="str">
        <f aca="false">Model_Data!D187</f>
        <v>Residential</v>
      </c>
      <c r="E188" s="20" t="n">
        <f aca="false">Multiple_Regression!H188</f>
        <v>819660.59</v>
      </c>
      <c r="F188" s="20" t="n">
        <f aca="false">Multiple_Regression!$L$12+Multiple_Regression!$L$13*Multiple_Regression!A188+Multiple_Regression!$L$14*Multiple_Regression!B188+Multiple_Regression!$L$15*Multiple_Regression!C188+Multiple_Regression!$L$16*Multiple_Regression!D188+Multiple_Regression!$L$17*Multiple_Regression!E188+Multiple_Regression!$L$18*Multiple_Regression!F188+Multiple_Regression!$L$19*Multiple_Regression!G188</f>
        <v>815749.459926269</v>
      </c>
      <c r="G188" s="20" t="n">
        <f aca="false">E188-F188</f>
        <v>3911.13007373118</v>
      </c>
      <c r="H188" s="20" t="n">
        <f aca="false">ABS(G188)</f>
        <v>3911.13007373118</v>
      </c>
    </row>
    <row r="189" customFormat="false" ht="15" hidden="false" customHeight="true" outlineLevel="0" collapsed="false">
      <c r="A189" s="3" t="str">
        <f aca="false">Model_Data!A188</f>
        <v>STR-1047</v>
      </c>
      <c r="B189" s="4" t="n">
        <f aca="false">Model_Data!B188</f>
        <v>45658</v>
      </c>
      <c r="C189" s="3" t="str">
        <f aca="false">Model_Data!C188</f>
        <v>North</v>
      </c>
      <c r="D189" s="3" t="str">
        <f aca="false">Model_Data!D188</f>
        <v>High Street</v>
      </c>
      <c r="E189" s="20" t="n">
        <f aca="false">Multiple_Regression!H189</f>
        <v>681855.56</v>
      </c>
      <c r="F189" s="20" t="n">
        <f aca="false">Multiple_Regression!$L$12+Multiple_Regression!$L$13*Multiple_Regression!A189+Multiple_Regression!$L$14*Multiple_Regression!B189+Multiple_Regression!$L$15*Multiple_Regression!C189+Multiple_Regression!$L$16*Multiple_Regression!D189+Multiple_Regression!$L$17*Multiple_Regression!E189+Multiple_Regression!$L$18*Multiple_Regression!F189+Multiple_Regression!$L$19*Multiple_Regression!G189</f>
        <v>702545.076161225</v>
      </c>
      <c r="G189" s="20" t="n">
        <f aca="false">E189-F189</f>
        <v>-20689.5161612253</v>
      </c>
      <c r="H189" s="20" t="n">
        <f aca="false">ABS(G189)</f>
        <v>20689.5161612253</v>
      </c>
    </row>
    <row r="190" customFormat="false" ht="15" hidden="false" customHeight="true" outlineLevel="0" collapsed="false">
      <c r="A190" s="3" t="str">
        <f aca="false">Model_Data!A189</f>
        <v>STR-1047</v>
      </c>
      <c r="B190" s="4" t="n">
        <f aca="false">Model_Data!B189</f>
        <v>45689</v>
      </c>
      <c r="C190" s="3" t="str">
        <f aca="false">Model_Data!C189</f>
        <v>North</v>
      </c>
      <c r="D190" s="3" t="str">
        <f aca="false">Model_Data!D189</f>
        <v>High Street</v>
      </c>
      <c r="E190" s="20" t="n">
        <f aca="false">Multiple_Regression!H190</f>
        <v>678311.17</v>
      </c>
      <c r="F190" s="20" t="n">
        <f aca="false">Multiple_Regression!$L$12+Multiple_Regression!$L$13*Multiple_Regression!A190+Multiple_Regression!$L$14*Multiple_Regression!B190+Multiple_Regression!$L$15*Multiple_Regression!C190+Multiple_Regression!$L$16*Multiple_Regression!D190+Multiple_Regression!$L$17*Multiple_Regression!E190+Multiple_Regression!$L$18*Multiple_Regression!F190+Multiple_Regression!$L$19*Multiple_Regression!G190</f>
        <v>657452.492213834</v>
      </c>
      <c r="G190" s="20" t="n">
        <f aca="false">E190-F190</f>
        <v>20858.6777861662</v>
      </c>
      <c r="H190" s="20" t="n">
        <f aca="false">ABS(G190)</f>
        <v>20858.6777861662</v>
      </c>
    </row>
    <row r="191" customFormat="false" ht="15" hidden="false" customHeight="true" outlineLevel="0" collapsed="false">
      <c r="A191" s="3" t="str">
        <f aca="false">Model_Data!A190</f>
        <v>STR-1047</v>
      </c>
      <c r="B191" s="4" t="n">
        <f aca="false">Model_Data!B190</f>
        <v>45717</v>
      </c>
      <c r="C191" s="3" t="str">
        <f aca="false">Model_Data!C190</f>
        <v>North</v>
      </c>
      <c r="D191" s="3" t="str">
        <f aca="false">Model_Data!D190</f>
        <v>High Street</v>
      </c>
      <c r="E191" s="20" t="n">
        <f aca="false">Multiple_Regression!H191</f>
        <v>765906.95</v>
      </c>
      <c r="F191" s="20" t="n">
        <f aca="false">Multiple_Regression!$L$12+Multiple_Regression!$L$13*Multiple_Regression!A191+Multiple_Regression!$L$14*Multiple_Regression!B191+Multiple_Regression!$L$15*Multiple_Regression!C191+Multiple_Regression!$L$16*Multiple_Regression!D191+Multiple_Regression!$L$17*Multiple_Regression!E191+Multiple_Regression!$L$18*Multiple_Regression!F191+Multiple_Regression!$L$19*Multiple_Regression!G191</f>
        <v>705422.244171777</v>
      </c>
      <c r="G191" s="20" t="n">
        <f aca="false">E191-F191</f>
        <v>60484.7058282229</v>
      </c>
      <c r="H191" s="20" t="n">
        <f aca="false">ABS(G191)</f>
        <v>60484.7058282229</v>
      </c>
    </row>
    <row r="192" customFormat="false" ht="15" hidden="false" customHeight="true" outlineLevel="0" collapsed="false">
      <c r="A192" s="3" t="str">
        <f aca="false">Model_Data!A191</f>
        <v>STR-1047</v>
      </c>
      <c r="B192" s="4" t="n">
        <f aca="false">Model_Data!B191</f>
        <v>45748</v>
      </c>
      <c r="C192" s="3" t="str">
        <f aca="false">Model_Data!C191</f>
        <v>North</v>
      </c>
      <c r="D192" s="3" t="str">
        <f aca="false">Model_Data!D191</f>
        <v>High Street</v>
      </c>
      <c r="E192" s="20" t="n">
        <f aca="false">Multiple_Regression!H192</f>
        <v>712546.38</v>
      </c>
      <c r="F192" s="20" t="n">
        <f aca="false">Multiple_Regression!$L$12+Multiple_Regression!$L$13*Multiple_Regression!A192+Multiple_Regression!$L$14*Multiple_Regression!B192+Multiple_Regression!$L$15*Multiple_Regression!C192+Multiple_Regression!$L$16*Multiple_Regression!D192+Multiple_Regression!$L$17*Multiple_Regression!E192+Multiple_Regression!$L$18*Multiple_Regression!F192+Multiple_Regression!$L$19*Multiple_Regression!G192</f>
        <v>708020.87989564</v>
      </c>
      <c r="G192" s="20" t="n">
        <f aca="false">E192-F192</f>
        <v>4525.50010435958</v>
      </c>
      <c r="H192" s="20" t="n">
        <f aca="false">ABS(G192)</f>
        <v>4525.50010435958</v>
      </c>
    </row>
    <row r="193" customFormat="false" ht="15" hidden="false" customHeight="true" outlineLevel="0" collapsed="false">
      <c r="A193" s="3" t="str">
        <f aca="false">Model_Data!A192</f>
        <v>STR-1048</v>
      </c>
      <c r="B193" s="4" t="n">
        <f aca="false">Model_Data!B192</f>
        <v>45658</v>
      </c>
      <c r="C193" s="3" t="str">
        <f aca="false">Model_Data!C192</f>
        <v>East</v>
      </c>
      <c r="D193" s="3" t="str">
        <f aca="false">Model_Data!D192</f>
        <v>High Street</v>
      </c>
      <c r="E193" s="20" t="n">
        <f aca="false">Multiple_Regression!H193</f>
        <v>625993.83</v>
      </c>
      <c r="F193" s="20" t="n">
        <f aca="false">Multiple_Regression!$L$12+Multiple_Regression!$L$13*Multiple_Regression!A193+Multiple_Regression!$L$14*Multiple_Regression!B193+Multiple_Regression!$L$15*Multiple_Regression!C193+Multiple_Regression!$L$16*Multiple_Regression!D193+Multiple_Regression!$L$17*Multiple_Regression!E193+Multiple_Regression!$L$18*Multiple_Regression!F193+Multiple_Regression!$L$19*Multiple_Regression!G193</f>
        <v>597742.488017341</v>
      </c>
      <c r="G193" s="20" t="n">
        <f aca="false">E193-F193</f>
        <v>28251.341982659</v>
      </c>
      <c r="H193" s="20" t="n">
        <f aca="false">ABS(G193)</f>
        <v>28251.341982659</v>
      </c>
    </row>
    <row r="194" customFormat="false" ht="15" hidden="false" customHeight="true" outlineLevel="0" collapsed="false">
      <c r="A194" s="3" t="str">
        <f aca="false">Model_Data!A193</f>
        <v>STR-1048</v>
      </c>
      <c r="B194" s="4" t="n">
        <f aca="false">Model_Data!B193</f>
        <v>45689</v>
      </c>
      <c r="C194" s="3" t="str">
        <f aca="false">Model_Data!C193</f>
        <v>East</v>
      </c>
      <c r="D194" s="3" t="str">
        <f aca="false">Model_Data!D193</f>
        <v>High Street</v>
      </c>
      <c r="E194" s="20" t="n">
        <f aca="false">Multiple_Regression!H194</f>
        <v>550962.93</v>
      </c>
      <c r="F194" s="20" t="n">
        <f aca="false">Multiple_Regression!$L$12+Multiple_Regression!$L$13*Multiple_Regression!A194+Multiple_Regression!$L$14*Multiple_Regression!B194+Multiple_Regression!$L$15*Multiple_Regression!C194+Multiple_Regression!$L$16*Multiple_Regression!D194+Multiple_Regression!$L$17*Multiple_Regression!E194+Multiple_Regression!$L$18*Multiple_Regression!F194+Multiple_Regression!$L$19*Multiple_Regression!G194</f>
        <v>550358.74312734</v>
      </c>
      <c r="G194" s="20" t="n">
        <f aca="false">E194-F194</f>
        <v>604.186872660299</v>
      </c>
      <c r="H194" s="20" t="n">
        <f aca="false">ABS(G194)</f>
        <v>604.186872660299</v>
      </c>
    </row>
    <row r="195" customFormat="false" ht="15" hidden="false" customHeight="true" outlineLevel="0" collapsed="false">
      <c r="A195" s="3" t="str">
        <f aca="false">Model_Data!A194</f>
        <v>STR-1048</v>
      </c>
      <c r="B195" s="4" t="n">
        <f aca="false">Model_Data!B194</f>
        <v>45717</v>
      </c>
      <c r="C195" s="3" t="str">
        <f aca="false">Model_Data!C194</f>
        <v>East</v>
      </c>
      <c r="D195" s="3" t="str">
        <f aca="false">Model_Data!D194</f>
        <v>High Street</v>
      </c>
      <c r="E195" s="20" t="n">
        <f aca="false">Multiple_Regression!H195</f>
        <v>443275.59</v>
      </c>
      <c r="F195" s="20" t="n">
        <f aca="false">Multiple_Regression!$L$12+Multiple_Regression!$L$13*Multiple_Regression!A195+Multiple_Regression!$L$14*Multiple_Regression!B195+Multiple_Regression!$L$15*Multiple_Regression!C195+Multiple_Regression!$L$16*Multiple_Regression!D195+Multiple_Regression!$L$17*Multiple_Regression!E195+Multiple_Regression!$L$18*Multiple_Regression!F195+Multiple_Regression!$L$19*Multiple_Regression!G195</f>
        <v>460686.118990613</v>
      </c>
      <c r="G195" s="20" t="n">
        <f aca="false">E195-F195</f>
        <v>-17410.5289906125</v>
      </c>
      <c r="H195" s="20" t="n">
        <f aca="false">ABS(G195)</f>
        <v>17410.5289906125</v>
      </c>
    </row>
    <row r="196" customFormat="false" ht="15" hidden="false" customHeight="true" outlineLevel="0" collapsed="false">
      <c r="A196" s="3" t="str">
        <f aca="false">Model_Data!A195</f>
        <v>STR-1048</v>
      </c>
      <c r="B196" s="4" t="n">
        <f aca="false">Model_Data!B195</f>
        <v>45748</v>
      </c>
      <c r="C196" s="3" t="str">
        <f aca="false">Model_Data!C195</f>
        <v>East</v>
      </c>
      <c r="D196" s="3" t="str">
        <f aca="false">Model_Data!D195</f>
        <v>High Street</v>
      </c>
      <c r="E196" s="20" t="n">
        <f aca="false">Multiple_Regression!H196</f>
        <v>554012.07</v>
      </c>
      <c r="F196" s="20" t="n">
        <f aca="false">Multiple_Regression!$L$12+Multiple_Regression!$L$13*Multiple_Regression!A196+Multiple_Regression!$L$14*Multiple_Regression!B196+Multiple_Regression!$L$15*Multiple_Regression!C196+Multiple_Regression!$L$16*Multiple_Regression!D196+Multiple_Regression!$L$17*Multiple_Regression!E196+Multiple_Regression!$L$18*Multiple_Regression!F196+Multiple_Regression!$L$19*Multiple_Regression!G196</f>
        <v>605120.793575506</v>
      </c>
      <c r="G196" s="20" t="n">
        <f aca="false">E196-F196</f>
        <v>-51108.7235755065</v>
      </c>
      <c r="H196" s="20" t="n">
        <f aca="false">ABS(G196)</f>
        <v>51108.7235755065</v>
      </c>
    </row>
    <row r="197" customFormat="false" ht="15" hidden="false" customHeight="true" outlineLevel="0" collapsed="false">
      <c r="A197" s="3" t="str">
        <f aca="false">Model_Data!A196</f>
        <v>STR-1049</v>
      </c>
      <c r="B197" s="4" t="n">
        <f aca="false">Model_Data!B196</f>
        <v>45658</v>
      </c>
      <c r="C197" s="3" t="str">
        <f aca="false">Model_Data!C196</f>
        <v>West</v>
      </c>
      <c r="D197" s="3" t="str">
        <f aca="false">Model_Data!D196</f>
        <v>Residential</v>
      </c>
      <c r="E197" s="20" t="n">
        <f aca="false">Multiple_Regression!H197</f>
        <v>643428.85</v>
      </c>
      <c r="F197" s="20" t="n">
        <f aca="false">Multiple_Regression!$L$12+Multiple_Regression!$L$13*Multiple_Regression!A197+Multiple_Regression!$L$14*Multiple_Regression!B197+Multiple_Regression!$L$15*Multiple_Regression!C197+Multiple_Regression!$L$16*Multiple_Regression!D197+Multiple_Regression!$L$17*Multiple_Regression!E197+Multiple_Regression!$L$18*Multiple_Regression!F197+Multiple_Regression!$L$19*Multiple_Regression!G197</f>
        <v>677758.441513058</v>
      </c>
      <c r="G197" s="20" t="n">
        <f aca="false">E197-F197</f>
        <v>-34329.5915130577</v>
      </c>
      <c r="H197" s="20" t="n">
        <f aca="false">ABS(G197)</f>
        <v>34329.5915130577</v>
      </c>
    </row>
    <row r="198" customFormat="false" ht="15" hidden="false" customHeight="true" outlineLevel="0" collapsed="false">
      <c r="A198" s="3" t="str">
        <f aca="false">Model_Data!A197</f>
        <v>STR-1049</v>
      </c>
      <c r="B198" s="4" t="n">
        <f aca="false">Model_Data!B197</f>
        <v>45689</v>
      </c>
      <c r="C198" s="3" t="str">
        <f aca="false">Model_Data!C197</f>
        <v>West</v>
      </c>
      <c r="D198" s="3" t="str">
        <f aca="false">Model_Data!D197</f>
        <v>Residential</v>
      </c>
      <c r="E198" s="20" t="n">
        <f aca="false">Multiple_Regression!H198</f>
        <v>611924.27</v>
      </c>
      <c r="F198" s="20" t="n">
        <f aca="false">Multiple_Regression!$L$12+Multiple_Regression!$L$13*Multiple_Regression!A198+Multiple_Regression!$L$14*Multiple_Regression!B198+Multiple_Regression!$L$15*Multiple_Regression!C198+Multiple_Regression!$L$16*Multiple_Regression!D198+Multiple_Regression!$L$17*Multiple_Regression!E198+Multiple_Regression!$L$18*Multiple_Regression!F198+Multiple_Regression!$L$19*Multiple_Regression!G198</f>
        <v>610072.835145818</v>
      </c>
      <c r="G198" s="20" t="n">
        <f aca="false">E198-F198</f>
        <v>1851.43485418207</v>
      </c>
      <c r="H198" s="20" t="n">
        <f aca="false">ABS(G198)</f>
        <v>1851.43485418207</v>
      </c>
    </row>
    <row r="199" customFormat="false" ht="15" hidden="false" customHeight="true" outlineLevel="0" collapsed="false">
      <c r="A199" s="3" t="str">
        <f aca="false">Model_Data!A198</f>
        <v>STR-1049</v>
      </c>
      <c r="B199" s="4" t="n">
        <f aca="false">Model_Data!B198</f>
        <v>45717</v>
      </c>
      <c r="C199" s="3" t="str">
        <f aca="false">Model_Data!C198</f>
        <v>West</v>
      </c>
      <c r="D199" s="3" t="str">
        <f aca="false">Model_Data!D198</f>
        <v>Residential</v>
      </c>
      <c r="E199" s="20" t="n">
        <f aca="false">Multiple_Regression!H199</f>
        <v>559422.02</v>
      </c>
      <c r="F199" s="20" t="n">
        <f aca="false">Multiple_Regression!$L$12+Multiple_Regression!$L$13*Multiple_Regression!A199+Multiple_Regression!$L$14*Multiple_Regression!B199+Multiple_Regression!$L$15*Multiple_Regression!C199+Multiple_Regression!$L$16*Multiple_Regression!D199+Multiple_Regression!$L$17*Multiple_Regression!E199+Multiple_Regression!$L$18*Multiple_Regression!F199+Multiple_Regression!$L$19*Multiple_Regression!G199</f>
        <v>549226.175141424</v>
      </c>
      <c r="G199" s="20" t="n">
        <f aca="false">E199-F199</f>
        <v>10195.844858576</v>
      </c>
      <c r="H199" s="20" t="n">
        <f aca="false">ABS(G199)</f>
        <v>10195.844858576</v>
      </c>
    </row>
    <row r="200" customFormat="false" ht="15" hidden="false" customHeight="true" outlineLevel="0" collapsed="false">
      <c r="A200" s="3" t="str">
        <f aca="false">Model_Data!A199</f>
        <v>STR-1049</v>
      </c>
      <c r="B200" s="4" t="n">
        <f aca="false">Model_Data!B199</f>
        <v>45748</v>
      </c>
      <c r="C200" s="3" t="str">
        <f aca="false">Model_Data!C199</f>
        <v>West</v>
      </c>
      <c r="D200" s="3" t="str">
        <f aca="false">Model_Data!D199</f>
        <v>Residential</v>
      </c>
      <c r="E200" s="20" t="n">
        <f aca="false">Multiple_Regression!H200</f>
        <v>449465.06</v>
      </c>
      <c r="F200" s="20" t="n">
        <f aca="false">Multiple_Regression!$L$12+Multiple_Regression!$L$13*Multiple_Regression!A200+Multiple_Regression!$L$14*Multiple_Regression!B200+Multiple_Regression!$L$15*Multiple_Regression!C200+Multiple_Regression!$L$16*Multiple_Regression!D200+Multiple_Regression!$L$17*Multiple_Regression!E200+Multiple_Regression!$L$18*Multiple_Regression!F200+Multiple_Regression!$L$19*Multiple_Regression!G200</f>
        <v>517236.64236771</v>
      </c>
      <c r="G200" s="20" t="n">
        <f aca="false">E200-F200</f>
        <v>-67771.5823677095</v>
      </c>
      <c r="H200" s="20" t="n">
        <f aca="false">ABS(G200)</f>
        <v>67771.5823677095</v>
      </c>
    </row>
    <row r="201" customFormat="false" ht="15" hidden="false" customHeight="true" outlineLevel="0" collapsed="false">
      <c r="A201" s="3" t="str">
        <f aca="false">Model_Data!A200</f>
        <v>STR-1050</v>
      </c>
      <c r="B201" s="4" t="n">
        <f aca="false">Model_Data!B200</f>
        <v>45658</v>
      </c>
      <c r="C201" s="3" t="str">
        <f aca="false">Model_Data!C200</f>
        <v>North</v>
      </c>
      <c r="D201" s="3" t="str">
        <f aca="false">Model_Data!D200</f>
        <v>Residential</v>
      </c>
      <c r="E201" s="20" t="n">
        <f aca="false">Multiple_Regression!H201</f>
        <v>691447.43</v>
      </c>
      <c r="F201" s="20" t="n">
        <f aca="false">Multiple_Regression!$L$12+Multiple_Regression!$L$13*Multiple_Regression!A201+Multiple_Regression!$L$14*Multiple_Regression!B201+Multiple_Regression!$L$15*Multiple_Regression!C201+Multiple_Regression!$L$16*Multiple_Regression!D201+Multiple_Regression!$L$17*Multiple_Regression!E201+Multiple_Regression!$L$18*Multiple_Regression!F201+Multiple_Regression!$L$19*Multiple_Regression!G201</f>
        <v>634525.145421287</v>
      </c>
      <c r="G201" s="20" t="n">
        <f aca="false">E201-F201</f>
        <v>56922.2845787134</v>
      </c>
      <c r="H201" s="20" t="n">
        <f aca="false">ABS(G201)</f>
        <v>56922.2845787134</v>
      </c>
    </row>
    <row r="202" customFormat="false" ht="15" hidden="false" customHeight="true" outlineLevel="0" collapsed="false">
      <c r="A202" s="3" t="str">
        <f aca="false">Model_Data!A201</f>
        <v>STR-1050</v>
      </c>
      <c r="B202" s="4" t="n">
        <f aca="false">Model_Data!B201</f>
        <v>45689</v>
      </c>
      <c r="C202" s="3" t="str">
        <f aca="false">Model_Data!C201</f>
        <v>North</v>
      </c>
      <c r="D202" s="3" t="str">
        <f aca="false">Model_Data!D201</f>
        <v>Residential</v>
      </c>
      <c r="E202" s="20" t="n">
        <f aca="false">Multiple_Regression!H202</f>
        <v>574066.61</v>
      </c>
      <c r="F202" s="20" t="n">
        <f aca="false">Multiple_Regression!$L$12+Multiple_Regression!$L$13*Multiple_Regression!A202+Multiple_Regression!$L$14*Multiple_Regression!B202+Multiple_Regression!$L$15*Multiple_Regression!C202+Multiple_Regression!$L$16*Multiple_Regression!D202+Multiple_Regression!$L$17*Multiple_Regression!E202+Multiple_Regression!$L$18*Multiple_Regression!F202+Multiple_Regression!$L$19*Multiple_Regression!G202</f>
        <v>600573.977299074</v>
      </c>
      <c r="G202" s="20" t="n">
        <f aca="false">E202-F202</f>
        <v>-26507.3672990738</v>
      </c>
      <c r="H202" s="20" t="n">
        <f aca="false">ABS(G202)</f>
        <v>26507.3672990738</v>
      </c>
    </row>
    <row r="203" customFormat="false" ht="15" hidden="false" customHeight="true" outlineLevel="0" collapsed="false">
      <c r="A203" s="3" t="str">
        <f aca="false">Model_Data!A202</f>
        <v>STR-1050</v>
      </c>
      <c r="B203" s="4" t="n">
        <f aca="false">Model_Data!B202</f>
        <v>45717</v>
      </c>
      <c r="C203" s="3" t="str">
        <f aca="false">Model_Data!C202</f>
        <v>North</v>
      </c>
      <c r="D203" s="3" t="str">
        <f aca="false">Model_Data!D202</f>
        <v>Residential</v>
      </c>
      <c r="E203" s="20" t="n">
        <f aca="false">Multiple_Regression!H203</f>
        <v>578949.84</v>
      </c>
      <c r="F203" s="20" t="n">
        <f aca="false">Multiple_Regression!$L$12+Multiple_Regression!$L$13*Multiple_Regression!A203+Multiple_Regression!$L$14*Multiple_Regression!B203+Multiple_Regression!$L$15*Multiple_Regression!C203+Multiple_Regression!$L$16*Multiple_Regression!D203+Multiple_Regression!$L$17*Multiple_Regression!E203+Multiple_Regression!$L$18*Multiple_Regression!F203+Multiple_Regression!$L$19*Multiple_Regression!G203</f>
        <v>593928.392676244</v>
      </c>
      <c r="G203" s="20" t="n">
        <f aca="false">E203-F203</f>
        <v>-14978.5526762436</v>
      </c>
      <c r="H203" s="20" t="n">
        <f aca="false">ABS(G203)</f>
        <v>14978.5526762436</v>
      </c>
    </row>
    <row r="204" customFormat="false" ht="15" hidden="false" customHeight="true" outlineLevel="0" collapsed="false">
      <c r="A204" s="3" t="str">
        <f aca="false">Model_Data!A203</f>
        <v>STR-1050</v>
      </c>
      <c r="B204" s="4" t="n">
        <f aca="false">Model_Data!B203</f>
        <v>45748</v>
      </c>
      <c r="C204" s="3" t="str">
        <f aca="false">Model_Data!C203</f>
        <v>North</v>
      </c>
      <c r="D204" s="3" t="str">
        <f aca="false">Model_Data!D203</f>
        <v>Residential</v>
      </c>
      <c r="E204" s="20" t="n">
        <f aca="false">Multiple_Regression!H204</f>
        <v>735786.64</v>
      </c>
      <c r="F204" s="20" t="n">
        <f aca="false">Multiple_Regression!$L$12+Multiple_Regression!$L$13*Multiple_Regression!A204+Multiple_Regression!$L$14*Multiple_Regression!B204+Multiple_Regression!$L$15*Multiple_Regression!C204+Multiple_Regression!$L$16*Multiple_Regression!D204+Multiple_Regression!$L$17*Multiple_Regression!E204+Multiple_Regression!$L$18*Multiple_Regression!F204+Multiple_Regression!$L$19*Multiple_Regression!G204</f>
        <v>638540.147111193</v>
      </c>
      <c r="G204" s="20" t="n">
        <f aca="false">E204-F204</f>
        <v>97246.4928888072</v>
      </c>
      <c r="H204" s="20" t="n">
        <f aca="false">ABS(G204)</f>
        <v>97246.4928888072</v>
      </c>
    </row>
    <row r="205" customFormat="false" ht="15" hidden="false" customHeight="true" outlineLevel="0" collapsed="false">
      <c r="A205" s="3" t="str">
        <f aca="false">Model_Data!A204</f>
        <v>STR-1051</v>
      </c>
      <c r="B205" s="4" t="n">
        <f aca="false">Model_Data!B204</f>
        <v>45658</v>
      </c>
      <c r="C205" s="3" t="str">
        <f aca="false">Model_Data!C204</f>
        <v>East</v>
      </c>
      <c r="D205" s="3" t="str">
        <f aca="false">Model_Data!D204</f>
        <v>Airport</v>
      </c>
      <c r="E205" s="20" t="n">
        <f aca="false">Multiple_Regression!H205</f>
        <v>598904.9</v>
      </c>
      <c r="F205" s="20" t="n">
        <f aca="false">Multiple_Regression!$L$12+Multiple_Regression!$L$13*Multiple_Regression!A205+Multiple_Regression!$L$14*Multiple_Regression!B205+Multiple_Regression!$L$15*Multiple_Regression!C205+Multiple_Regression!$L$16*Multiple_Regression!D205+Multiple_Regression!$L$17*Multiple_Regression!E205+Multiple_Regression!$L$18*Multiple_Regression!F205+Multiple_Regression!$L$19*Multiple_Regression!G205</f>
        <v>630749.874550057</v>
      </c>
      <c r="G205" s="20" t="n">
        <f aca="false">E205-F205</f>
        <v>-31844.9745500565</v>
      </c>
      <c r="H205" s="20" t="n">
        <f aca="false">ABS(G205)</f>
        <v>31844.9745500565</v>
      </c>
    </row>
    <row r="206" customFormat="false" ht="15" hidden="false" customHeight="true" outlineLevel="0" collapsed="false">
      <c r="A206" s="3" t="str">
        <f aca="false">Model_Data!A205</f>
        <v>STR-1051</v>
      </c>
      <c r="B206" s="4" t="n">
        <f aca="false">Model_Data!B205</f>
        <v>45689</v>
      </c>
      <c r="C206" s="3" t="str">
        <f aca="false">Model_Data!C205</f>
        <v>East</v>
      </c>
      <c r="D206" s="3" t="str">
        <f aca="false">Model_Data!D205</f>
        <v>Airport</v>
      </c>
      <c r="E206" s="20" t="n">
        <f aca="false">Multiple_Regression!H206</f>
        <v>787715.51</v>
      </c>
      <c r="F206" s="20" t="n">
        <f aca="false">Multiple_Regression!$L$12+Multiple_Regression!$L$13*Multiple_Regression!A206+Multiple_Regression!$L$14*Multiple_Regression!B206+Multiple_Regression!$L$15*Multiple_Regression!C206+Multiple_Regression!$L$16*Multiple_Regression!D206+Multiple_Regression!$L$17*Multiple_Regression!E206+Multiple_Regression!$L$18*Multiple_Regression!F206+Multiple_Regression!$L$19*Multiple_Regression!G206</f>
        <v>707902.392712392</v>
      </c>
      <c r="G206" s="20" t="n">
        <f aca="false">E206-F206</f>
        <v>79813.117287608</v>
      </c>
      <c r="H206" s="20" t="n">
        <f aca="false">ABS(G206)</f>
        <v>79813.117287608</v>
      </c>
    </row>
    <row r="207" customFormat="false" ht="15" hidden="false" customHeight="true" outlineLevel="0" collapsed="false">
      <c r="A207" s="3" t="str">
        <f aca="false">Model_Data!A206</f>
        <v>STR-1051</v>
      </c>
      <c r="B207" s="4" t="n">
        <f aca="false">Model_Data!B206</f>
        <v>45717</v>
      </c>
      <c r="C207" s="3" t="str">
        <f aca="false">Model_Data!C206</f>
        <v>East</v>
      </c>
      <c r="D207" s="3" t="str">
        <f aca="false">Model_Data!D206</f>
        <v>Airport</v>
      </c>
      <c r="E207" s="20" t="n">
        <f aca="false">Multiple_Regression!H207</f>
        <v>607084.92</v>
      </c>
      <c r="F207" s="20" t="n">
        <f aca="false">Multiple_Regression!$L$12+Multiple_Regression!$L$13*Multiple_Regression!A207+Multiple_Regression!$L$14*Multiple_Regression!B207+Multiple_Regression!$L$15*Multiple_Regression!C207+Multiple_Regression!$L$16*Multiple_Regression!D207+Multiple_Regression!$L$17*Multiple_Regression!E207+Multiple_Regression!$L$18*Multiple_Regression!F207+Multiple_Regression!$L$19*Multiple_Regression!G207</f>
        <v>672609.361254192</v>
      </c>
      <c r="G207" s="20" t="n">
        <f aca="false">E207-F207</f>
        <v>-65524.4412541923</v>
      </c>
      <c r="H207" s="20" t="n">
        <f aca="false">ABS(G207)</f>
        <v>65524.4412541923</v>
      </c>
    </row>
    <row r="208" customFormat="false" ht="15" hidden="false" customHeight="true" outlineLevel="0" collapsed="false">
      <c r="A208" s="3" t="str">
        <f aca="false">Model_Data!A207</f>
        <v>STR-1051</v>
      </c>
      <c r="B208" s="4" t="n">
        <f aca="false">Model_Data!B207</f>
        <v>45748</v>
      </c>
      <c r="C208" s="3" t="str">
        <f aca="false">Model_Data!C207</f>
        <v>East</v>
      </c>
      <c r="D208" s="3" t="str">
        <f aca="false">Model_Data!D207</f>
        <v>Airport</v>
      </c>
      <c r="E208" s="20" t="n">
        <f aca="false">Multiple_Regression!H208</f>
        <v>650795.49</v>
      </c>
      <c r="F208" s="20" t="n">
        <f aca="false">Multiple_Regression!$L$12+Multiple_Regression!$L$13*Multiple_Regression!A208+Multiple_Regression!$L$14*Multiple_Regression!B208+Multiple_Regression!$L$15*Multiple_Regression!C208+Multiple_Regression!$L$16*Multiple_Regression!D208+Multiple_Regression!$L$17*Multiple_Regression!E208+Multiple_Regression!$L$18*Multiple_Regression!F208+Multiple_Regression!$L$19*Multiple_Regression!G208</f>
        <v>694746.959462544</v>
      </c>
      <c r="G208" s="20" t="n">
        <f aca="false">E208-F208</f>
        <v>-43951.469462544</v>
      </c>
      <c r="H208" s="20" t="n">
        <f aca="false">ABS(G208)</f>
        <v>43951.469462544</v>
      </c>
    </row>
    <row r="209" customFormat="false" ht="15" hidden="false" customHeight="true" outlineLevel="0" collapsed="false">
      <c r="A209" s="3" t="str">
        <f aca="false">Model_Data!A208</f>
        <v>STR-1052</v>
      </c>
      <c r="B209" s="4" t="n">
        <f aca="false">Model_Data!B208</f>
        <v>45658</v>
      </c>
      <c r="C209" s="3" t="str">
        <f aca="false">Model_Data!C208</f>
        <v>East</v>
      </c>
      <c r="D209" s="3" t="str">
        <f aca="false">Model_Data!D208</f>
        <v>Mall</v>
      </c>
      <c r="E209" s="20" t="n">
        <f aca="false">Multiple_Regression!H209</f>
        <v>825060.52</v>
      </c>
      <c r="F209" s="20" t="n">
        <f aca="false">Multiple_Regression!$L$12+Multiple_Regression!$L$13*Multiple_Regression!A209+Multiple_Regression!$L$14*Multiple_Regression!B209+Multiple_Regression!$L$15*Multiple_Regression!C209+Multiple_Regression!$L$16*Multiple_Regression!D209+Multiple_Regression!$L$17*Multiple_Regression!E209+Multiple_Regression!$L$18*Multiple_Regression!F209+Multiple_Regression!$L$19*Multiple_Regression!G209</f>
        <v>853569.718355013</v>
      </c>
      <c r="G209" s="20" t="n">
        <f aca="false">E209-F209</f>
        <v>-28509.1983550132</v>
      </c>
      <c r="H209" s="20" t="n">
        <f aca="false">ABS(G209)</f>
        <v>28509.1983550132</v>
      </c>
    </row>
    <row r="210" customFormat="false" ht="15" hidden="false" customHeight="true" outlineLevel="0" collapsed="false">
      <c r="A210" s="3" t="str">
        <f aca="false">Model_Data!A209</f>
        <v>STR-1052</v>
      </c>
      <c r="B210" s="4" t="n">
        <f aca="false">Model_Data!B209</f>
        <v>45689</v>
      </c>
      <c r="C210" s="3" t="str">
        <f aca="false">Model_Data!C209</f>
        <v>East</v>
      </c>
      <c r="D210" s="3" t="str">
        <f aca="false">Model_Data!D209</f>
        <v>Mall</v>
      </c>
      <c r="E210" s="20" t="n">
        <f aca="false">Multiple_Regression!H210</f>
        <v>795464.47</v>
      </c>
      <c r="F210" s="20" t="n">
        <f aca="false">Multiple_Regression!$L$12+Multiple_Regression!$L$13*Multiple_Regression!A210+Multiple_Regression!$L$14*Multiple_Regression!B210+Multiple_Regression!$L$15*Multiple_Regression!C210+Multiple_Regression!$L$16*Multiple_Regression!D210+Multiple_Regression!$L$17*Multiple_Regression!E210+Multiple_Regression!$L$18*Multiple_Regression!F210+Multiple_Regression!$L$19*Multiple_Regression!G210</f>
        <v>752849.569773354</v>
      </c>
      <c r="G210" s="20" t="n">
        <f aca="false">E210-F210</f>
        <v>42614.9002266456</v>
      </c>
      <c r="H210" s="20" t="n">
        <f aca="false">ABS(G210)</f>
        <v>42614.9002266456</v>
      </c>
    </row>
    <row r="211" customFormat="false" ht="15" hidden="false" customHeight="true" outlineLevel="0" collapsed="false">
      <c r="A211" s="3" t="str">
        <f aca="false">Model_Data!A210</f>
        <v>STR-1052</v>
      </c>
      <c r="B211" s="4" t="n">
        <f aca="false">Model_Data!B210</f>
        <v>45717</v>
      </c>
      <c r="C211" s="3" t="str">
        <f aca="false">Model_Data!C210</f>
        <v>East</v>
      </c>
      <c r="D211" s="3" t="str">
        <f aca="false">Model_Data!D210</f>
        <v>Mall</v>
      </c>
      <c r="E211" s="20" t="n">
        <f aca="false">Multiple_Regression!H211</f>
        <v>671868.59</v>
      </c>
      <c r="F211" s="20" t="n">
        <f aca="false">Multiple_Regression!$L$12+Multiple_Regression!$L$13*Multiple_Regression!A211+Multiple_Regression!$L$14*Multiple_Regression!B211+Multiple_Regression!$L$15*Multiple_Regression!C211+Multiple_Regression!$L$16*Multiple_Regression!D211+Multiple_Regression!$L$17*Multiple_Regression!E211+Multiple_Regression!$L$18*Multiple_Regression!F211+Multiple_Regression!$L$19*Multiple_Regression!G211</f>
        <v>746043.390638067</v>
      </c>
      <c r="G211" s="20" t="n">
        <f aca="false">E211-F211</f>
        <v>-74174.8006380671</v>
      </c>
      <c r="H211" s="20" t="n">
        <f aca="false">ABS(G211)</f>
        <v>74174.8006380671</v>
      </c>
    </row>
    <row r="212" customFormat="false" ht="15" hidden="false" customHeight="true" outlineLevel="0" collapsed="false">
      <c r="A212" s="3" t="str">
        <f aca="false">Model_Data!A211</f>
        <v>STR-1052</v>
      </c>
      <c r="B212" s="4" t="n">
        <f aca="false">Model_Data!B211</f>
        <v>45748</v>
      </c>
      <c r="C212" s="3" t="str">
        <f aca="false">Model_Data!C211</f>
        <v>East</v>
      </c>
      <c r="D212" s="3" t="str">
        <f aca="false">Model_Data!D211</f>
        <v>Mall</v>
      </c>
      <c r="E212" s="20" t="n">
        <f aca="false">Multiple_Regression!H212</f>
        <v>675917.63</v>
      </c>
      <c r="F212" s="20" t="n">
        <f aca="false">Multiple_Regression!$L$12+Multiple_Regression!$L$13*Multiple_Regression!A212+Multiple_Regression!$L$14*Multiple_Regression!B212+Multiple_Regression!$L$15*Multiple_Regression!C212+Multiple_Regression!$L$16*Multiple_Regression!D212+Multiple_Regression!$L$17*Multiple_Regression!E212+Multiple_Regression!$L$18*Multiple_Regression!F212+Multiple_Regression!$L$19*Multiple_Regression!G212</f>
        <v>767689.689943908</v>
      </c>
      <c r="G212" s="20" t="n">
        <f aca="false">E212-F212</f>
        <v>-91772.0599439084</v>
      </c>
      <c r="H212" s="20" t="n">
        <f aca="false">ABS(G212)</f>
        <v>91772.0599439084</v>
      </c>
    </row>
    <row r="213" customFormat="false" ht="15" hidden="false" customHeight="true" outlineLevel="0" collapsed="false">
      <c r="A213" s="3" t="str">
        <f aca="false">Model_Data!A212</f>
        <v>STR-1053</v>
      </c>
      <c r="B213" s="4" t="n">
        <f aca="false">Model_Data!B212</f>
        <v>45658</v>
      </c>
      <c r="C213" s="3" t="str">
        <f aca="false">Model_Data!C212</f>
        <v>East</v>
      </c>
      <c r="D213" s="3" t="str">
        <f aca="false">Model_Data!D212</f>
        <v>High Street</v>
      </c>
      <c r="E213" s="20" t="n">
        <f aca="false">Multiple_Regression!H213</f>
        <v>810446.53</v>
      </c>
      <c r="F213" s="20" t="n">
        <f aca="false">Multiple_Regression!$L$12+Multiple_Regression!$L$13*Multiple_Regression!A213+Multiple_Regression!$L$14*Multiple_Regression!B213+Multiple_Regression!$L$15*Multiple_Regression!C213+Multiple_Regression!$L$16*Multiple_Regression!D213+Multiple_Regression!$L$17*Multiple_Regression!E213+Multiple_Regression!$L$18*Multiple_Regression!F213+Multiple_Regression!$L$19*Multiple_Regression!G213</f>
        <v>807113.362086502</v>
      </c>
      <c r="G213" s="20" t="n">
        <f aca="false">E213-F213</f>
        <v>3333.16791349847</v>
      </c>
      <c r="H213" s="20" t="n">
        <f aca="false">ABS(G213)</f>
        <v>3333.16791349847</v>
      </c>
    </row>
    <row r="214" customFormat="false" ht="15" hidden="false" customHeight="true" outlineLevel="0" collapsed="false">
      <c r="A214" s="3" t="str">
        <f aca="false">Model_Data!A213</f>
        <v>STR-1053</v>
      </c>
      <c r="B214" s="4" t="n">
        <f aca="false">Model_Data!B213</f>
        <v>45689</v>
      </c>
      <c r="C214" s="3" t="str">
        <f aca="false">Model_Data!C213</f>
        <v>East</v>
      </c>
      <c r="D214" s="3" t="str">
        <f aca="false">Model_Data!D213</f>
        <v>High Street</v>
      </c>
      <c r="E214" s="20" t="n">
        <f aca="false">Multiple_Regression!H214</f>
        <v>691288.19</v>
      </c>
      <c r="F214" s="20" t="n">
        <f aca="false">Multiple_Regression!$L$12+Multiple_Regression!$L$13*Multiple_Regression!A214+Multiple_Regression!$L$14*Multiple_Regression!B214+Multiple_Regression!$L$15*Multiple_Regression!C214+Multiple_Regression!$L$16*Multiple_Regression!D214+Multiple_Regression!$L$17*Multiple_Regression!E214+Multiple_Regression!$L$18*Multiple_Regression!F214+Multiple_Regression!$L$19*Multiple_Regression!G214</f>
        <v>773405.077257295</v>
      </c>
      <c r="G214" s="20" t="n">
        <f aca="false">E214-F214</f>
        <v>-82116.8872572949</v>
      </c>
      <c r="H214" s="20" t="n">
        <f aca="false">ABS(G214)</f>
        <v>82116.8872572949</v>
      </c>
    </row>
    <row r="215" customFormat="false" ht="15" hidden="false" customHeight="true" outlineLevel="0" collapsed="false">
      <c r="A215" s="3" t="str">
        <f aca="false">Model_Data!A214</f>
        <v>STR-1053</v>
      </c>
      <c r="B215" s="4" t="n">
        <f aca="false">Model_Data!B214</f>
        <v>45717</v>
      </c>
      <c r="C215" s="3" t="str">
        <f aca="false">Model_Data!C214</f>
        <v>East</v>
      </c>
      <c r="D215" s="3" t="str">
        <f aca="false">Model_Data!D214</f>
        <v>High Street</v>
      </c>
      <c r="E215" s="20" t="n">
        <f aca="false">Multiple_Regression!H215</f>
        <v>946833.54</v>
      </c>
      <c r="F215" s="20" t="n">
        <f aca="false">Multiple_Regression!$L$12+Multiple_Regression!$L$13*Multiple_Regression!A215+Multiple_Regression!$L$14*Multiple_Regression!B215+Multiple_Regression!$L$15*Multiple_Regression!C215+Multiple_Regression!$L$16*Multiple_Regression!D215+Multiple_Regression!$L$17*Multiple_Regression!E215+Multiple_Regression!$L$18*Multiple_Regression!F215+Multiple_Regression!$L$19*Multiple_Regression!G215</f>
        <v>969513.975471787</v>
      </c>
      <c r="G215" s="20" t="n">
        <f aca="false">E215-F215</f>
        <v>-22680.4354717864</v>
      </c>
      <c r="H215" s="20" t="n">
        <f aca="false">ABS(G215)</f>
        <v>22680.4354717864</v>
      </c>
    </row>
    <row r="216" customFormat="false" ht="15" hidden="false" customHeight="true" outlineLevel="0" collapsed="false">
      <c r="A216" s="3" t="str">
        <f aca="false">Model_Data!A215</f>
        <v>STR-1053</v>
      </c>
      <c r="B216" s="4" t="n">
        <f aca="false">Model_Data!B215</f>
        <v>45748</v>
      </c>
      <c r="C216" s="3" t="str">
        <f aca="false">Model_Data!C215</f>
        <v>East</v>
      </c>
      <c r="D216" s="3" t="str">
        <f aca="false">Model_Data!D215</f>
        <v>High Street</v>
      </c>
      <c r="E216" s="20" t="n">
        <f aca="false">Multiple_Regression!H216</f>
        <v>761963.23</v>
      </c>
      <c r="F216" s="20" t="n">
        <f aca="false">Multiple_Regression!$L$12+Multiple_Regression!$L$13*Multiple_Regression!A216+Multiple_Regression!$L$14*Multiple_Regression!B216+Multiple_Regression!$L$15*Multiple_Regression!C216+Multiple_Regression!$L$16*Multiple_Regression!D216+Multiple_Regression!$L$17*Multiple_Regression!E216+Multiple_Regression!$L$18*Multiple_Regression!F216+Multiple_Regression!$L$19*Multiple_Regression!G216</f>
        <v>778415.368208675</v>
      </c>
      <c r="G216" s="20" t="n">
        <f aca="false">E216-F216</f>
        <v>-16452.1382086749</v>
      </c>
      <c r="H216" s="20" t="n">
        <f aca="false">ABS(G216)</f>
        <v>16452.1382086749</v>
      </c>
    </row>
    <row r="217" customFormat="false" ht="15" hidden="false" customHeight="true" outlineLevel="0" collapsed="false">
      <c r="A217" s="3" t="str">
        <f aca="false">Model_Data!A216</f>
        <v>STR-1054</v>
      </c>
      <c r="B217" s="4" t="n">
        <f aca="false">Model_Data!B216</f>
        <v>45658</v>
      </c>
      <c r="C217" s="3" t="str">
        <f aca="false">Model_Data!C216</f>
        <v>West</v>
      </c>
      <c r="D217" s="3" t="str">
        <f aca="false">Model_Data!D216</f>
        <v>Residential</v>
      </c>
      <c r="E217" s="20" t="n">
        <f aca="false">Multiple_Regression!H217</f>
        <v>812152.6</v>
      </c>
      <c r="F217" s="20" t="n">
        <f aca="false">Multiple_Regression!$L$12+Multiple_Regression!$L$13*Multiple_Regression!A217+Multiple_Regression!$L$14*Multiple_Regression!B217+Multiple_Regression!$L$15*Multiple_Regression!C217+Multiple_Regression!$L$16*Multiple_Regression!D217+Multiple_Regression!$L$17*Multiple_Regression!E217+Multiple_Regression!$L$18*Multiple_Regression!F217+Multiple_Regression!$L$19*Multiple_Regression!G217</f>
        <v>763472.405015723</v>
      </c>
      <c r="G217" s="20" t="n">
        <f aca="false">E217-F217</f>
        <v>48680.1949842774</v>
      </c>
      <c r="H217" s="20" t="n">
        <f aca="false">ABS(G217)</f>
        <v>48680.1949842774</v>
      </c>
    </row>
    <row r="218" customFormat="false" ht="15" hidden="false" customHeight="true" outlineLevel="0" collapsed="false">
      <c r="A218" s="3" t="str">
        <f aca="false">Model_Data!A217</f>
        <v>STR-1054</v>
      </c>
      <c r="B218" s="4" t="n">
        <f aca="false">Model_Data!B217</f>
        <v>45689</v>
      </c>
      <c r="C218" s="3" t="str">
        <f aca="false">Model_Data!C217</f>
        <v>West</v>
      </c>
      <c r="D218" s="3" t="str">
        <f aca="false">Model_Data!D217</f>
        <v>Residential</v>
      </c>
      <c r="E218" s="20" t="n">
        <f aca="false">Multiple_Regression!H218</f>
        <v>804975.5</v>
      </c>
      <c r="F218" s="20" t="n">
        <f aca="false">Multiple_Regression!$L$12+Multiple_Regression!$L$13*Multiple_Regression!A218+Multiple_Regression!$L$14*Multiple_Regression!B218+Multiple_Regression!$L$15*Multiple_Regression!C218+Multiple_Regression!$L$16*Multiple_Regression!D218+Multiple_Regression!$L$17*Multiple_Regression!E218+Multiple_Regression!$L$18*Multiple_Regression!F218+Multiple_Regression!$L$19*Multiple_Regression!G218</f>
        <v>750198.140570516</v>
      </c>
      <c r="G218" s="20" t="n">
        <f aca="false">E218-F218</f>
        <v>54777.359429484</v>
      </c>
      <c r="H218" s="20" t="n">
        <f aca="false">ABS(G218)</f>
        <v>54777.359429484</v>
      </c>
    </row>
    <row r="219" customFormat="false" ht="15" hidden="false" customHeight="true" outlineLevel="0" collapsed="false">
      <c r="A219" s="3" t="str">
        <f aca="false">Model_Data!A218</f>
        <v>STR-1054</v>
      </c>
      <c r="B219" s="4" t="n">
        <f aca="false">Model_Data!B218</f>
        <v>45717</v>
      </c>
      <c r="C219" s="3" t="str">
        <f aca="false">Model_Data!C218</f>
        <v>West</v>
      </c>
      <c r="D219" s="3" t="str">
        <f aca="false">Model_Data!D218</f>
        <v>Residential</v>
      </c>
      <c r="E219" s="20" t="n">
        <f aca="false">Multiple_Regression!H219</f>
        <v>752321.72</v>
      </c>
      <c r="F219" s="20" t="n">
        <f aca="false">Multiple_Regression!$L$12+Multiple_Regression!$L$13*Multiple_Regression!A219+Multiple_Regression!$L$14*Multiple_Regression!B219+Multiple_Regression!$L$15*Multiple_Regression!C219+Multiple_Regression!$L$16*Multiple_Regression!D219+Multiple_Regression!$L$17*Multiple_Regression!E219+Multiple_Regression!$L$18*Multiple_Regression!F219+Multiple_Regression!$L$19*Multiple_Regression!G219</f>
        <v>750240.410931463</v>
      </c>
      <c r="G219" s="20" t="n">
        <f aca="false">E219-F219</f>
        <v>2081.30906853732</v>
      </c>
      <c r="H219" s="20" t="n">
        <f aca="false">ABS(G219)</f>
        <v>2081.30906853732</v>
      </c>
    </row>
    <row r="220" customFormat="false" ht="15" hidden="false" customHeight="true" outlineLevel="0" collapsed="false">
      <c r="A220" s="3" t="str">
        <f aca="false">Model_Data!A219</f>
        <v>STR-1054</v>
      </c>
      <c r="B220" s="4" t="n">
        <f aca="false">Model_Data!B219</f>
        <v>45748</v>
      </c>
      <c r="C220" s="3" t="str">
        <f aca="false">Model_Data!C219</f>
        <v>West</v>
      </c>
      <c r="D220" s="3" t="str">
        <f aca="false">Model_Data!D219</f>
        <v>Residential</v>
      </c>
      <c r="E220" s="20" t="n">
        <f aca="false">Multiple_Regression!H220</f>
        <v>836908.24</v>
      </c>
      <c r="F220" s="20" t="n">
        <f aca="false">Multiple_Regression!$L$12+Multiple_Regression!$L$13*Multiple_Regression!A220+Multiple_Regression!$L$14*Multiple_Regression!B220+Multiple_Regression!$L$15*Multiple_Regression!C220+Multiple_Regression!$L$16*Multiple_Regression!D220+Multiple_Regression!$L$17*Multiple_Regression!E220+Multiple_Regression!$L$18*Multiple_Regression!F220+Multiple_Regression!$L$19*Multiple_Regression!G220</f>
        <v>810065.403047375</v>
      </c>
      <c r="G220" s="20" t="n">
        <f aca="false">E220-F220</f>
        <v>26842.8369526246</v>
      </c>
      <c r="H220" s="20" t="n">
        <f aca="false">ABS(G220)</f>
        <v>26842.8369526246</v>
      </c>
    </row>
    <row r="221" customFormat="false" ht="15" hidden="false" customHeight="true" outlineLevel="0" collapsed="false">
      <c r="A221" s="3" t="str">
        <f aca="false">Model_Data!A220</f>
        <v>STR-1055</v>
      </c>
      <c r="B221" s="4" t="n">
        <f aca="false">Model_Data!B220</f>
        <v>45658</v>
      </c>
      <c r="C221" s="3" t="str">
        <f aca="false">Model_Data!C220</f>
        <v>North</v>
      </c>
      <c r="D221" s="3" t="str">
        <f aca="false">Model_Data!D220</f>
        <v>Airport</v>
      </c>
      <c r="E221" s="20" t="n">
        <f aca="false">Multiple_Regression!H221</f>
        <v>674289.1</v>
      </c>
      <c r="F221" s="20" t="n">
        <f aca="false">Multiple_Regression!$L$12+Multiple_Regression!$L$13*Multiple_Regression!A221+Multiple_Regression!$L$14*Multiple_Regression!B221+Multiple_Regression!$L$15*Multiple_Regression!C221+Multiple_Regression!$L$16*Multiple_Regression!D221+Multiple_Regression!$L$17*Multiple_Regression!E221+Multiple_Regression!$L$18*Multiple_Regression!F221+Multiple_Regression!$L$19*Multiple_Regression!G221</f>
        <v>662409.694849021</v>
      </c>
      <c r="G221" s="20" t="n">
        <f aca="false">E221-F221</f>
        <v>11879.4051509793</v>
      </c>
      <c r="H221" s="20" t="n">
        <f aca="false">ABS(G221)</f>
        <v>11879.4051509793</v>
      </c>
    </row>
    <row r="222" customFormat="false" ht="15" hidden="false" customHeight="true" outlineLevel="0" collapsed="false">
      <c r="A222" s="3" t="str">
        <f aca="false">Model_Data!A221</f>
        <v>STR-1055</v>
      </c>
      <c r="B222" s="4" t="n">
        <f aca="false">Model_Data!B221</f>
        <v>45689</v>
      </c>
      <c r="C222" s="3" t="str">
        <f aca="false">Model_Data!C221</f>
        <v>North</v>
      </c>
      <c r="D222" s="3" t="str">
        <f aca="false">Model_Data!D221</f>
        <v>Airport</v>
      </c>
      <c r="E222" s="20" t="n">
        <f aca="false">Multiple_Regression!H222</f>
        <v>622892.42</v>
      </c>
      <c r="F222" s="20" t="n">
        <f aca="false">Multiple_Regression!$L$12+Multiple_Regression!$L$13*Multiple_Regression!A222+Multiple_Regression!$L$14*Multiple_Regression!B222+Multiple_Regression!$L$15*Multiple_Regression!C222+Multiple_Regression!$L$16*Multiple_Regression!D222+Multiple_Regression!$L$17*Multiple_Regression!E222+Multiple_Regression!$L$18*Multiple_Regression!F222+Multiple_Regression!$L$19*Multiple_Regression!G222</f>
        <v>635742.917548614</v>
      </c>
      <c r="G222" s="20" t="n">
        <f aca="false">E222-F222</f>
        <v>-12850.4975486143</v>
      </c>
      <c r="H222" s="20" t="n">
        <f aca="false">ABS(G222)</f>
        <v>12850.4975486143</v>
      </c>
    </row>
    <row r="223" customFormat="false" ht="15" hidden="false" customHeight="true" outlineLevel="0" collapsed="false">
      <c r="A223" s="3" t="str">
        <f aca="false">Model_Data!A222</f>
        <v>STR-1055</v>
      </c>
      <c r="B223" s="4" t="n">
        <f aca="false">Model_Data!B222</f>
        <v>45717</v>
      </c>
      <c r="C223" s="3" t="str">
        <f aca="false">Model_Data!C222</f>
        <v>North</v>
      </c>
      <c r="D223" s="3" t="str">
        <f aca="false">Model_Data!D222</f>
        <v>Airport</v>
      </c>
      <c r="E223" s="20" t="n">
        <f aca="false">Multiple_Regression!H223</f>
        <v>673348.56</v>
      </c>
      <c r="F223" s="20" t="n">
        <f aca="false">Multiple_Regression!$L$12+Multiple_Regression!$L$13*Multiple_Regression!A223+Multiple_Regression!$L$14*Multiple_Regression!B223+Multiple_Regression!$L$15*Multiple_Regression!C223+Multiple_Regression!$L$16*Multiple_Regression!D223+Multiple_Regression!$L$17*Multiple_Regression!E223+Multiple_Regression!$L$18*Multiple_Regression!F223+Multiple_Regression!$L$19*Multiple_Regression!G223</f>
        <v>636427.731001688</v>
      </c>
      <c r="G223" s="20" t="n">
        <f aca="false">E223-F223</f>
        <v>36920.828998312</v>
      </c>
      <c r="H223" s="20" t="n">
        <f aca="false">ABS(G223)</f>
        <v>36920.828998312</v>
      </c>
    </row>
    <row r="224" customFormat="false" ht="15" hidden="false" customHeight="true" outlineLevel="0" collapsed="false">
      <c r="A224" s="3" t="str">
        <f aca="false">Model_Data!A223</f>
        <v>STR-1055</v>
      </c>
      <c r="B224" s="4" t="n">
        <f aca="false">Model_Data!B223</f>
        <v>45748</v>
      </c>
      <c r="C224" s="3" t="str">
        <f aca="false">Model_Data!C223</f>
        <v>North</v>
      </c>
      <c r="D224" s="3" t="str">
        <f aca="false">Model_Data!D223</f>
        <v>Airport</v>
      </c>
      <c r="E224" s="20" t="n">
        <f aca="false">Multiple_Regression!H224</f>
        <v>606278.3</v>
      </c>
      <c r="F224" s="20" t="n">
        <f aca="false">Multiple_Regression!$L$12+Multiple_Regression!$L$13*Multiple_Regression!A224+Multiple_Regression!$L$14*Multiple_Regression!B224+Multiple_Regression!$L$15*Multiple_Regression!C224+Multiple_Regression!$L$16*Multiple_Regression!D224+Multiple_Regression!$L$17*Multiple_Regression!E224+Multiple_Regression!$L$18*Multiple_Regression!F224+Multiple_Regression!$L$19*Multiple_Regression!G224</f>
        <v>615454.163734646</v>
      </c>
      <c r="G224" s="20" t="n">
        <f aca="false">E224-F224</f>
        <v>-9175.86373464577</v>
      </c>
      <c r="H224" s="20" t="n">
        <f aca="false">ABS(G224)</f>
        <v>9175.86373464577</v>
      </c>
    </row>
    <row r="225" customFormat="false" ht="15" hidden="false" customHeight="true" outlineLevel="0" collapsed="false">
      <c r="A225" s="3" t="str">
        <f aca="false">Model_Data!A224</f>
        <v>STR-1056</v>
      </c>
      <c r="B225" s="4" t="n">
        <f aca="false">Model_Data!B224</f>
        <v>45658</v>
      </c>
      <c r="C225" s="3" t="str">
        <f aca="false">Model_Data!C224</f>
        <v>East</v>
      </c>
      <c r="D225" s="3" t="str">
        <f aca="false">Model_Data!D224</f>
        <v>High Street</v>
      </c>
      <c r="E225" s="20" t="n">
        <f aca="false">Multiple_Regression!H225</f>
        <v>712219.81</v>
      </c>
      <c r="F225" s="20" t="n">
        <f aca="false">Multiple_Regression!$L$12+Multiple_Regression!$L$13*Multiple_Regression!A225+Multiple_Regression!$L$14*Multiple_Regression!B225+Multiple_Regression!$L$15*Multiple_Regression!C225+Multiple_Regression!$L$16*Multiple_Regression!D225+Multiple_Regression!$L$17*Multiple_Regression!E225+Multiple_Regression!$L$18*Multiple_Regression!F225+Multiple_Regression!$L$19*Multiple_Regression!G225</f>
        <v>707866.429009294</v>
      </c>
      <c r="G225" s="20" t="n">
        <f aca="false">E225-F225</f>
        <v>4353.38099070638</v>
      </c>
      <c r="H225" s="20" t="n">
        <f aca="false">ABS(G225)</f>
        <v>4353.38099070638</v>
      </c>
    </row>
    <row r="226" customFormat="false" ht="15" hidden="false" customHeight="true" outlineLevel="0" collapsed="false">
      <c r="A226" s="3" t="str">
        <f aca="false">Model_Data!A225</f>
        <v>STR-1056</v>
      </c>
      <c r="B226" s="4" t="n">
        <f aca="false">Model_Data!B225</f>
        <v>45689</v>
      </c>
      <c r="C226" s="3" t="str">
        <f aca="false">Model_Data!C225</f>
        <v>East</v>
      </c>
      <c r="D226" s="3" t="str">
        <f aca="false">Model_Data!D225</f>
        <v>High Street</v>
      </c>
      <c r="E226" s="20" t="n">
        <f aca="false">Multiple_Regression!H226</f>
        <v>672670.54</v>
      </c>
      <c r="F226" s="20" t="n">
        <f aca="false">Multiple_Regression!$L$12+Multiple_Regression!$L$13*Multiple_Regression!A226+Multiple_Regression!$L$14*Multiple_Regression!B226+Multiple_Regression!$L$15*Multiple_Regression!C226+Multiple_Regression!$L$16*Multiple_Regression!D226+Multiple_Regression!$L$17*Multiple_Regression!E226+Multiple_Regression!$L$18*Multiple_Regression!F226+Multiple_Regression!$L$19*Multiple_Regression!G226</f>
        <v>683382.883811805</v>
      </c>
      <c r="G226" s="20" t="n">
        <f aca="false">E226-F226</f>
        <v>-10712.3438118048</v>
      </c>
      <c r="H226" s="20" t="n">
        <f aca="false">ABS(G226)</f>
        <v>10712.3438118048</v>
      </c>
    </row>
    <row r="227" customFormat="false" ht="15" hidden="false" customHeight="true" outlineLevel="0" collapsed="false">
      <c r="A227" s="3" t="str">
        <f aca="false">Model_Data!A226</f>
        <v>STR-1056</v>
      </c>
      <c r="B227" s="4" t="n">
        <f aca="false">Model_Data!B226</f>
        <v>45717</v>
      </c>
      <c r="C227" s="3" t="str">
        <f aca="false">Model_Data!C226</f>
        <v>East</v>
      </c>
      <c r="D227" s="3" t="str">
        <f aca="false">Model_Data!D226</f>
        <v>High Street</v>
      </c>
      <c r="E227" s="20" t="n">
        <f aca="false">Multiple_Regression!H227</f>
        <v>732667.92</v>
      </c>
      <c r="F227" s="20" t="n">
        <f aca="false">Multiple_Regression!$L$12+Multiple_Regression!$L$13*Multiple_Regression!A227+Multiple_Regression!$L$14*Multiple_Regression!B227+Multiple_Regression!$L$15*Multiple_Regression!C227+Multiple_Regression!$L$16*Multiple_Regression!D227+Multiple_Regression!$L$17*Multiple_Regression!E227+Multiple_Regression!$L$18*Multiple_Regression!F227+Multiple_Regression!$L$19*Multiple_Regression!G227</f>
        <v>744707.036718462</v>
      </c>
      <c r="G227" s="20" t="n">
        <f aca="false">E227-F227</f>
        <v>-12039.1167184621</v>
      </c>
      <c r="H227" s="20" t="n">
        <f aca="false">ABS(G227)</f>
        <v>12039.1167184621</v>
      </c>
    </row>
    <row r="228" customFormat="false" ht="15" hidden="false" customHeight="true" outlineLevel="0" collapsed="false">
      <c r="A228" s="3" t="str">
        <f aca="false">Model_Data!A227</f>
        <v>STR-1056</v>
      </c>
      <c r="B228" s="4" t="n">
        <f aca="false">Model_Data!B227</f>
        <v>45748</v>
      </c>
      <c r="C228" s="3" t="str">
        <f aca="false">Model_Data!C227</f>
        <v>East</v>
      </c>
      <c r="D228" s="3" t="str">
        <f aca="false">Model_Data!D227</f>
        <v>High Street</v>
      </c>
      <c r="E228" s="20" t="n">
        <f aca="false">Multiple_Regression!H228</f>
        <v>723531.4</v>
      </c>
      <c r="F228" s="20" t="n">
        <f aca="false">Multiple_Regression!$L$12+Multiple_Regression!$L$13*Multiple_Regression!A228+Multiple_Regression!$L$14*Multiple_Regression!B228+Multiple_Regression!$L$15*Multiple_Regression!C228+Multiple_Regression!$L$16*Multiple_Regression!D228+Multiple_Regression!$L$17*Multiple_Regression!E228+Multiple_Regression!$L$18*Multiple_Regression!F228+Multiple_Regression!$L$19*Multiple_Regression!G228</f>
        <v>769201.665400135</v>
      </c>
      <c r="G228" s="20" t="n">
        <f aca="false">E228-F228</f>
        <v>-45670.2654001348</v>
      </c>
      <c r="H228" s="20" t="n">
        <f aca="false">ABS(G228)</f>
        <v>45670.2654001348</v>
      </c>
    </row>
    <row r="229" customFormat="false" ht="15" hidden="false" customHeight="true" outlineLevel="0" collapsed="false">
      <c r="A229" s="3" t="str">
        <f aca="false">Model_Data!A228</f>
        <v>STR-1057</v>
      </c>
      <c r="B229" s="4" t="n">
        <f aca="false">Model_Data!B228</f>
        <v>45658</v>
      </c>
      <c r="C229" s="3" t="str">
        <f aca="false">Model_Data!C228</f>
        <v>East</v>
      </c>
      <c r="D229" s="3" t="str">
        <f aca="false">Model_Data!D228</f>
        <v>Mall</v>
      </c>
      <c r="E229" s="20" t="n">
        <f aca="false">Multiple_Regression!H229</f>
        <v>641564.6</v>
      </c>
      <c r="F229" s="20" t="n">
        <f aca="false">Multiple_Regression!$L$12+Multiple_Regression!$L$13*Multiple_Regression!A229+Multiple_Regression!$L$14*Multiple_Regression!B229+Multiple_Regression!$L$15*Multiple_Regression!C229+Multiple_Regression!$L$16*Multiple_Regression!D229+Multiple_Regression!$L$17*Multiple_Regression!E229+Multiple_Regression!$L$18*Multiple_Regression!F229+Multiple_Regression!$L$19*Multiple_Regression!G229</f>
        <v>622740.838892925</v>
      </c>
      <c r="G229" s="20" t="n">
        <f aca="false">E229-F229</f>
        <v>18823.7611070749</v>
      </c>
      <c r="H229" s="20" t="n">
        <f aca="false">ABS(G229)</f>
        <v>18823.7611070749</v>
      </c>
    </row>
    <row r="230" customFormat="false" ht="15" hidden="false" customHeight="true" outlineLevel="0" collapsed="false">
      <c r="A230" s="3" t="str">
        <f aca="false">Model_Data!A229</f>
        <v>STR-1057</v>
      </c>
      <c r="B230" s="4" t="n">
        <f aca="false">Model_Data!B229</f>
        <v>45689</v>
      </c>
      <c r="C230" s="3" t="str">
        <f aca="false">Model_Data!C229</f>
        <v>East</v>
      </c>
      <c r="D230" s="3" t="str">
        <f aca="false">Model_Data!D229</f>
        <v>Mall</v>
      </c>
      <c r="E230" s="20" t="n">
        <f aca="false">Multiple_Regression!H230</f>
        <v>536545.49</v>
      </c>
      <c r="F230" s="20" t="n">
        <f aca="false">Multiple_Regression!$L$12+Multiple_Regression!$L$13*Multiple_Regression!A230+Multiple_Regression!$L$14*Multiple_Regression!B230+Multiple_Regression!$L$15*Multiple_Regression!C230+Multiple_Regression!$L$16*Multiple_Regression!D230+Multiple_Regression!$L$17*Multiple_Regression!E230+Multiple_Regression!$L$18*Multiple_Regression!F230+Multiple_Regression!$L$19*Multiple_Regression!G230</f>
        <v>542713.753189147</v>
      </c>
      <c r="G230" s="20" t="n">
        <f aca="false">E230-F230</f>
        <v>-6168.26318914711</v>
      </c>
      <c r="H230" s="20" t="n">
        <f aca="false">ABS(G230)</f>
        <v>6168.26318914711</v>
      </c>
    </row>
    <row r="231" customFormat="false" ht="15" hidden="false" customHeight="true" outlineLevel="0" collapsed="false">
      <c r="A231" s="3" t="str">
        <f aca="false">Model_Data!A230</f>
        <v>STR-1057</v>
      </c>
      <c r="B231" s="4" t="n">
        <f aca="false">Model_Data!B230</f>
        <v>45717</v>
      </c>
      <c r="C231" s="3" t="str">
        <f aca="false">Model_Data!C230</f>
        <v>East</v>
      </c>
      <c r="D231" s="3" t="str">
        <f aca="false">Model_Data!D230</f>
        <v>Mall</v>
      </c>
      <c r="E231" s="20" t="n">
        <f aca="false">Multiple_Regression!H231</f>
        <v>527681.56</v>
      </c>
      <c r="F231" s="20" t="n">
        <f aca="false">Multiple_Regression!$L$12+Multiple_Regression!$L$13*Multiple_Regression!A231+Multiple_Regression!$L$14*Multiple_Regression!B231+Multiple_Regression!$L$15*Multiple_Regression!C231+Multiple_Regression!$L$16*Multiple_Regression!D231+Multiple_Regression!$L$17*Multiple_Regression!E231+Multiple_Regression!$L$18*Multiple_Regression!F231+Multiple_Regression!$L$19*Multiple_Regression!G231</f>
        <v>568356.677431756</v>
      </c>
      <c r="G231" s="20" t="n">
        <f aca="false">E231-F231</f>
        <v>-40675.117431756</v>
      </c>
      <c r="H231" s="20" t="n">
        <f aca="false">ABS(G231)</f>
        <v>40675.117431756</v>
      </c>
    </row>
    <row r="232" customFormat="false" ht="15" hidden="false" customHeight="true" outlineLevel="0" collapsed="false">
      <c r="A232" s="3" t="str">
        <f aca="false">Model_Data!A231</f>
        <v>STR-1057</v>
      </c>
      <c r="B232" s="4" t="n">
        <f aca="false">Model_Data!B231</f>
        <v>45748</v>
      </c>
      <c r="C232" s="3" t="str">
        <f aca="false">Model_Data!C231</f>
        <v>East</v>
      </c>
      <c r="D232" s="3" t="str">
        <f aca="false">Model_Data!D231</f>
        <v>Mall</v>
      </c>
      <c r="E232" s="20" t="n">
        <f aca="false">Multiple_Regression!H232</f>
        <v>529598.94</v>
      </c>
      <c r="F232" s="20" t="n">
        <f aca="false">Multiple_Regression!$L$12+Multiple_Regression!$L$13*Multiple_Regression!A232+Multiple_Regression!$L$14*Multiple_Regression!B232+Multiple_Regression!$L$15*Multiple_Regression!C232+Multiple_Regression!$L$16*Multiple_Regression!D232+Multiple_Regression!$L$17*Multiple_Regression!E232+Multiple_Regression!$L$18*Multiple_Regression!F232+Multiple_Regression!$L$19*Multiple_Regression!G232</f>
        <v>520121.806478828</v>
      </c>
      <c r="G232" s="20" t="n">
        <f aca="false">E232-F232</f>
        <v>9477.13352117193</v>
      </c>
      <c r="H232" s="20" t="n">
        <f aca="false">ABS(G232)</f>
        <v>9477.13352117193</v>
      </c>
    </row>
    <row r="233" customFormat="false" ht="15" hidden="false" customHeight="true" outlineLevel="0" collapsed="false">
      <c r="A233" s="3" t="str">
        <f aca="false">Model_Data!A232</f>
        <v>STR-1058</v>
      </c>
      <c r="B233" s="4" t="n">
        <f aca="false">Model_Data!B232</f>
        <v>45658</v>
      </c>
      <c r="C233" s="3" t="str">
        <f aca="false">Model_Data!C232</f>
        <v>East</v>
      </c>
      <c r="D233" s="3" t="str">
        <f aca="false">Model_Data!D232</f>
        <v>High Street</v>
      </c>
      <c r="E233" s="20" t="n">
        <f aca="false">Multiple_Regression!H233</f>
        <v>570963.31</v>
      </c>
      <c r="F233" s="20" t="n">
        <f aca="false">Multiple_Regression!$L$12+Multiple_Regression!$L$13*Multiple_Regression!A233+Multiple_Regression!$L$14*Multiple_Regression!B233+Multiple_Regression!$L$15*Multiple_Regression!C233+Multiple_Regression!$L$16*Multiple_Regression!D233+Multiple_Regression!$L$17*Multiple_Regression!E233+Multiple_Regression!$L$18*Multiple_Regression!F233+Multiple_Regression!$L$19*Multiple_Regression!G233</f>
        <v>634572.967562218</v>
      </c>
      <c r="G233" s="20" t="n">
        <f aca="false">E233-F233</f>
        <v>-63609.6575622181</v>
      </c>
      <c r="H233" s="20" t="n">
        <f aca="false">ABS(G233)</f>
        <v>63609.6575622181</v>
      </c>
    </row>
    <row r="234" customFormat="false" ht="15" hidden="false" customHeight="true" outlineLevel="0" collapsed="false">
      <c r="A234" s="3" t="str">
        <f aca="false">Model_Data!A233</f>
        <v>STR-1058</v>
      </c>
      <c r="B234" s="4" t="n">
        <f aca="false">Model_Data!B233</f>
        <v>45689</v>
      </c>
      <c r="C234" s="3" t="str">
        <f aca="false">Model_Data!C233</f>
        <v>East</v>
      </c>
      <c r="D234" s="3" t="str">
        <f aca="false">Model_Data!D233</f>
        <v>High Street</v>
      </c>
      <c r="E234" s="20" t="n">
        <f aca="false">Multiple_Regression!H234</f>
        <v>870937.4</v>
      </c>
      <c r="F234" s="20" t="n">
        <f aca="false">Multiple_Regression!$L$12+Multiple_Regression!$L$13*Multiple_Regression!A234+Multiple_Regression!$L$14*Multiple_Regression!B234+Multiple_Regression!$L$15*Multiple_Regression!C234+Multiple_Regression!$L$16*Multiple_Regression!D234+Multiple_Regression!$L$17*Multiple_Regression!E234+Multiple_Regression!$L$18*Multiple_Regression!F234+Multiple_Regression!$L$19*Multiple_Regression!G234</f>
        <v>817939.951224082</v>
      </c>
      <c r="G234" s="20" t="n">
        <f aca="false">E234-F234</f>
        <v>52997.4487759179</v>
      </c>
      <c r="H234" s="20" t="n">
        <f aca="false">ABS(G234)</f>
        <v>52997.4487759179</v>
      </c>
    </row>
    <row r="235" customFormat="false" ht="15" hidden="false" customHeight="true" outlineLevel="0" collapsed="false">
      <c r="A235" s="3" t="str">
        <f aca="false">Model_Data!A234</f>
        <v>STR-1058</v>
      </c>
      <c r="B235" s="4" t="n">
        <f aca="false">Model_Data!B234</f>
        <v>45717</v>
      </c>
      <c r="C235" s="3" t="str">
        <f aca="false">Model_Data!C234</f>
        <v>East</v>
      </c>
      <c r="D235" s="3" t="str">
        <f aca="false">Model_Data!D234</f>
        <v>High Street</v>
      </c>
      <c r="E235" s="20" t="n">
        <f aca="false">Multiple_Regression!H235</f>
        <v>596969.27</v>
      </c>
      <c r="F235" s="20" t="n">
        <f aca="false">Multiple_Regression!$L$12+Multiple_Regression!$L$13*Multiple_Regression!A235+Multiple_Regression!$L$14*Multiple_Regression!B235+Multiple_Regression!$L$15*Multiple_Regression!C235+Multiple_Regression!$L$16*Multiple_Regression!D235+Multiple_Regression!$L$17*Multiple_Regression!E235+Multiple_Regression!$L$18*Multiple_Regression!F235+Multiple_Regression!$L$19*Multiple_Regression!G235</f>
        <v>639254.483037861</v>
      </c>
      <c r="G235" s="20" t="n">
        <f aca="false">E235-F235</f>
        <v>-42285.2130378612</v>
      </c>
      <c r="H235" s="20" t="n">
        <f aca="false">ABS(G235)</f>
        <v>42285.2130378612</v>
      </c>
    </row>
    <row r="236" customFormat="false" ht="15" hidden="false" customHeight="true" outlineLevel="0" collapsed="false">
      <c r="A236" s="3" t="str">
        <f aca="false">Model_Data!A235</f>
        <v>STR-1058</v>
      </c>
      <c r="B236" s="4" t="n">
        <f aca="false">Model_Data!B235</f>
        <v>45748</v>
      </c>
      <c r="C236" s="3" t="str">
        <f aca="false">Model_Data!C235</f>
        <v>East</v>
      </c>
      <c r="D236" s="3" t="str">
        <f aca="false">Model_Data!D235</f>
        <v>High Street</v>
      </c>
      <c r="E236" s="20" t="n">
        <f aca="false">Multiple_Regression!H236</f>
        <v>647512.85</v>
      </c>
      <c r="F236" s="20" t="n">
        <f aca="false">Multiple_Regression!$L$12+Multiple_Regression!$L$13*Multiple_Regression!A236+Multiple_Regression!$L$14*Multiple_Regression!B236+Multiple_Regression!$L$15*Multiple_Regression!C236+Multiple_Regression!$L$16*Multiple_Regression!D236+Multiple_Regression!$L$17*Multiple_Regression!E236+Multiple_Regression!$L$18*Multiple_Regression!F236+Multiple_Regression!$L$19*Multiple_Regression!G236</f>
        <v>637025.165028421</v>
      </c>
      <c r="G236" s="20" t="n">
        <f aca="false">E236-F236</f>
        <v>10487.6849715792</v>
      </c>
      <c r="H236" s="20" t="n">
        <f aca="false">ABS(G236)</f>
        <v>10487.6849715792</v>
      </c>
    </row>
    <row r="237" customFormat="false" ht="15" hidden="false" customHeight="true" outlineLevel="0" collapsed="false">
      <c r="A237" s="3" t="str">
        <f aca="false">Model_Data!A236</f>
        <v>STR-1059</v>
      </c>
      <c r="B237" s="4" t="n">
        <f aca="false">Model_Data!B236</f>
        <v>45658</v>
      </c>
      <c r="C237" s="3" t="str">
        <f aca="false">Model_Data!C236</f>
        <v>West</v>
      </c>
      <c r="D237" s="3" t="str">
        <f aca="false">Model_Data!D236</f>
        <v>Residential</v>
      </c>
      <c r="E237" s="20" t="n">
        <f aca="false">Multiple_Regression!H237</f>
        <v>658072.14</v>
      </c>
      <c r="F237" s="20" t="n">
        <f aca="false">Multiple_Regression!$L$12+Multiple_Regression!$L$13*Multiple_Regression!A237+Multiple_Regression!$L$14*Multiple_Regression!B237+Multiple_Regression!$L$15*Multiple_Regression!C237+Multiple_Regression!$L$16*Multiple_Regression!D237+Multiple_Regression!$L$17*Multiple_Regression!E237+Multiple_Regression!$L$18*Multiple_Regression!F237+Multiple_Regression!$L$19*Multiple_Regression!G237</f>
        <v>600891.361075061</v>
      </c>
      <c r="G237" s="20" t="n">
        <f aca="false">E237-F237</f>
        <v>57180.7789249388</v>
      </c>
      <c r="H237" s="20" t="n">
        <f aca="false">ABS(G237)</f>
        <v>57180.7789249388</v>
      </c>
    </row>
    <row r="238" customFormat="false" ht="15" hidden="false" customHeight="true" outlineLevel="0" collapsed="false">
      <c r="A238" s="3" t="str">
        <f aca="false">Model_Data!A237</f>
        <v>STR-1059</v>
      </c>
      <c r="B238" s="4" t="n">
        <f aca="false">Model_Data!B237</f>
        <v>45689</v>
      </c>
      <c r="C238" s="3" t="str">
        <f aca="false">Model_Data!C237</f>
        <v>West</v>
      </c>
      <c r="D238" s="3" t="str">
        <f aca="false">Model_Data!D237</f>
        <v>Residential</v>
      </c>
      <c r="E238" s="20" t="n">
        <f aca="false">Multiple_Regression!H238</f>
        <v>723305.11</v>
      </c>
      <c r="F238" s="20" t="n">
        <f aca="false">Multiple_Regression!$L$12+Multiple_Regression!$L$13*Multiple_Regression!A238+Multiple_Regression!$L$14*Multiple_Regression!B238+Multiple_Regression!$L$15*Multiple_Regression!C238+Multiple_Regression!$L$16*Multiple_Regression!D238+Multiple_Regression!$L$17*Multiple_Regression!E238+Multiple_Regression!$L$18*Multiple_Regression!F238+Multiple_Regression!$L$19*Multiple_Regression!G238</f>
        <v>631602.293532916</v>
      </c>
      <c r="G238" s="20" t="n">
        <f aca="false">E238-F238</f>
        <v>91702.8164670838</v>
      </c>
      <c r="H238" s="20" t="n">
        <f aca="false">ABS(G238)</f>
        <v>91702.8164670838</v>
      </c>
    </row>
    <row r="239" customFormat="false" ht="15" hidden="false" customHeight="true" outlineLevel="0" collapsed="false">
      <c r="A239" s="3" t="str">
        <f aca="false">Model_Data!A238</f>
        <v>STR-1059</v>
      </c>
      <c r="B239" s="4" t="n">
        <f aca="false">Model_Data!B238</f>
        <v>45717</v>
      </c>
      <c r="C239" s="3" t="str">
        <f aca="false">Model_Data!C238</f>
        <v>West</v>
      </c>
      <c r="D239" s="3" t="str">
        <f aca="false">Model_Data!D238</f>
        <v>Residential</v>
      </c>
      <c r="E239" s="20" t="n">
        <f aca="false">Multiple_Regression!H239</f>
        <v>640666.53</v>
      </c>
      <c r="F239" s="20" t="n">
        <f aca="false">Multiple_Regression!$L$12+Multiple_Regression!$L$13*Multiple_Regression!A239+Multiple_Regression!$L$14*Multiple_Regression!B239+Multiple_Regression!$L$15*Multiple_Regression!C239+Multiple_Regression!$L$16*Multiple_Regression!D239+Multiple_Regression!$L$17*Multiple_Regression!E239+Multiple_Regression!$L$18*Multiple_Regression!F239+Multiple_Regression!$L$19*Multiple_Regression!G239</f>
        <v>618593.672995512</v>
      </c>
      <c r="G239" s="20" t="n">
        <f aca="false">E239-F239</f>
        <v>22072.8570044877</v>
      </c>
      <c r="H239" s="20" t="n">
        <f aca="false">ABS(G239)</f>
        <v>22072.8570044877</v>
      </c>
    </row>
    <row r="240" customFormat="false" ht="15" hidden="false" customHeight="true" outlineLevel="0" collapsed="false">
      <c r="A240" s="3" t="str">
        <f aca="false">Model_Data!A239</f>
        <v>STR-1059</v>
      </c>
      <c r="B240" s="4" t="n">
        <f aca="false">Model_Data!B239</f>
        <v>45748</v>
      </c>
      <c r="C240" s="3" t="str">
        <f aca="false">Model_Data!C239</f>
        <v>West</v>
      </c>
      <c r="D240" s="3" t="str">
        <f aca="false">Model_Data!D239</f>
        <v>Residential</v>
      </c>
      <c r="E240" s="20" t="n">
        <f aca="false">Multiple_Regression!H240</f>
        <v>670629.48</v>
      </c>
      <c r="F240" s="20" t="n">
        <f aca="false">Multiple_Regression!$L$12+Multiple_Regression!$L$13*Multiple_Regression!A240+Multiple_Regression!$L$14*Multiple_Regression!B240+Multiple_Regression!$L$15*Multiple_Regression!C240+Multiple_Regression!$L$16*Multiple_Regression!D240+Multiple_Regression!$L$17*Multiple_Regression!E240+Multiple_Regression!$L$18*Multiple_Regression!F240+Multiple_Regression!$L$19*Multiple_Regression!G240</f>
        <v>653590.737987942</v>
      </c>
      <c r="G240" s="20" t="n">
        <f aca="false">E240-F240</f>
        <v>17038.7420120583</v>
      </c>
      <c r="H240" s="20" t="n">
        <f aca="false">ABS(G240)</f>
        <v>17038.7420120583</v>
      </c>
    </row>
    <row r="241" customFormat="false" ht="15" hidden="false" customHeight="true" outlineLevel="0" collapsed="false">
      <c r="A241" s="3" t="str">
        <f aca="false">Model_Data!A240</f>
        <v>STR-1060</v>
      </c>
      <c r="B241" s="4" t="n">
        <f aca="false">Model_Data!B240</f>
        <v>45658</v>
      </c>
      <c r="C241" s="3" t="str">
        <f aca="false">Model_Data!C240</f>
        <v>West</v>
      </c>
      <c r="D241" s="3" t="str">
        <f aca="false">Model_Data!D240</f>
        <v>Mall</v>
      </c>
      <c r="E241" s="20" t="n">
        <f aca="false">Multiple_Regression!H241</f>
        <v>721079.35</v>
      </c>
      <c r="F241" s="20" t="n">
        <f aca="false">Multiple_Regression!$L$12+Multiple_Regression!$L$13*Multiple_Regression!A241+Multiple_Regression!$L$14*Multiple_Regression!B241+Multiple_Regression!$L$15*Multiple_Regression!C241+Multiple_Regression!$L$16*Multiple_Regression!D241+Multiple_Regression!$L$17*Multiple_Regression!E241+Multiple_Regression!$L$18*Multiple_Regression!F241+Multiple_Regression!$L$19*Multiple_Regression!G241</f>
        <v>797261.573857841</v>
      </c>
      <c r="G241" s="20" t="n">
        <f aca="false">E241-F241</f>
        <v>-76182.2238578405</v>
      </c>
      <c r="H241" s="20" t="n">
        <f aca="false">ABS(G241)</f>
        <v>76182.2238578405</v>
      </c>
    </row>
    <row r="242" customFormat="false" ht="15" hidden="false" customHeight="true" outlineLevel="0" collapsed="false">
      <c r="A242" s="3" t="str">
        <f aca="false">Model_Data!A241</f>
        <v>STR-1060</v>
      </c>
      <c r="B242" s="4" t="n">
        <f aca="false">Model_Data!B241</f>
        <v>45689</v>
      </c>
      <c r="C242" s="3" t="str">
        <f aca="false">Model_Data!C241</f>
        <v>West</v>
      </c>
      <c r="D242" s="3" t="str">
        <f aca="false">Model_Data!D241</f>
        <v>Mall</v>
      </c>
      <c r="E242" s="20" t="n">
        <f aca="false">Multiple_Regression!H242</f>
        <v>810355.02</v>
      </c>
      <c r="F242" s="20" t="n">
        <f aca="false">Multiple_Regression!$L$12+Multiple_Regression!$L$13*Multiple_Regression!A242+Multiple_Regression!$L$14*Multiple_Regression!B242+Multiple_Regression!$L$15*Multiple_Regression!C242+Multiple_Regression!$L$16*Multiple_Regression!D242+Multiple_Regression!$L$17*Multiple_Regression!E242+Multiple_Regression!$L$18*Multiple_Regression!F242+Multiple_Regression!$L$19*Multiple_Regression!G242</f>
        <v>831054.071926783</v>
      </c>
      <c r="G242" s="20" t="n">
        <f aca="false">E242-F242</f>
        <v>-20699.0519267834</v>
      </c>
      <c r="H242" s="20" t="n">
        <f aca="false">ABS(G242)</f>
        <v>20699.0519267834</v>
      </c>
    </row>
    <row r="243" customFormat="false" ht="15" hidden="false" customHeight="true" outlineLevel="0" collapsed="false">
      <c r="A243" s="3" t="str">
        <f aca="false">Model_Data!A242</f>
        <v>STR-1060</v>
      </c>
      <c r="B243" s="4" t="n">
        <f aca="false">Model_Data!B242</f>
        <v>45717</v>
      </c>
      <c r="C243" s="3" t="str">
        <f aca="false">Model_Data!C242</f>
        <v>West</v>
      </c>
      <c r="D243" s="3" t="str">
        <f aca="false">Model_Data!D242</f>
        <v>Mall</v>
      </c>
      <c r="E243" s="20" t="n">
        <f aca="false">Multiple_Regression!H243</f>
        <v>761919.25</v>
      </c>
      <c r="F243" s="20" t="n">
        <f aca="false">Multiple_Regression!$L$12+Multiple_Regression!$L$13*Multiple_Regression!A243+Multiple_Regression!$L$14*Multiple_Regression!B243+Multiple_Regression!$L$15*Multiple_Regression!C243+Multiple_Regression!$L$16*Multiple_Regression!D243+Multiple_Regression!$L$17*Multiple_Regression!E243+Multiple_Regression!$L$18*Multiple_Regression!F243+Multiple_Regression!$L$19*Multiple_Regression!G243</f>
        <v>774746.889186414</v>
      </c>
      <c r="G243" s="20" t="n">
        <f aca="false">E243-F243</f>
        <v>-12827.639186414</v>
      </c>
      <c r="H243" s="20" t="n">
        <f aca="false">ABS(G243)</f>
        <v>12827.639186414</v>
      </c>
    </row>
    <row r="244" customFormat="false" ht="15" hidden="false" customHeight="true" outlineLevel="0" collapsed="false">
      <c r="A244" s="3" t="str">
        <f aca="false">Model_Data!A243</f>
        <v>STR-1060</v>
      </c>
      <c r="B244" s="4" t="n">
        <f aca="false">Model_Data!B243</f>
        <v>45748</v>
      </c>
      <c r="C244" s="3" t="str">
        <f aca="false">Model_Data!C243</f>
        <v>West</v>
      </c>
      <c r="D244" s="3" t="str">
        <f aca="false">Model_Data!D243</f>
        <v>Mall</v>
      </c>
      <c r="E244" s="20" t="n">
        <f aca="false">Multiple_Regression!H244</f>
        <v>737070.18</v>
      </c>
      <c r="F244" s="20" t="n">
        <f aca="false">Multiple_Regression!$L$12+Multiple_Regression!$L$13*Multiple_Regression!A244+Multiple_Regression!$L$14*Multiple_Regression!B244+Multiple_Regression!$L$15*Multiple_Regression!C244+Multiple_Regression!$L$16*Multiple_Regression!D244+Multiple_Regression!$L$17*Multiple_Regression!E244+Multiple_Regression!$L$18*Multiple_Regression!F244+Multiple_Regression!$L$19*Multiple_Regression!G244</f>
        <v>732730.164223607</v>
      </c>
      <c r="G244" s="20" t="n">
        <f aca="false">E244-F244</f>
        <v>4340.01577639289</v>
      </c>
      <c r="H244" s="20" t="n">
        <f aca="false">ABS(G244)</f>
        <v>4340.01577639289</v>
      </c>
    </row>
    <row r="245" customFormat="false" ht="15" hidden="false" customHeight="true" outlineLevel="0" collapsed="false">
      <c r="A245" s="3" t="str">
        <f aca="false">Model_Data!A244</f>
        <v>STR-1061</v>
      </c>
      <c r="B245" s="4" t="n">
        <f aca="false">Model_Data!B244</f>
        <v>45658</v>
      </c>
      <c r="C245" s="3" t="str">
        <f aca="false">Model_Data!C244</f>
        <v>South</v>
      </c>
      <c r="D245" s="3" t="str">
        <f aca="false">Model_Data!D244</f>
        <v>Airport</v>
      </c>
      <c r="E245" s="20" t="n">
        <f aca="false">Multiple_Regression!H245</f>
        <v>776992.93</v>
      </c>
      <c r="F245" s="20" t="n">
        <f aca="false">Multiple_Regression!$L$12+Multiple_Regression!$L$13*Multiple_Regression!A245+Multiple_Regression!$L$14*Multiple_Regression!B245+Multiple_Regression!$L$15*Multiple_Regression!C245+Multiple_Regression!$L$16*Multiple_Regression!D245+Multiple_Regression!$L$17*Multiple_Regression!E245+Multiple_Regression!$L$18*Multiple_Regression!F245+Multiple_Regression!$L$19*Multiple_Regression!G245</f>
        <v>751799.845250416</v>
      </c>
      <c r="G245" s="20" t="n">
        <f aca="false">E245-F245</f>
        <v>25193.0847495837</v>
      </c>
      <c r="H245" s="20" t="n">
        <f aca="false">ABS(G245)</f>
        <v>25193.0847495837</v>
      </c>
    </row>
    <row r="246" customFormat="false" ht="15" hidden="false" customHeight="true" outlineLevel="0" collapsed="false">
      <c r="A246" s="3" t="str">
        <f aca="false">Model_Data!A245</f>
        <v>STR-1061</v>
      </c>
      <c r="B246" s="4" t="n">
        <f aca="false">Model_Data!B245</f>
        <v>45689</v>
      </c>
      <c r="C246" s="3" t="str">
        <f aca="false">Model_Data!C245</f>
        <v>South</v>
      </c>
      <c r="D246" s="3" t="str">
        <f aca="false">Model_Data!D245</f>
        <v>Airport</v>
      </c>
      <c r="E246" s="20" t="n">
        <f aca="false">Multiple_Regression!H246</f>
        <v>676337.41</v>
      </c>
      <c r="F246" s="20" t="n">
        <f aca="false">Multiple_Regression!$L$12+Multiple_Regression!$L$13*Multiple_Regression!A246+Multiple_Regression!$L$14*Multiple_Regression!B246+Multiple_Regression!$L$15*Multiple_Regression!C246+Multiple_Regression!$L$16*Multiple_Regression!D246+Multiple_Regression!$L$17*Multiple_Regression!E246+Multiple_Regression!$L$18*Multiple_Regression!F246+Multiple_Regression!$L$19*Multiple_Regression!G246</f>
        <v>662432.914967972</v>
      </c>
      <c r="G246" s="20" t="n">
        <f aca="false">E246-F246</f>
        <v>13904.4950320276</v>
      </c>
      <c r="H246" s="20" t="n">
        <f aca="false">ABS(G246)</f>
        <v>13904.4950320276</v>
      </c>
    </row>
    <row r="247" customFormat="false" ht="15" hidden="false" customHeight="true" outlineLevel="0" collapsed="false">
      <c r="A247" s="3" t="str">
        <f aca="false">Model_Data!A246</f>
        <v>STR-1061</v>
      </c>
      <c r="B247" s="4" t="n">
        <f aca="false">Model_Data!B246</f>
        <v>45717</v>
      </c>
      <c r="C247" s="3" t="str">
        <f aca="false">Model_Data!C246</f>
        <v>South</v>
      </c>
      <c r="D247" s="3" t="str">
        <f aca="false">Model_Data!D246</f>
        <v>Airport</v>
      </c>
      <c r="E247" s="20" t="n">
        <f aca="false">Multiple_Regression!H247</f>
        <v>828219.67</v>
      </c>
      <c r="F247" s="20" t="n">
        <f aca="false">Multiple_Regression!$L$12+Multiple_Regression!$L$13*Multiple_Regression!A247+Multiple_Regression!$L$14*Multiple_Regression!B247+Multiple_Regression!$L$15*Multiple_Regression!C247+Multiple_Regression!$L$16*Multiple_Regression!D247+Multiple_Regression!$L$17*Multiple_Regression!E247+Multiple_Regression!$L$18*Multiple_Regression!F247+Multiple_Regression!$L$19*Multiple_Regression!G247</f>
        <v>826083.819461436</v>
      </c>
      <c r="G247" s="20" t="n">
        <f aca="false">E247-F247</f>
        <v>2135.8505385638</v>
      </c>
      <c r="H247" s="20" t="n">
        <f aca="false">ABS(G247)</f>
        <v>2135.8505385638</v>
      </c>
    </row>
    <row r="248" customFormat="false" ht="15" hidden="false" customHeight="true" outlineLevel="0" collapsed="false">
      <c r="A248" s="3" t="str">
        <f aca="false">Model_Data!A247</f>
        <v>STR-1061</v>
      </c>
      <c r="B248" s="4" t="n">
        <f aca="false">Model_Data!B247</f>
        <v>45748</v>
      </c>
      <c r="C248" s="3" t="str">
        <f aca="false">Model_Data!C247</f>
        <v>South</v>
      </c>
      <c r="D248" s="3" t="str">
        <f aca="false">Model_Data!D247</f>
        <v>Airport</v>
      </c>
      <c r="E248" s="20" t="n">
        <f aca="false">Multiple_Regression!H248</f>
        <v>763159.92</v>
      </c>
      <c r="F248" s="20" t="n">
        <f aca="false">Multiple_Regression!$L$12+Multiple_Regression!$L$13*Multiple_Regression!A248+Multiple_Regression!$L$14*Multiple_Regression!B248+Multiple_Regression!$L$15*Multiple_Regression!C248+Multiple_Regression!$L$16*Multiple_Regression!D248+Multiple_Regression!$L$17*Multiple_Regression!E248+Multiple_Regression!$L$18*Multiple_Regression!F248+Multiple_Regression!$L$19*Multiple_Regression!G248</f>
        <v>776390.971065997</v>
      </c>
      <c r="G248" s="20" t="n">
        <f aca="false">E248-F248</f>
        <v>-13231.0510659966</v>
      </c>
      <c r="H248" s="20" t="n">
        <f aca="false">ABS(G248)</f>
        <v>13231.0510659966</v>
      </c>
    </row>
    <row r="249" customFormat="false" ht="15" hidden="false" customHeight="true" outlineLevel="0" collapsed="false">
      <c r="A249" s="3" t="str">
        <f aca="false">Model_Data!A248</f>
        <v>STR-1062</v>
      </c>
      <c r="B249" s="4" t="n">
        <f aca="false">Model_Data!B248</f>
        <v>45658</v>
      </c>
      <c r="C249" s="3" t="str">
        <f aca="false">Model_Data!C248</f>
        <v>East</v>
      </c>
      <c r="D249" s="3" t="str">
        <f aca="false">Model_Data!D248</f>
        <v>High Street</v>
      </c>
      <c r="E249" s="20" t="n">
        <f aca="false">Multiple_Regression!H249</f>
        <v>802001.68</v>
      </c>
      <c r="F249" s="20" t="n">
        <f aca="false">Multiple_Regression!$L$12+Multiple_Regression!$L$13*Multiple_Regression!A249+Multiple_Regression!$L$14*Multiple_Regression!B249+Multiple_Regression!$L$15*Multiple_Regression!C249+Multiple_Regression!$L$16*Multiple_Regression!D249+Multiple_Regression!$L$17*Multiple_Regression!E249+Multiple_Regression!$L$18*Multiple_Regression!F249+Multiple_Regression!$L$19*Multiple_Regression!G249</f>
        <v>795506.492942945</v>
      </c>
      <c r="G249" s="20" t="n">
        <f aca="false">E249-F249</f>
        <v>6495.1870570546</v>
      </c>
      <c r="H249" s="20" t="n">
        <f aca="false">ABS(G249)</f>
        <v>6495.1870570546</v>
      </c>
    </row>
    <row r="250" customFormat="false" ht="15" hidden="false" customHeight="true" outlineLevel="0" collapsed="false">
      <c r="A250" s="3" t="str">
        <f aca="false">Model_Data!A249</f>
        <v>STR-1062</v>
      </c>
      <c r="B250" s="4" t="n">
        <f aca="false">Model_Data!B249</f>
        <v>45689</v>
      </c>
      <c r="C250" s="3" t="str">
        <f aca="false">Model_Data!C249</f>
        <v>East</v>
      </c>
      <c r="D250" s="3" t="str">
        <f aca="false">Model_Data!D249</f>
        <v>High Street</v>
      </c>
      <c r="E250" s="20" t="n">
        <f aca="false">Multiple_Regression!H250</f>
        <v>750471.34</v>
      </c>
      <c r="F250" s="20" t="n">
        <f aca="false">Multiple_Regression!$L$12+Multiple_Regression!$L$13*Multiple_Regression!A250+Multiple_Regression!$L$14*Multiple_Regression!B250+Multiple_Regression!$L$15*Multiple_Regression!C250+Multiple_Regression!$L$16*Multiple_Regression!D250+Multiple_Regression!$L$17*Multiple_Regression!E250+Multiple_Regression!$L$18*Multiple_Regression!F250+Multiple_Regression!$L$19*Multiple_Regression!G250</f>
        <v>756726.889086161</v>
      </c>
      <c r="G250" s="20" t="n">
        <f aca="false">E250-F250</f>
        <v>-6255.54908616107</v>
      </c>
      <c r="H250" s="20" t="n">
        <f aca="false">ABS(G250)</f>
        <v>6255.54908616107</v>
      </c>
    </row>
    <row r="251" customFormat="false" ht="15" hidden="false" customHeight="true" outlineLevel="0" collapsed="false">
      <c r="A251" s="3" t="str">
        <f aca="false">Model_Data!A250</f>
        <v>STR-1062</v>
      </c>
      <c r="B251" s="4" t="n">
        <f aca="false">Model_Data!B250</f>
        <v>45717</v>
      </c>
      <c r="C251" s="3" t="str">
        <f aca="false">Model_Data!C250</f>
        <v>East</v>
      </c>
      <c r="D251" s="3" t="str">
        <f aca="false">Model_Data!D250</f>
        <v>High Street</v>
      </c>
      <c r="E251" s="20" t="n">
        <f aca="false">Multiple_Regression!H251</f>
        <v>679230.86</v>
      </c>
      <c r="F251" s="20" t="n">
        <f aca="false">Multiple_Regression!$L$12+Multiple_Regression!$L$13*Multiple_Regression!A251+Multiple_Regression!$L$14*Multiple_Regression!B251+Multiple_Regression!$L$15*Multiple_Regression!C251+Multiple_Regression!$L$16*Multiple_Regression!D251+Multiple_Regression!$L$17*Multiple_Regression!E251+Multiple_Regression!$L$18*Multiple_Regression!F251+Multiple_Regression!$L$19*Multiple_Regression!G251</f>
        <v>715179.051712673</v>
      </c>
      <c r="G251" s="20" t="n">
        <f aca="false">E251-F251</f>
        <v>-35948.1917126732</v>
      </c>
      <c r="H251" s="20" t="n">
        <f aca="false">ABS(G251)</f>
        <v>35948.1917126732</v>
      </c>
    </row>
    <row r="252" customFormat="false" ht="15" hidden="false" customHeight="true" outlineLevel="0" collapsed="false">
      <c r="A252" s="3" t="str">
        <f aca="false">Model_Data!A251</f>
        <v>STR-1062</v>
      </c>
      <c r="B252" s="4" t="n">
        <f aca="false">Model_Data!B251</f>
        <v>45748</v>
      </c>
      <c r="C252" s="3" t="str">
        <f aca="false">Model_Data!C251</f>
        <v>East</v>
      </c>
      <c r="D252" s="3" t="str">
        <f aca="false">Model_Data!D251</f>
        <v>High Street</v>
      </c>
      <c r="E252" s="20" t="n">
        <f aca="false">Multiple_Regression!H252</f>
        <v>679888.74</v>
      </c>
      <c r="F252" s="20" t="n">
        <f aca="false">Multiple_Regression!$L$12+Multiple_Regression!$L$13*Multiple_Regression!A252+Multiple_Regression!$L$14*Multiple_Regression!B252+Multiple_Regression!$L$15*Multiple_Regression!C252+Multiple_Regression!$L$16*Multiple_Regression!D252+Multiple_Regression!$L$17*Multiple_Regression!E252+Multiple_Regression!$L$18*Multiple_Regression!F252+Multiple_Regression!$L$19*Multiple_Regression!G252</f>
        <v>693268.285200496</v>
      </c>
      <c r="G252" s="20" t="n">
        <f aca="false">E252-F252</f>
        <v>-13379.5452004955</v>
      </c>
      <c r="H252" s="20" t="n">
        <f aca="false">ABS(G252)</f>
        <v>13379.5452004955</v>
      </c>
    </row>
    <row r="253" customFormat="false" ht="15" hidden="false" customHeight="true" outlineLevel="0" collapsed="false">
      <c r="A253" s="3" t="str">
        <f aca="false">Model_Data!A252</f>
        <v>STR-1063</v>
      </c>
      <c r="B253" s="4" t="n">
        <f aca="false">Model_Data!B252</f>
        <v>45658</v>
      </c>
      <c r="C253" s="3" t="str">
        <f aca="false">Model_Data!C252</f>
        <v>North</v>
      </c>
      <c r="D253" s="3" t="str">
        <f aca="false">Model_Data!D252</f>
        <v>High Street</v>
      </c>
      <c r="E253" s="20" t="n">
        <f aca="false">Multiple_Regression!H253</f>
        <v>606783.67</v>
      </c>
      <c r="F253" s="20" t="n">
        <f aca="false">Multiple_Regression!$L$12+Multiple_Regression!$L$13*Multiple_Regression!A253+Multiple_Regression!$L$14*Multiple_Regression!B253+Multiple_Regression!$L$15*Multiple_Regression!C253+Multiple_Regression!$L$16*Multiple_Regression!D253+Multiple_Regression!$L$17*Multiple_Regression!E253+Multiple_Regression!$L$18*Multiple_Regression!F253+Multiple_Regression!$L$19*Multiple_Regression!G253</f>
        <v>594636.250718059</v>
      </c>
      <c r="G253" s="20" t="n">
        <f aca="false">E253-F253</f>
        <v>12147.4192819407</v>
      </c>
      <c r="H253" s="20" t="n">
        <f aca="false">ABS(G253)</f>
        <v>12147.4192819407</v>
      </c>
    </row>
    <row r="254" customFormat="false" ht="15" hidden="false" customHeight="true" outlineLevel="0" collapsed="false">
      <c r="A254" s="3" t="str">
        <f aca="false">Model_Data!A253</f>
        <v>STR-1063</v>
      </c>
      <c r="B254" s="4" t="n">
        <f aca="false">Model_Data!B253</f>
        <v>45689</v>
      </c>
      <c r="C254" s="3" t="str">
        <f aca="false">Model_Data!C253</f>
        <v>North</v>
      </c>
      <c r="D254" s="3" t="str">
        <f aca="false">Model_Data!D253</f>
        <v>High Street</v>
      </c>
      <c r="E254" s="20" t="n">
        <f aca="false">Multiple_Regression!H254</f>
        <v>642751.42</v>
      </c>
      <c r="F254" s="20" t="n">
        <f aca="false">Multiple_Regression!$L$12+Multiple_Regression!$L$13*Multiple_Regression!A254+Multiple_Regression!$L$14*Multiple_Regression!B254+Multiple_Regression!$L$15*Multiple_Regression!C254+Multiple_Regression!$L$16*Multiple_Regression!D254+Multiple_Regression!$L$17*Multiple_Regression!E254+Multiple_Regression!$L$18*Multiple_Regression!F254+Multiple_Regression!$L$19*Multiple_Regression!G254</f>
        <v>659957.181111365</v>
      </c>
      <c r="G254" s="20" t="n">
        <f aca="false">E254-F254</f>
        <v>-17205.7611113653</v>
      </c>
      <c r="H254" s="20" t="n">
        <f aca="false">ABS(G254)</f>
        <v>17205.7611113653</v>
      </c>
    </row>
    <row r="255" customFormat="false" ht="15" hidden="false" customHeight="true" outlineLevel="0" collapsed="false">
      <c r="A255" s="3" t="str">
        <f aca="false">Model_Data!A254</f>
        <v>STR-1063</v>
      </c>
      <c r="B255" s="4" t="n">
        <f aca="false">Model_Data!B254</f>
        <v>45717</v>
      </c>
      <c r="C255" s="3" t="str">
        <f aca="false">Model_Data!C254</f>
        <v>North</v>
      </c>
      <c r="D255" s="3" t="str">
        <f aca="false">Model_Data!D254</f>
        <v>High Street</v>
      </c>
      <c r="E255" s="20" t="n">
        <f aca="false">Multiple_Regression!H255</f>
        <v>647953.78</v>
      </c>
      <c r="F255" s="20" t="n">
        <f aca="false">Multiple_Regression!$L$12+Multiple_Regression!$L$13*Multiple_Regression!A255+Multiple_Regression!$L$14*Multiple_Regression!B255+Multiple_Regression!$L$15*Multiple_Regression!C255+Multiple_Regression!$L$16*Multiple_Regression!D255+Multiple_Regression!$L$17*Multiple_Regression!E255+Multiple_Regression!$L$18*Multiple_Regression!F255+Multiple_Regression!$L$19*Multiple_Regression!G255</f>
        <v>643670.893662466</v>
      </c>
      <c r="G255" s="20" t="n">
        <f aca="false">E255-F255</f>
        <v>4282.88633753418</v>
      </c>
      <c r="H255" s="20" t="n">
        <f aca="false">ABS(G255)</f>
        <v>4282.88633753418</v>
      </c>
    </row>
    <row r="256" customFormat="false" ht="15" hidden="false" customHeight="true" outlineLevel="0" collapsed="false">
      <c r="A256" s="3" t="str">
        <f aca="false">Model_Data!A255</f>
        <v>STR-1063</v>
      </c>
      <c r="B256" s="4" t="n">
        <f aca="false">Model_Data!B255</f>
        <v>45748</v>
      </c>
      <c r="C256" s="3" t="str">
        <f aca="false">Model_Data!C255</f>
        <v>North</v>
      </c>
      <c r="D256" s="3" t="str">
        <f aca="false">Model_Data!D255</f>
        <v>High Street</v>
      </c>
      <c r="E256" s="20" t="n">
        <f aca="false">Multiple_Regression!H256</f>
        <v>729440.45</v>
      </c>
      <c r="F256" s="20" t="n">
        <f aca="false">Multiple_Regression!$L$12+Multiple_Regression!$L$13*Multiple_Regression!A256+Multiple_Regression!$L$14*Multiple_Regression!B256+Multiple_Regression!$L$15*Multiple_Regression!C256+Multiple_Regression!$L$16*Multiple_Regression!D256+Multiple_Regression!$L$17*Multiple_Regression!E256+Multiple_Regression!$L$18*Multiple_Regression!F256+Multiple_Regression!$L$19*Multiple_Regression!G256</f>
        <v>713360.113523514</v>
      </c>
      <c r="G256" s="20" t="n">
        <f aca="false">E256-F256</f>
        <v>16080.3364764857</v>
      </c>
      <c r="H256" s="20" t="n">
        <f aca="false">ABS(G256)</f>
        <v>16080.3364764857</v>
      </c>
    </row>
    <row r="257" customFormat="false" ht="15" hidden="false" customHeight="true" outlineLevel="0" collapsed="false">
      <c r="A257" s="3" t="str">
        <f aca="false">Model_Data!A256</f>
        <v>STR-1064</v>
      </c>
      <c r="B257" s="4" t="n">
        <f aca="false">Model_Data!B256</f>
        <v>45658</v>
      </c>
      <c r="C257" s="3" t="str">
        <f aca="false">Model_Data!C256</f>
        <v>South</v>
      </c>
      <c r="D257" s="3" t="str">
        <f aca="false">Model_Data!D256</f>
        <v>Airport</v>
      </c>
      <c r="E257" s="20" t="n">
        <f aca="false">Multiple_Regression!H257</f>
        <v>764949</v>
      </c>
      <c r="F257" s="20" t="n">
        <f aca="false">Multiple_Regression!$L$12+Multiple_Regression!$L$13*Multiple_Regression!A257+Multiple_Regression!$L$14*Multiple_Regression!B257+Multiple_Regression!$L$15*Multiple_Regression!C257+Multiple_Regression!$L$16*Multiple_Regression!D257+Multiple_Regression!$L$17*Multiple_Regression!E257+Multiple_Regression!$L$18*Multiple_Regression!F257+Multiple_Regression!$L$19*Multiple_Regression!G257</f>
        <v>776643.110511006</v>
      </c>
      <c r="G257" s="20" t="n">
        <f aca="false">E257-F257</f>
        <v>-11694.1105110056</v>
      </c>
      <c r="H257" s="20" t="n">
        <f aca="false">ABS(G257)</f>
        <v>11694.1105110056</v>
      </c>
    </row>
    <row r="258" customFormat="false" ht="15" hidden="false" customHeight="true" outlineLevel="0" collapsed="false">
      <c r="A258" s="3" t="str">
        <f aca="false">Model_Data!A257</f>
        <v>STR-1064</v>
      </c>
      <c r="B258" s="4" t="n">
        <f aca="false">Model_Data!B257</f>
        <v>45689</v>
      </c>
      <c r="C258" s="3" t="str">
        <f aca="false">Model_Data!C257</f>
        <v>South</v>
      </c>
      <c r="D258" s="3" t="str">
        <f aca="false">Model_Data!D257</f>
        <v>Airport</v>
      </c>
      <c r="E258" s="20" t="n">
        <f aca="false">Multiple_Regression!H258</f>
        <v>799046.94</v>
      </c>
      <c r="F258" s="20" t="n">
        <f aca="false">Multiple_Regression!$L$12+Multiple_Regression!$L$13*Multiple_Regression!A258+Multiple_Regression!$L$14*Multiple_Regression!B258+Multiple_Regression!$L$15*Multiple_Regression!C258+Multiple_Regression!$L$16*Multiple_Regression!D258+Multiple_Regression!$L$17*Multiple_Regression!E258+Multiple_Regression!$L$18*Multiple_Regression!F258+Multiple_Regression!$L$19*Multiple_Regression!G258</f>
        <v>727973.897941293</v>
      </c>
      <c r="G258" s="20" t="n">
        <f aca="false">E258-F258</f>
        <v>71073.0420587068</v>
      </c>
      <c r="H258" s="20" t="n">
        <f aca="false">ABS(G258)</f>
        <v>71073.0420587068</v>
      </c>
    </row>
    <row r="259" customFormat="false" ht="15" hidden="false" customHeight="true" outlineLevel="0" collapsed="false">
      <c r="A259" s="3" t="str">
        <f aca="false">Model_Data!A258</f>
        <v>STR-1064</v>
      </c>
      <c r="B259" s="4" t="n">
        <f aca="false">Model_Data!B258</f>
        <v>45717</v>
      </c>
      <c r="C259" s="3" t="str">
        <f aca="false">Model_Data!C258</f>
        <v>South</v>
      </c>
      <c r="D259" s="3" t="str">
        <f aca="false">Model_Data!D258</f>
        <v>Airport</v>
      </c>
      <c r="E259" s="20" t="n">
        <f aca="false">Multiple_Regression!H259</f>
        <v>720079.54</v>
      </c>
      <c r="F259" s="20" t="n">
        <f aca="false">Multiple_Regression!$L$12+Multiple_Regression!$L$13*Multiple_Regression!A259+Multiple_Regression!$L$14*Multiple_Regression!B259+Multiple_Regression!$L$15*Multiple_Regression!C259+Multiple_Regression!$L$16*Multiple_Regression!D259+Multiple_Regression!$L$17*Multiple_Regression!E259+Multiple_Regression!$L$18*Multiple_Regression!F259+Multiple_Regression!$L$19*Multiple_Regression!G259</f>
        <v>696942.060540747</v>
      </c>
      <c r="G259" s="20" t="n">
        <f aca="false">E259-F259</f>
        <v>23137.4794592527</v>
      </c>
      <c r="H259" s="20" t="n">
        <f aca="false">ABS(G259)</f>
        <v>23137.4794592527</v>
      </c>
    </row>
    <row r="260" customFormat="false" ht="15" hidden="false" customHeight="true" outlineLevel="0" collapsed="false">
      <c r="A260" s="3" t="str">
        <f aca="false">Model_Data!A259</f>
        <v>STR-1064</v>
      </c>
      <c r="B260" s="4" t="n">
        <f aca="false">Model_Data!B259</f>
        <v>45748</v>
      </c>
      <c r="C260" s="3" t="str">
        <f aca="false">Model_Data!C259</f>
        <v>South</v>
      </c>
      <c r="D260" s="3" t="str">
        <f aca="false">Model_Data!D259</f>
        <v>Airport</v>
      </c>
      <c r="E260" s="20" t="n">
        <f aca="false">Multiple_Regression!H260</f>
        <v>612390.14</v>
      </c>
      <c r="F260" s="20" t="n">
        <f aca="false">Multiple_Regression!$L$12+Multiple_Regression!$L$13*Multiple_Regression!A260+Multiple_Regression!$L$14*Multiple_Regression!B260+Multiple_Regression!$L$15*Multiple_Regression!C260+Multiple_Regression!$L$16*Multiple_Regression!D260+Multiple_Regression!$L$17*Multiple_Regression!E260+Multiple_Regression!$L$18*Multiple_Regression!F260+Multiple_Regression!$L$19*Multiple_Regression!G260</f>
        <v>660936.68573316</v>
      </c>
      <c r="G260" s="20" t="n">
        <f aca="false">E260-F260</f>
        <v>-48546.54573316</v>
      </c>
      <c r="H260" s="20" t="n">
        <f aca="false">ABS(G260)</f>
        <v>48546.54573316</v>
      </c>
    </row>
    <row r="261" customFormat="false" ht="15" hidden="false" customHeight="true" outlineLevel="0" collapsed="false">
      <c r="A261" s="3" t="str">
        <f aca="false">Model_Data!A260</f>
        <v>STR-1065</v>
      </c>
      <c r="B261" s="4" t="n">
        <f aca="false">Model_Data!B260</f>
        <v>45658</v>
      </c>
      <c r="C261" s="3" t="str">
        <f aca="false">Model_Data!C260</f>
        <v>South</v>
      </c>
      <c r="D261" s="3" t="str">
        <f aca="false">Model_Data!D260</f>
        <v>Mall</v>
      </c>
      <c r="E261" s="20" t="n">
        <f aca="false">Multiple_Regression!H261</f>
        <v>840108.12</v>
      </c>
      <c r="F261" s="20" t="n">
        <f aca="false">Multiple_Regression!$L$12+Multiple_Regression!$L$13*Multiple_Regression!A261+Multiple_Regression!$L$14*Multiple_Regression!B261+Multiple_Regression!$L$15*Multiple_Regression!C261+Multiple_Regression!$L$16*Multiple_Regression!D261+Multiple_Regression!$L$17*Multiple_Regression!E261+Multiple_Regression!$L$18*Multiple_Regression!F261+Multiple_Regression!$L$19*Multiple_Regression!G261</f>
        <v>759791.729953847</v>
      </c>
      <c r="G261" s="20" t="n">
        <f aca="false">E261-F261</f>
        <v>80316.3900461533</v>
      </c>
      <c r="H261" s="20" t="n">
        <f aca="false">ABS(G261)</f>
        <v>80316.3900461533</v>
      </c>
    </row>
    <row r="262" customFormat="false" ht="15" hidden="false" customHeight="true" outlineLevel="0" collapsed="false">
      <c r="A262" s="3" t="str">
        <f aca="false">Model_Data!A261</f>
        <v>STR-1065</v>
      </c>
      <c r="B262" s="4" t="n">
        <f aca="false">Model_Data!B261</f>
        <v>45689</v>
      </c>
      <c r="C262" s="3" t="str">
        <f aca="false">Model_Data!C261</f>
        <v>South</v>
      </c>
      <c r="D262" s="3" t="str">
        <f aca="false">Model_Data!D261</f>
        <v>Mall</v>
      </c>
      <c r="E262" s="20" t="n">
        <f aca="false">Multiple_Regression!H262</f>
        <v>697888.09</v>
      </c>
      <c r="F262" s="20" t="n">
        <f aca="false">Multiple_Regression!$L$12+Multiple_Regression!$L$13*Multiple_Regression!A262+Multiple_Regression!$L$14*Multiple_Regression!B262+Multiple_Regression!$L$15*Multiple_Regression!C262+Multiple_Regression!$L$16*Multiple_Regression!D262+Multiple_Regression!$L$17*Multiple_Regression!E262+Multiple_Regression!$L$18*Multiple_Regression!F262+Multiple_Regression!$L$19*Multiple_Regression!G262</f>
        <v>678218.410444277</v>
      </c>
      <c r="G262" s="20" t="n">
        <f aca="false">E262-F262</f>
        <v>19669.6795557231</v>
      </c>
      <c r="H262" s="20" t="n">
        <f aca="false">ABS(G262)</f>
        <v>19669.6795557231</v>
      </c>
    </row>
    <row r="263" customFormat="false" ht="15" hidden="false" customHeight="true" outlineLevel="0" collapsed="false">
      <c r="A263" s="3" t="str">
        <f aca="false">Model_Data!A262</f>
        <v>STR-1065</v>
      </c>
      <c r="B263" s="4" t="n">
        <f aca="false">Model_Data!B262</f>
        <v>45717</v>
      </c>
      <c r="C263" s="3" t="str">
        <f aca="false">Model_Data!C262</f>
        <v>South</v>
      </c>
      <c r="D263" s="3" t="str">
        <f aca="false">Model_Data!D262</f>
        <v>Mall</v>
      </c>
      <c r="E263" s="20" t="n">
        <f aca="false">Multiple_Regression!H263</f>
        <v>746115.59</v>
      </c>
      <c r="F263" s="20" t="n">
        <f aca="false">Multiple_Regression!$L$12+Multiple_Regression!$L$13*Multiple_Regression!A263+Multiple_Regression!$L$14*Multiple_Regression!B263+Multiple_Regression!$L$15*Multiple_Regression!C263+Multiple_Regression!$L$16*Multiple_Regression!D263+Multiple_Regression!$L$17*Multiple_Regression!E263+Multiple_Regression!$L$18*Multiple_Regression!F263+Multiple_Regression!$L$19*Multiple_Regression!G263</f>
        <v>744686.895676206</v>
      </c>
      <c r="G263" s="20" t="n">
        <f aca="false">E263-F263</f>
        <v>1428.6943237941</v>
      </c>
      <c r="H263" s="20" t="n">
        <f aca="false">ABS(G263)</f>
        <v>1428.6943237941</v>
      </c>
    </row>
    <row r="264" customFormat="false" ht="15" hidden="false" customHeight="true" outlineLevel="0" collapsed="false">
      <c r="A264" s="3" t="str">
        <f aca="false">Model_Data!A263</f>
        <v>STR-1065</v>
      </c>
      <c r="B264" s="4" t="n">
        <f aca="false">Model_Data!B263</f>
        <v>45748</v>
      </c>
      <c r="C264" s="3" t="str">
        <f aca="false">Model_Data!C263</f>
        <v>South</v>
      </c>
      <c r="D264" s="3" t="str">
        <f aca="false">Model_Data!D263</f>
        <v>Mall</v>
      </c>
      <c r="E264" s="20" t="n">
        <f aca="false">Multiple_Regression!H264</f>
        <v>776110.32</v>
      </c>
      <c r="F264" s="20" t="n">
        <f aca="false">Multiple_Regression!$L$12+Multiple_Regression!$L$13*Multiple_Regression!A264+Multiple_Regression!$L$14*Multiple_Regression!B264+Multiple_Regression!$L$15*Multiple_Regression!C264+Multiple_Regression!$L$16*Multiple_Regression!D264+Multiple_Regression!$L$17*Multiple_Regression!E264+Multiple_Regression!$L$18*Multiple_Regression!F264+Multiple_Regression!$L$19*Multiple_Regression!G264</f>
        <v>733191.574413276</v>
      </c>
      <c r="G264" s="20" t="n">
        <f aca="false">E264-F264</f>
        <v>42918.7455867237</v>
      </c>
      <c r="H264" s="20" t="n">
        <f aca="false">ABS(G264)</f>
        <v>42918.7455867237</v>
      </c>
    </row>
    <row r="265" customFormat="false" ht="15" hidden="false" customHeight="true" outlineLevel="0" collapsed="false">
      <c r="A265" s="3" t="str">
        <f aca="false">Model_Data!A264</f>
        <v>STR-1066</v>
      </c>
      <c r="B265" s="4" t="n">
        <f aca="false">Model_Data!B264</f>
        <v>45658</v>
      </c>
      <c r="C265" s="3" t="str">
        <f aca="false">Model_Data!C264</f>
        <v>West</v>
      </c>
      <c r="D265" s="3" t="str">
        <f aca="false">Model_Data!D264</f>
        <v>High Street</v>
      </c>
      <c r="E265" s="20" t="n">
        <f aca="false">Multiple_Regression!H265</f>
        <v>528852.62</v>
      </c>
      <c r="F265" s="20" t="n">
        <f aca="false">Multiple_Regression!$L$12+Multiple_Regression!$L$13*Multiple_Regression!A265+Multiple_Regression!$L$14*Multiple_Regression!B265+Multiple_Regression!$L$15*Multiple_Regression!C265+Multiple_Regression!$L$16*Multiple_Regression!D265+Multiple_Regression!$L$17*Multiple_Regression!E265+Multiple_Regression!$L$18*Multiple_Regression!F265+Multiple_Regression!$L$19*Multiple_Regression!G265</f>
        <v>519464.975301094</v>
      </c>
      <c r="G265" s="20" t="n">
        <f aca="false">E265-F265</f>
        <v>9387.64469890617</v>
      </c>
      <c r="H265" s="20" t="n">
        <f aca="false">ABS(G265)</f>
        <v>9387.64469890617</v>
      </c>
    </row>
    <row r="266" customFormat="false" ht="15" hidden="false" customHeight="true" outlineLevel="0" collapsed="false">
      <c r="A266" s="3" t="str">
        <f aca="false">Model_Data!A265</f>
        <v>STR-1066</v>
      </c>
      <c r="B266" s="4" t="n">
        <f aca="false">Model_Data!B265</f>
        <v>45689</v>
      </c>
      <c r="C266" s="3" t="str">
        <f aca="false">Model_Data!C265</f>
        <v>West</v>
      </c>
      <c r="D266" s="3" t="str">
        <f aca="false">Model_Data!D265</f>
        <v>High Street</v>
      </c>
      <c r="E266" s="20" t="n">
        <f aca="false">Multiple_Regression!H266</f>
        <v>605751.33</v>
      </c>
      <c r="F266" s="20" t="n">
        <f aca="false">Multiple_Regression!$L$12+Multiple_Regression!$L$13*Multiple_Regression!A266+Multiple_Regression!$L$14*Multiple_Regression!B266+Multiple_Regression!$L$15*Multiple_Regression!C266+Multiple_Regression!$L$16*Multiple_Regression!D266+Multiple_Regression!$L$17*Multiple_Regression!E266+Multiple_Regression!$L$18*Multiple_Regression!F266+Multiple_Regression!$L$19*Multiple_Regression!G266</f>
        <v>600429.355916215</v>
      </c>
      <c r="G266" s="20" t="n">
        <f aca="false">E266-F266</f>
        <v>5321.97408378462</v>
      </c>
      <c r="H266" s="20" t="n">
        <f aca="false">ABS(G266)</f>
        <v>5321.97408378462</v>
      </c>
    </row>
    <row r="267" customFormat="false" ht="15" hidden="false" customHeight="true" outlineLevel="0" collapsed="false">
      <c r="A267" s="3" t="str">
        <f aca="false">Model_Data!A266</f>
        <v>STR-1066</v>
      </c>
      <c r="B267" s="4" t="n">
        <f aca="false">Model_Data!B266</f>
        <v>45717</v>
      </c>
      <c r="C267" s="3" t="str">
        <f aca="false">Model_Data!C266</f>
        <v>West</v>
      </c>
      <c r="D267" s="3" t="str">
        <f aca="false">Model_Data!D266</f>
        <v>High Street</v>
      </c>
      <c r="E267" s="20" t="n">
        <f aca="false">Multiple_Regression!H267</f>
        <v>677640.65</v>
      </c>
      <c r="F267" s="20" t="n">
        <f aca="false">Multiple_Regression!$L$12+Multiple_Regression!$L$13*Multiple_Regression!A267+Multiple_Regression!$L$14*Multiple_Regression!B267+Multiple_Regression!$L$15*Multiple_Regression!C267+Multiple_Regression!$L$16*Multiple_Regression!D267+Multiple_Regression!$L$17*Multiple_Regression!E267+Multiple_Regression!$L$18*Multiple_Regression!F267+Multiple_Regression!$L$19*Multiple_Regression!G267</f>
        <v>608034.703803941</v>
      </c>
      <c r="G267" s="20" t="n">
        <f aca="false">E267-F267</f>
        <v>69605.9461960587</v>
      </c>
      <c r="H267" s="20" t="n">
        <f aca="false">ABS(G267)</f>
        <v>69605.9461960587</v>
      </c>
    </row>
    <row r="268" customFormat="false" ht="15" hidden="false" customHeight="true" outlineLevel="0" collapsed="false">
      <c r="A268" s="3" t="str">
        <f aca="false">Model_Data!A267</f>
        <v>STR-1066</v>
      </c>
      <c r="B268" s="4" t="n">
        <f aca="false">Model_Data!B267</f>
        <v>45748</v>
      </c>
      <c r="C268" s="3" t="str">
        <f aca="false">Model_Data!C267</f>
        <v>West</v>
      </c>
      <c r="D268" s="3" t="str">
        <f aca="false">Model_Data!D267</f>
        <v>High Street</v>
      </c>
      <c r="E268" s="20" t="n">
        <f aca="false">Multiple_Regression!H268</f>
        <v>636613.23</v>
      </c>
      <c r="F268" s="20" t="n">
        <f aca="false">Multiple_Regression!$L$12+Multiple_Regression!$L$13*Multiple_Regression!A268+Multiple_Regression!$L$14*Multiple_Regression!B268+Multiple_Regression!$L$15*Multiple_Regression!C268+Multiple_Regression!$L$16*Multiple_Regression!D268+Multiple_Regression!$L$17*Multiple_Regression!E268+Multiple_Regression!$L$18*Multiple_Regression!F268+Multiple_Regression!$L$19*Multiple_Regression!G268</f>
        <v>609438.978201511</v>
      </c>
      <c r="G268" s="20" t="n">
        <f aca="false">E268-F268</f>
        <v>27174.2517984886</v>
      </c>
      <c r="H268" s="20" t="n">
        <f aca="false">ABS(G268)</f>
        <v>27174.2517984886</v>
      </c>
    </row>
    <row r="269" customFormat="false" ht="15" hidden="false" customHeight="true" outlineLevel="0" collapsed="false">
      <c r="A269" s="3" t="str">
        <f aca="false">Model_Data!A268</f>
        <v>STR-1067</v>
      </c>
      <c r="B269" s="4" t="n">
        <f aca="false">Model_Data!B268</f>
        <v>45658</v>
      </c>
      <c r="C269" s="3" t="str">
        <f aca="false">Model_Data!C268</f>
        <v>East</v>
      </c>
      <c r="D269" s="3" t="str">
        <f aca="false">Model_Data!D268</f>
        <v>High Street</v>
      </c>
      <c r="E269" s="20" t="n">
        <f aca="false">Multiple_Regression!H269</f>
        <v>708985.19</v>
      </c>
      <c r="F269" s="20" t="n">
        <f aca="false">Multiple_Regression!$L$12+Multiple_Regression!$L$13*Multiple_Regression!A269+Multiple_Regression!$L$14*Multiple_Regression!B269+Multiple_Regression!$L$15*Multiple_Regression!C269+Multiple_Regression!$L$16*Multiple_Regression!D269+Multiple_Regression!$L$17*Multiple_Regression!E269+Multiple_Regression!$L$18*Multiple_Regression!F269+Multiple_Regression!$L$19*Multiple_Regression!G269</f>
        <v>734190.741127478</v>
      </c>
      <c r="G269" s="20" t="n">
        <f aca="false">E269-F269</f>
        <v>-25205.5511274781</v>
      </c>
      <c r="H269" s="20" t="n">
        <f aca="false">ABS(G269)</f>
        <v>25205.5511274781</v>
      </c>
    </row>
    <row r="270" customFormat="false" ht="15" hidden="false" customHeight="true" outlineLevel="0" collapsed="false">
      <c r="A270" s="3" t="str">
        <f aca="false">Model_Data!A269</f>
        <v>STR-1067</v>
      </c>
      <c r="B270" s="4" t="n">
        <f aca="false">Model_Data!B269</f>
        <v>45689</v>
      </c>
      <c r="C270" s="3" t="str">
        <f aca="false">Model_Data!C269</f>
        <v>East</v>
      </c>
      <c r="D270" s="3" t="str">
        <f aca="false">Model_Data!D269</f>
        <v>High Street</v>
      </c>
      <c r="E270" s="20" t="n">
        <f aca="false">Multiple_Regression!H270</f>
        <v>767792.94</v>
      </c>
      <c r="F270" s="20" t="n">
        <f aca="false">Multiple_Regression!$L$12+Multiple_Regression!$L$13*Multiple_Regression!A270+Multiple_Regression!$L$14*Multiple_Regression!B270+Multiple_Regression!$L$15*Multiple_Regression!C270+Multiple_Regression!$L$16*Multiple_Regression!D270+Multiple_Regression!$L$17*Multiple_Regression!E270+Multiple_Regression!$L$18*Multiple_Regression!F270+Multiple_Regression!$L$19*Multiple_Regression!G270</f>
        <v>739451.926268656</v>
      </c>
      <c r="G270" s="20" t="n">
        <f aca="false">E270-F270</f>
        <v>28341.0137313445</v>
      </c>
      <c r="H270" s="20" t="n">
        <f aca="false">ABS(G270)</f>
        <v>28341.0137313445</v>
      </c>
    </row>
    <row r="271" customFormat="false" ht="15" hidden="false" customHeight="true" outlineLevel="0" collapsed="false">
      <c r="A271" s="3" t="str">
        <f aca="false">Model_Data!A270</f>
        <v>STR-1067</v>
      </c>
      <c r="B271" s="4" t="n">
        <f aca="false">Model_Data!B270</f>
        <v>45717</v>
      </c>
      <c r="C271" s="3" t="str">
        <f aca="false">Model_Data!C270</f>
        <v>East</v>
      </c>
      <c r="D271" s="3" t="str">
        <f aca="false">Model_Data!D270</f>
        <v>High Street</v>
      </c>
      <c r="E271" s="20" t="n">
        <f aca="false">Multiple_Regression!H271</f>
        <v>745580.51</v>
      </c>
      <c r="F271" s="20" t="n">
        <f aca="false">Multiple_Regression!$L$12+Multiple_Regression!$L$13*Multiple_Regression!A271+Multiple_Regression!$L$14*Multiple_Regression!B271+Multiple_Regression!$L$15*Multiple_Regression!C271+Multiple_Regression!$L$16*Multiple_Regression!D271+Multiple_Regression!$L$17*Multiple_Regression!E271+Multiple_Regression!$L$18*Multiple_Regression!F271+Multiple_Regression!$L$19*Multiple_Regression!G271</f>
        <v>726144.019477826</v>
      </c>
      <c r="G271" s="20" t="n">
        <f aca="false">E271-F271</f>
        <v>19436.4905221744</v>
      </c>
      <c r="H271" s="20" t="n">
        <f aca="false">ABS(G271)</f>
        <v>19436.4905221744</v>
      </c>
    </row>
    <row r="272" customFormat="false" ht="15" hidden="false" customHeight="true" outlineLevel="0" collapsed="false">
      <c r="A272" s="3" t="str">
        <f aca="false">Model_Data!A271</f>
        <v>STR-1067</v>
      </c>
      <c r="B272" s="4" t="n">
        <f aca="false">Model_Data!B271</f>
        <v>45748</v>
      </c>
      <c r="C272" s="3" t="str">
        <f aca="false">Model_Data!C271</f>
        <v>East</v>
      </c>
      <c r="D272" s="3" t="str">
        <f aca="false">Model_Data!D271</f>
        <v>High Street</v>
      </c>
      <c r="E272" s="20" t="n">
        <f aca="false">Multiple_Regression!H272</f>
        <v>762328.31</v>
      </c>
      <c r="F272" s="20" t="n">
        <f aca="false">Multiple_Regression!$L$12+Multiple_Regression!$L$13*Multiple_Regression!A272+Multiple_Regression!$L$14*Multiple_Regression!B272+Multiple_Regression!$L$15*Multiple_Regression!C272+Multiple_Regression!$L$16*Multiple_Regression!D272+Multiple_Regression!$L$17*Multiple_Regression!E272+Multiple_Regression!$L$18*Multiple_Regression!F272+Multiple_Regression!$L$19*Multiple_Regression!G272</f>
        <v>736852.929573992</v>
      </c>
      <c r="G272" s="20" t="n">
        <f aca="false">E272-F272</f>
        <v>25475.3804260084</v>
      </c>
      <c r="H272" s="20" t="n">
        <f aca="false">ABS(G272)</f>
        <v>25475.3804260084</v>
      </c>
    </row>
    <row r="273" customFormat="false" ht="15" hidden="false" customHeight="true" outlineLevel="0" collapsed="false">
      <c r="A273" s="3" t="str">
        <f aca="false">Model_Data!A272</f>
        <v>STR-1068</v>
      </c>
      <c r="B273" s="4" t="n">
        <f aca="false">Model_Data!B272</f>
        <v>45658</v>
      </c>
      <c r="C273" s="3" t="str">
        <f aca="false">Model_Data!C272</f>
        <v>East</v>
      </c>
      <c r="D273" s="3" t="str">
        <f aca="false">Model_Data!D272</f>
        <v>Mall</v>
      </c>
      <c r="E273" s="20" t="n">
        <f aca="false">Multiple_Regression!H273</f>
        <v>660633.99</v>
      </c>
      <c r="F273" s="20" t="n">
        <f aca="false">Multiple_Regression!$L$12+Multiple_Regression!$L$13*Multiple_Regression!A273+Multiple_Regression!$L$14*Multiple_Regression!B273+Multiple_Regression!$L$15*Multiple_Regression!C273+Multiple_Regression!$L$16*Multiple_Regression!D273+Multiple_Regression!$L$17*Multiple_Regression!E273+Multiple_Regression!$L$18*Multiple_Regression!F273+Multiple_Regression!$L$19*Multiple_Regression!G273</f>
        <v>754801.950298413</v>
      </c>
      <c r="G273" s="20" t="n">
        <f aca="false">E273-F273</f>
        <v>-94167.9602984132</v>
      </c>
      <c r="H273" s="20" t="n">
        <f aca="false">ABS(G273)</f>
        <v>94167.9602984132</v>
      </c>
    </row>
    <row r="274" customFormat="false" ht="15" hidden="false" customHeight="true" outlineLevel="0" collapsed="false">
      <c r="A274" s="3" t="str">
        <f aca="false">Model_Data!A273</f>
        <v>STR-1068</v>
      </c>
      <c r="B274" s="4" t="n">
        <f aca="false">Model_Data!B273</f>
        <v>45689</v>
      </c>
      <c r="C274" s="3" t="str">
        <f aca="false">Model_Data!C273</f>
        <v>East</v>
      </c>
      <c r="D274" s="3" t="str">
        <f aca="false">Model_Data!D273</f>
        <v>Mall</v>
      </c>
      <c r="E274" s="20" t="n">
        <f aca="false">Multiple_Regression!H274</f>
        <v>739374.56</v>
      </c>
      <c r="F274" s="20" t="n">
        <f aca="false">Multiple_Regression!$L$12+Multiple_Regression!$L$13*Multiple_Regression!A274+Multiple_Regression!$L$14*Multiple_Regression!B274+Multiple_Regression!$L$15*Multiple_Regression!C274+Multiple_Regression!$L$16*Multiple_Regression!D274+Multiple_Regression!$L$17*Multiple_Regression!E274+Multiple_Regression!$L$18*Multiple_Regression!F274+Multiple_Regression!$L$19*Multiple_Regression!G274</f>
        <v>705057.463995067</v>
      </c>
      <c r="G274" s="20" t="n">
        <f aca="false">E274-F274</f>
        <v>34317.0960049331</v>
      </c>
      <c r="H274" s="20" t="n">
        <f aca="false">ABS(G274)</f>
        <v>34317.0960049331</v>
      </c>
    </row>
    <row r="275" customFormat="false" ht="15" hidden="false" customHeight="true" outlineLevel="0" collapsed="false">
      <c r="A275" s="3" t="str">
        <f aca="false">Model_Data!A274</f>
        <v>STR-1068</v>
      </c>
      <c r="B275" s="4" t="n">
        <f aca="false">Model_Data!B274</f>
        <v>45717</v>
      </c>
      <c r="C275" s="3" t="str">
        <f aca="false">Model_Data!C274</f>
        <v>East</v>
      </c>
      <c r="D275" s="3" t="str">
        <f aca="false">Model_Data!D274</f>
        <v>Mall</v>
      </c>
      <c r="E275" s="20" t="n">
        <f aca="false">Multiple_Regression!H275</f>
        <v>799756.46</v>
      </c>
      <c r="F275" s="20" t="n">
        <f aca="false">Multiple_Regression!$L$12+Multiple_Regression!$L$13*Multiple_Regression!A275+Multiple_Regression!$L$14*Multiple_Regression!B275+Multiple_Regression!$L$15*Multiple_Regression!C275+Multiple_Regression!$L$16*Multiple_Regression!D275+Multiple_Regression!$L$17*Multiple_Regression!E275+Multiple_Regression!$L$18*Multiple_Regression!F275+Multiple_Regression!$L$19*Multiple_Regression!G275</f>
        <v>814948.234412688</v>
      </c>
      <c r="G275" s="20" t="n">
        <f aca="false">E275-F275</f>
        <v>-15191.7744126878</v>
      </c>
      <c r="H275" s="20" t="n">
        <f aca="false">ABS(G275)</f>
        <v>15191.7744126878</v>
      </c>
    </row>
    <row r="276" customFormat="false" ht="15" hidden="false" customHeight="true" outlineLevel="0" collapsed="false">
      <c r="A276" s="3" t="str">
        <f aca="false">Model_Data!A275</f>
        <v>STR-1068</v>
      </c>
      <c r="B276" s="4" t="n">
        <f aca="false">Model_Data!B275</f>
        <v>45748</v>
      </c>
      <c r="C276" s="3" t="str">
        <f aca="false">Model_Data!C275</f>
        <v>East</v>
      </c>
      <c r="D276" s="3" t="str">
        <f aca="false">Model_Data!D275</f>
        <v>Mall</v>
      </c>
      <c r="E276" s="20" t="n">
        <f aca="false">Multiple_Regression!H276</f>
        <v>593343</v>
      </c>
      <c r="F276" s="20" t="n">
        <f aca="false">Multiple_Regression!$L$12+Multiple_Regression!$L$13*Multiple_Regression!A276+Multiple_Regression!$L$14*Multiple_Regression!B276+Multiple_Regression!$L$15*Multiple_Regression!C276+Multiple_Regression!$L$16*Multiple_Regression!D276+Multiple_Regression!$L$17*Multiple_Regression!E276+Multiple_Regression!$L$18*Multiple_Regression!F276+Multiple_Regression!$L$19*Multiple_Regression!G276</f>
        <v>685376.438980004</v>
      </c>
      <c r="G276" s="20" t="n">
        <f aca="false">E276-F276</f>
        <v>-92033.4389800037</v>
      </c>
      <c r="H276" s="20" t="n">
        <f aca="false">ABS(G276)</f>
        <v>92033.4389800037</v>
      </c>
    </row>
    <row r="277" customFormat="false" ht="15" hidden="false" customHeight="true" outlineLevel="0" collapsed="false">
      <c r="A277" s="3" t="str">
        <f aca="false">Model_Data!A276</f>
        <v>STR-1069</v>
      </c>
      <c r="B277" s="4" t="n">
        <f aca="false">Model_Data!B276</f>
        <v>45658</v>
      </c>
      <c r="C277" s="3" t="str">
        <f aca="false">Model_Data!C276</f>
        <v>West</v>
      </c>
      <c r="D277" s="3" t="str">
        <f aca="false">Model_Data!D276</f>
        <v>High Street</v>
      </c>
      <c r="E277" s="20" t="n">
        <f aca="false">Multiple_Regression!H277</f>
        <v>645039.97</v>
      </c>
      <c r="F277" s="20" t="n">
        <f aca="false">Multiple_Regression!$L$12+Multiple_Regression!$L$13*Multiple_Regression!A277+Multiple_Regression!$L$14*Multiple_Regression!B277+Multiple_Regression!$L$15*Multiple_Regression!C277+Multiple_Regression!$L$16*Multiple_Regression!D277+Multiple_Regression!$L$17*Multiple_Regression!E277+Multiple_Regression!$L$18*Multiple_Regression!F277+Multiple_Regression!$L$19*Multiple_Regression!G277</f>
        <v>641163.804401711</v>
      </c>
      <c r="G277" s="20" t="n">
        <f aca="false">E277-F277</f>
        <v>3876.16559828934</v>
      </c>
      <c r="H277" s="20" t="n">
        <f aca="false">ABS(G277)</f>
        <v>3876.16559828934</v>
      </c>
    </row>
    <row r="278" customFormat="false" ht="15" hidden="false" customHeight="true" outlineLevel="0" collapsed="false">
      <c r="A278" s="3" t="str">
        <f aca="false">Model_Data!A277</f>
        <v>STR-1069</v>
      </c>
      <c r="B278" s="4" t="n">
        <f aca="false">Model_Data!B277</f>
        <v>45689</v>
      </c>
      <c r="C278" s="3" t="str">
        <f aca="false">Model_Data!C277</f>
        <v>West</v>
      </c>
      <c r="D278" s="3" t="str">
        <f aca="false">Model_Data!D277</f>
        <v>High Street</v>
      </c>
      <c r="E278" s="20" t="n">
        <f aca="false">Multiple_Regression!H278</f>
        <v>561597.33</v>
      </c>
      <c r="F278" s="20" t="n">
        <f aca="false">Multiple_Regression!$L$12+Multiple_Regression!$L$13*Multiple_Regression!A278+Multiple_Regression!$L$14*Multiple_Regression!B278+Multiple_Regression!$L$15*Multiple_Regression!C278+Multiple_Regression!$L$16*Multiple_Regression!D278+Multiple_Regression!$L$17*Multiple_Regression!E278+Multiple_Regression!$L$18*Multiple_Regression!F278+Multiple_Regression!$L$19*Multiple_Regression!G278</f>
        <v>524740.967315259</v>
      </c>
      <c r="G278" s="20" t="n">
        <f aca="false">E278-F278</f>
        <v>36856.3626847413</v>
      </c>
      <c r="H278" s="20" t="n">
        <f aca="false">ABS(G278)</f>
        <v>36856.3626847413</v>
      </c>
    </row>
    <row r="279" customFormat="false" ht="15" hidden="false" customHeight="true" outlineLevel="0" collapsed="false">
      <c r="A279" s="3" t="str">
        <f aca="false">Model_Data!A278</f>
        <v>STR-1069</v>
      </c>
      <c r="B279" s="4" t="n">
        <f aca="false">Model_Data!B278</f>
        <v>45717</v>
      </c>
      <c r="C279" s="3" t="str">
        <f aca="false">Model_Data!C278</f>
        <v>West</v>
      </c>
      <c r="D279" s="3" t="str">
        <f aca="false">Model_Data!D278</f>
        <v>High Street</v>
      </c>
      <c r="E279" s="20" t="n">
        <f aca="false">Multiple_Regression!H279</f>
        <v>635837.74</v>
      </c>
      <c r="F279" s="20" t="n">
        <f aca="false">Multiple_Regression!$L$12+Multiple_Regression!$L$13*Multiple_Regression!A279+Multiple_Regression!$L$14*Multiple_Regression!B279+Multiple_Regression!$L$15*Multiple_Regression!C279+Multiple_Regression!$L$16*Multiple_Regression!D279+Multiple_Regression!$L$17*Multiple_Regression!E279+Multiple_Regression!$L$18*Multiple_Regression!F279+Multiple_Regression!$L$19*Multiple_Regression!G279</f>
        <v>647790.045877081</v>
      </c>
      <c r="G279" s="20" t="n">
        <f aca="false">E279-F279</f>
        <v>-11952.3058770811</v>
      </c>
      <c r="H279" s="20" t="n">
        <f aca="false">ABS(G279)</f>
        <v>11952.3058770811</v>
      </c>
    </row>
    <row r="280" customFormat="false" ht="15" hidden="false" customHeight="true" outlineLevel="0" collapsed="false">
      <c r="A280" s="3" t="str">
        <f aca="false">Model_Data!A279</f>
        <v>STR-1069</v>
      </c>
      <c r="B280" s="4" t="n">
        <f aca="false">Model_Data!B279</f>
        <v>45748</v>
      </c>
      <c r="C280" s="3" t="str">
        <f aca="false">Model_Data!C279</f>
        <v>West</v>
      </c>
      <c r="D280" s="3" t="str">
        <f aca="false">Model_Data!D279</f>
        <v>High Street</v>
      </c>
      <c r="E280" s="20" t="n">
        <f aca="false">Multiple_Regression!H280</f>
        <v>686737.87</v>
      </c>
      <c r="F280" s="20" t="n">
        <f aca="false">Multiple_Regression!$L$12+Multiple_Regression!$L$13*Multiple_Regression!A280+Multiple_Regression!$L$14*Multiple_Regression!B280+Multiple_Regression!$L$15*Multiple_Regression!C280+Multiple_Regression!$L$16*Multiple_Regression!D280+Multiple_Regression!$L$17*Multiple_Regression!E280+Multiple_Regression!$L$18*Multiple_Regression!F280+Multiple_Regression!$L$19*Multiple_Regression!G280</f>
        <v>598272.891816862</v>
      </c>
      <c r="G280" s="20" t="n">
        <f aca="false">E280-F280</f>
        <v>88464.9781831384</v>
      </c>
      <c r="H280" s="20" t="n">
        <f aca="false">ABS(G280)</f>
        <v>88464.9781831384</v>
      </c>
    </row>
    <row r="281" customFormat="false" ht="15" hidden="false" customHeight="true" outlineLevel="0" collapsed="false">
      <c r="A281" s="3" t="str">
        <f aca="false">Model_Data!A280</f>
        <v>STR-1070</v>
      </c>
      <c r="B281" s="4" t="n">
        <f aca="false">Model_Data!B280</f>
        <v>45658</v>
      </c>
      <c r="C281" s="3" t="str">
        <f aca="false">Model_Data!C280</f>
        <v>South</v>
      </c>
      <c r="D281" s="3" t="str">
        <f aca="false">Model_Data!D280</f>
        <v>Residential</v>
      </c>
      <c r="E281" s="20" t="n">
        <f aca="false">Multiple_Regression!H281</f>
        <v>673076.34</v>
      </c>
      <c r="F281" s="20" t="n">
        <f aca="false">Multiple_Regression!$L$12+Multiple_Regression!$L$13*Multiple_Regression!A281+Multiple_Regression!$L$14*Multiple_Regression!B281+Multiple_Regression!$L$15*Multiple_Regression!C281+Multiple_Regression!$L$16*Multiple_Regression!D281+Multiple_Regression!$L$17*Multiple_Regression!E281+Multiple_Regression!$L$18*Multiple_Regression!F281+Multiple_Regression!$L$19*Multiple_Regression!G281</f>
        <v>735293.506921528</v>
      </c>
      <c r="G281" s="20" t="n">
        <f aca="false">E281-F281</f>
        <v>-62217.1669215281</v>
      </c>
      <c r="H281" s="20" t="n">
        <f aca="false">ABS(G281)</f>
        <v>62217.1669215281</v>
      </c>
    </row>
    <row r="282" customFormat="false" ht="15" hidden="false" customHeight="true" outlineLevel="0" collapsed="false">
      <c r="A282" s="3" t="str">
        <f aca="false">Model_Data!A281</f>
        <v>STR-1070</v>
      </c>
      <c r="B282" s="4" t="n">
        <f aca="false">Model_Data!B281</f>
        <v>45689</v>
      </c>
      <c r="C282" s="3" t="str">
        <f aca="false">Model_Data!C281</f>
        <v>South</v>
      </c>
      <c r="D282" s="3" t="str">
        <f aca="false">Model_Data!D281</f>
        <v>Residential</v>
      </c>
      <c r="E282" s="20" t="n">
        <f aca="false">Multiple_Regression!H282</f>
        <v>738548.42</v>
      </c>
      <c r="F282" s="20" t="n">
        <f aca="false">Multiple_Regression!$L$12+Multiple_Regression!$L$13*Multiple_Regression!A282+Multiple_Regression!$L$14*Multiple_Regression!B282+Multiple_Regression!$L$15*Multiple_Regression!C282+Multiple_Regression!$L$16*Multiple_Regression!D282+Multiple_Regression!$L$17*Multiple_Regression!E282+Multiple_Regression!$L$18*Multiple_Regression!F282+Multiple_Regression!$L$19*Multiple_Regression!G282</f>
        <v>698820.58292867</v>
      </c>
      <c r="G282" s="20" t="n">
        <f aca="false">E282-F282</f>
        <v>39727.8370713298</v>
      </c>
      <c r="H282" s="20" t="n">
        <f aca="false">ABS(G282)</f>
        <v>39727.8370713298</v>
      </c>
    </row>
    <row r="283" customFormat="false" ht="15" hidden="false" customHeight="true" outlineLevel="0" collapsed="false">
      <c r="A283" s="3" t="str">
        <f aca="false">Model_Data!A282</f>
        <v>STR-1070</v>
      </c>
      <c r="B283" s="4" t="n">
        <f aca="false">Model_Data!B282</f>
        <v>45717</v>
      </c>
      <c r="C283" s="3" t="str">
        <f aca="false">Model_Data!C282</f>
        <v>South</v>
      </c>
      <c r="D283" s="3" t="str">
        <f aca="false">Model_Data!D282</f>
        <v>Residential</v>
      </c>
      <c r="E283" s="20" t="n">
        <f aca="false">Multiple_Regression!H283</f>
        <v>756619.77</v>
      </c>
      <c r="F283" s="20" t="n">
        <f aca="false">Multiple_Regression!$L$12+Multiple_Regression!$L$13*Multiple_Regression!A283+Multiple_Regression!$L$14*Multiple_Regression!B283+Multiple_Regression!$L$15*Multiple_Regression!C283+Multiple_Regression!$L$16*Multiple_Regression!D283+Multiple_Regression!$L$17*Multiple_Regression!E283+Multiple_Regression!$L$18*Multiple_Regression!F283+Multiple_Regression!$L$19*Multiple_Regression!G283</f>
        <v>737931.931829764</v>
      </c>
      <c r="G283" s="20" t="n">
        <f aca="false">E283-F283</f>
        <v>18687.838170236</v>
      </c>
      <c r="H283" s="20" t="n">
        <f aca="false">ABS(G283)</f>
        <v>18687.838170236</v>
      </c>
    </row>
    <row r="284" customFormat="false" ht="15" hidden="false" customHeight="true" outlineLevel="0" collapsed="false">
      <c r="A284" s="3" t="str">
        <f aca="false">Model_Data!A283</f>
        <v>STR-1070</v>
      </c>
      <c r="B284" s="4" t="n">
        <f aca="false">Model_Data!B283</f>
        <v>45748</v>
      </c>
      <c r="C284" s="3" t="str">
        <f aca="false">Model_Data!C283</f>
        <v>South</v>
      </c>
      <c r="D284" s="3" t="str">
        <f aca="false">Model_Data!D283</f>
        <v>Residential</v>
      </c>
      <c r="E284" s="20" t="n">
        <f aca="false">Multiple_Regression!H284</f>
        <v>761122.42</v>
      </c>
      <c r="F284" s="20" t="n">
        <f aca="false">Multiple_Regression!$L$12+Multiple_Regression!$L$13*Multiple_Regression!A284+Multiple_Regression!$L$14*Multiple_Regression!B284+Multiple_Regression!$L$15*Multiple_Regression!C284+Multiple_Regression!$L$16*Multiple_Regression!D284+Multiple_Regression!$L$17*Multiple_Regression!E284+Multiple_Regression!$L$18*Multiple_Regression!F284+Multiple_Regression!$L$19*Multiple_Regression!G284</f>
        <v>769770.782703006</v>
      </c>
      <c r="G284" s="20" t="n">
        <f aca="false">E284-F284</f>
        <v>-8648.36270300625</v>
      </c>
      <c r="H284" s="20" t="n">
        <f aca="false">ABS(G284)</f>
        <v>8648.36270300625</v>
      </c>
    </row>
    <row r="285" customFormat="false" ht="15" hidden="false" customHeight="true" outlineLevel="0" collapsed="false">
      <c r="A285" s="3" t="str">
        <f aca="false">Model_Data!A284</f>
        <v>STR-1071</v>
      </c>
      <c r="B285" s="4" t="n">
        <f aca="false">Model_Data!B284</f>
        <v>45658</v>
      </c>
      <c r="C285" s="3" t="str">
        <f aca="false">Model_Data!C284</f>
        <v>South</v>
      </c>
      <c r="D285" s="3" t="str">
        <f aca="false">Model_Data!D284</f>
        <v>High Street</v>
      </c>
      <c r="E285" s="20" t="n">
        <f aca="false">Multiple_Regression!H285</f>
        <v>524899.57</v>
      </c>
      <c r="F285" s="20" t="n">
        <f aca="false">Multiple_Regression!$L$12+Multiple_Regression!$L$13*Multiple_Regression!A285+Multiple_Regression!$L$14*Multiple_Regression!B285+Multiple_Regression!$L$15*Multiple_Regression!C285+Multiple_Regression!$L$16*Multiple_Regression!D285+Multiple_Regression!$L$17*Multiple_Regression!E285+Multiple_Regression!$L$18*Multiple_Regression!F285+Multiple_Regression!$L$19*Multiple_Regression!G285</f>
        <v>570888.791590506</v>
      </c>
      <c r="G285" s="20" t="n">
        <f aca="false">E285-F285</f>
        <v>-45989.2215905059</v>
      </c>
      <c r="H285" s="20" t="n">
        <f aca="false">ABS(G285)</f>
        <v>45989.2215905059</v>
      </c>
    </row>
    <row r="286" customFormat="false" ht="15" hidden="false" customHeight="true" outlineLevel="0" collapsed="false">
      <c r="A286" s="3" t="str">
        <f aca="false">Model_Data!A285</f>
        <v>STR-1071</v>
      </c>
      <c r="B286" s="4" t="n">
        <f aca="false">Model_Data!B285</f>
        <v>45689</v>
      </c>
      <c r="C286" s="3" t="str">
        <f aca="false">Model_Data!C285</f>
        <v>South</v>
      </c>
      <c r="D286" s="3" t="str">
        <f aca="false">Model_Data!D285</f>
        <v>High Street</v>
      </c>
      <c r="E286" s="20" t="n">
        <f aca="false">Multiple_Regression!H286</f>
        <v>555557.77</v>
      </c>
      <c r="F286" s="20" t="n">
        <f aca="false">Multiple_Regression!$L$12+Multiple_Regression!$L$13*Multiple_Regression!A286+Multiple_Regression!$L$14*Multiple_Regression!B286+Multiple_Regression!$L$15*Multiple_Regression!C286+Multiple_Regression!$L$16*Multiple_Regression!D286+Multiple_Regression!$L$17*Multiple_Regression!E286+Multiple_Regression!$L$18*Multiple_Regression!F286+Multiple_Regression!$L$19*Multiple_Regression!G286</f>
        <v>584847.929826658</v>
      </c>
      <c r="G286" s="20" t="n">
        <f aca="false">E286-F286</f>
        <v>-29290.1598266577</v>
      </c>
      <c r="H286" s="20" t="n">
        <f aca="false">ABS(G286)</f>
        <v>29290.1598266577</v>
      </c>
    </row>
    <row r="287" customFormat="false" ht="15" hidden="false" customHeight="true" outlineLevel="0" collapsed="false">
      <c r="A287" s="3" t="str">
        <f aca="false">Model_Data!A286</f>
        <v>STR-1071</v>
      </c>
      <c r="B287" s="4" t="n">
        <f aca="false">Model_Data!B286</f>
        <v>45717</v>
      </c>
      <c r="C287" s="3" t="str">
        <f aca="false">Model_Data!C286</f>
        <v>South</v>
      </c>
      <c r="D287" s="3" t="str">
        <f aca="false">Model_Data!D286</f>
        <v>High Street</v>
      </c>
      <c r="E287" s="20" t="n">
        <f aca="false">Multiple_Regression!H287</f>
        <v>714083.68</v>
      </c>
      <c r="F287" s="20" t="n">
        <f aca="false">Multiple_Regression!$L$12+Multiple_Regression!$L$13*Multiple_Regression!A287+Multiple_Regression!$L$14*Multiple_Regression!B287+Multiple_Regression!$L$15*Multiple_Regression!C287+Multiple_Regression!$L$16*Multiple_Regression!D287+Multiple_Regression!$L$17*Multiple_Regression!E287+Multiple_Regression!$L$18*Multiple_Regression!F287+Multiple_Regression!$L$19*Multiple_Regression!G287</f>
        <v>690749.71204277</v>
      </c>
      <c r="G287" s="20" t="n">
        <f aca="false">E287-F287</f>
        <v>23333.9679572299</v>
      </c>
      <c r="H287" s="20" t="n">
        <f aca="false">ABS(G287)</f>
        <v>23333.9679572299</v>
      </c>
    </row>
    <row r="288" customFormat="false" ht="15" hidden="false" customHeight="true" outlineLevel="0" collapsed="false">
      <c r="A288" s="3" t="str">
        <f aca="false">Model_Data!A287</f>
        <v>STR-1071</v>
      </c>
      <c r="B288" s="4" t="n">
        <f aca="false">Model_Data!B287</f>
        <v>45748</v>
      </c>
      <c r="C288" s="3" t="str">
        <f aca="false">Model_Data!C287</f>
        <v>South</v>
      </c>
      <c r="D288" s="3" t="str">
        <f aca="false">Model_Data!D287</f>
        <v>High Street</v>
      </c>
      <c r="E288" s="20" t="n">
        <f aca="false">Multiple_Regression!H288</f>
        <v>497439.82</v>
      </c>
      <c r="F288" s="20" t="n">
        <f aca="false">Multiple_Regression!$L$12+Multiple_Regression!$L$13*Multiple_Regression!A288+Multiple_Regression!$L$14*Multiple_Regression!B288+Multiple_Regression!$L$15*Multiple_Regression!C288+Multiple_Regression!$L$16*Multiple_Regression!D288+Multiple_Regression!$L$17*Multiple_Regression!E288+Multiple_Regression!$L$18*Multiple_Regression!F288+Multiple_Regression!$L$19*Multiple_Regression!G288</f>
        <v>496101.442757852</v>
      </c>
      <c r="G288" s="20" t="n">
        <f aca="false">E288-F288</f>
        <v>1338.37724214781</v>
      </c>
      <c r="H288" s="20" t="n">
        <f aca="false">ABS(G288)</f>
        <v>1338.37724214781</v>
      </c>
    </row>
    <row r="289" customFormat="false" ht="15" hidden="false" customHeight="true" outlineLevel="0" collapsed="false">
      <c r="A289" s="3" t="str">
        <f aca="false">Model_Data!A288</f>
        <v>STR-1072</v>
      </c>
      <c r="B289" s="4" t="n">
        <f aca="false">Model_Data!B288</f>
        <v>45658</v>
      </c>
      <c r="C289" s="3" t="str">
        <f aca="false">Model_Data!C288</f>
        <v>West</v>
      </c>
      <c r="D289" s="3" t="str">
        <f aca="false">Model_Data!D288</f>
        <v>Residential</v>
      </c>
      <c r="E289" s="20" t="n">
        <f aca="false">Multiple_Regression!H289</f>
        <v>636775.66</v>
      </c>
      <c r="F289" s="20" t="n">
        <f aca="false">Multiple_Regression!$L$12+Multiple_Regression!$L$13*Multiple_Regression!A289+Multiple_Regression!$L$14*Multiple_Regression!B289+Multiple_Regression!$L$15*Multiple_Regression!C289+Multiple_Regression!$L$16*Multiple_Regression!D289+Multiple_Regression!$L$17*Multiple_Regression!E289+Multiple_Regression!$L$18*Multiple_Regression!F289+Multiple_Regression!$L$19*Multiple_Regression!G289</f>
        <v>636195.053055298</v>
      </c>
      <c r="G289" s="20" t="n">
        <f aca="false">E289-F289</f>
        <v>580.606944701634</v>
      </c>
      <c r="H289" s="20" t="n">
        <f aca="false">ABS(G289)</f>
        <v>580.606944701634</v>
      </c>
    </row>
    <row r="290" customFormat="false" ht="15" hidden="false" customHeight="true" outlineLevel="0" collapsed="false">
      <c r="A290" s="3" t="str">
        <f aca="false">Model_Data!A289</f>
        <v>STR-1072</v>
      </c>
      <c r="B290" s="4" t="n">
        <f aca="false">Model_Data!B289</f>
        <v>45689</v>
      </c>
      <c r="C290" s="3" t="str">
        <f aca="false">Model_Data!C289</f>
        <v>West</v>
      </c>
      <c r="D290" s="3" t="str">
        <f aca="false">Model_Data!D289</f>
        <v>Residential</v>
      </c>
      <c r="E290" s="20" t="n">
        <f aca="false">Multiple_Regression!H290</f>
        <v>633009.53</v>
      </c>
      <c r="F290" s="20" t="n">
        <f aca="false">Multiple_Regression!$L$12+Multiple_Regression!$L$13*Multiple_Regression!A290+Multiple_Regression!$L$14*Multiple_Regression!B290+Multiple_Regression!$L$15*Multiple_Regression!C290+Multiple_Regression!$L$16*Multiple_Regression!D290+Multiple_Regression!$L$17*Multiple_Regression!E290+Multiple_Regression!$L$18*Multiple_Regression!F290+Multiple_Regression!$L$19*Multiple_Regression!G290</f>
        <v>621324.004192559</v>
      </c>
      <c r="G290" s="20" t="n">
        <f aca="false">E290-F290</f>
        <v>11685.5258074412</v>
      </c>
      <c r="H290" s="20" t="n">
        <f aca="false">ABS(G290)</f>
        <v>11685.5258074412</v>
      </c>
    </row>
    <row r="291" customFormat="false" ht="15" hidden="false" customHeight="true" outlineLevel="0" collapsed="false">
      <c r="A291" s="3" t="str">
        <f aca="false">Model_Data!A290</f>
        <v>STR-1072</v>
      </c>
      <c r="B291" s="4" t="n">
        <f aca="false">Model_Data!B290</f>
        <v>45717</v>
      </c>
      <c r="C291" s="3" t="str">
        <f aca="false">Model_Data!C290</f>
        <v>West</v>
      </c>
      <c r="D291" s="3" t="str">
        <f aca="false">Model_Data!D290</f>
        <v>Residential</v>
      </c>
      <c r="E291" s="20" t="n">
        <f aca="false">Multiple_Regression!H291</f>
        <v>609949</v>
      </c>
      <c r="F291" s="20" t="n">
        <f aca="false">Multiple_Regression!$L$12+Multiple_Regression!$L$13*Multiple_Regression!A291+Multiple_Regression!$L$14*Multiple_Regression!B291+Multiple_Regression!$L$15*Multiple_Regression!C291+Multiple_Regression!$L$16*Multiple_Regression!D291+Multiple_Regression!$L$17*Multiple_Regression!E291+Multiple_Regression!$L$18*Multiple_Regression!F291+Multiple_Regression!$L$19*Multiple_Regression!G291</f>
        <v>590312.189784271</v>
      </c>
      <c r="G291" s="20" t="n">
        <f aca="false">E291-F291</f>
        <v>19636.8102157287</v>
      </c>
      <c r="H291" s="20" t="n">
        <f aca="false">ABS(G291)</f>
        <v>19636.8102157287</v>
      </c>
    </row>
    <row r="292" customFormat="false" ht="15" hidden="false" customHeight="true" outlineLevel="0" collapsed="false">
      <c r="A292" s="3" t="str">
        <f aca="false">Model_Data!A291</f>
        <v>STR-1072</v>
      </c>
      <c r="B292" s="4" t="n">
        <f aca="false">Model_Data!B291</f>
        <v>45748</v>
      </c>
      <c r="C292" s="3" t="str">
        <f aca="false">Model_Data!C291</f>
        <v>West</v>
      </c>
      <c r="D292" s="3" t="str">
        <f aca="false">Model_Data!D291</f>
        <v>Residential</v>
      </c>
      <c r="E292" s="20" t="n">
        <f aca="false">Multiple_Regression!H292</f>
        <v>548103.7</v>
      </c>
      <c r="F292" s="20" t="n">
        <f aca="false">Multiple_Regression!$L$12+Multiple_Regression!$L$13*Multiple_Regression!A292+Multiple_Regression!$L$14*Multiple_Regression!B292+Multiple_Regression!$L$15*Multiple_Regression!C292+Multiple_Regression!$L$16*Multiple_Regression!D292+Multiple_Regression!$L$17*Multiple_Regression!E292+Multiple_Regression!$L$18*Multiple_Regression!F292+Multiple_Regression!$L$19*Multiple_Regression!G292</f>
        <v>542908.277939521</v>
      </c>
      <c r="G292" s="20" t="n">
        <f aca="false">E292-F292</f>
        <v>5195.42206047871</v>
      </c>
      <c r="H292" s="20" t="n">
        <f aca="false">ABS(G292)</f>
        <v>5195.42206047871</v>
      </c>
    </row>
    <row r="293" customFormat="false" ht="15" hidden="false" customHeight="true" outlineLevel="0" collapsed="false">
      <c r="A293" s="3" t="str">
        <f aca="false">Model_Data!A292</f>
        <v>STR-1073</v>
      </c>
      <c r="B293" s="4" t="n">
        <f aca="false">Model_Data!B292</f>
        <v>45658</v>
      </c>
      <c r="C293" s="3" t="str">
        <f aca="false">Model_Data!C292</f>
        <v>East</v>
      </c>
      <c r="D293" s="3" t="str">
        <f aca="false">Model_Data!D292</f>
        <v>Residential</v>
      </c>
      <c r="E293" s="20" t="n">
        <f aca="false">Multiple_Regression!H293</f>
        <v>729424.42</v>
      </c>
      <c r="F293" s="20" t="n">
        <f aca="false">Multiple_Regression!$L$12+Multiple_Regression!$L$13*Multiple_Regression!A293+Multiple_Regression!$L$14*Multiple_Regression!B293+Multiple_Regression!$L$15*Multiple_Regression!C293+Multiple_Regression!$L$16*Multiple_Regression!D293+Multiple_Regression!$L$17*Multiple_Regression!E293+Multiple_Regression!$L$18*Multiple_Regression!F293+Multiple_Regression!$L$19*Multiple_Regression!G293</f>
        <v>690247.366921166</v>
      </c>
      <c r="G293" s="20" t="n">
        <f aca="false">E293-F293</f>
        <v>39177.0530788339</v>
      </c>
      <c r="H293" s="20" t="n">
        <f aca="false">ABS(G293)</f>
        <v>39177.0530788339</v>
      </c>
    </row>
    <row r="294" customFormat="false" ht="15" hidden="false" customHeight="true" outlineLevel="0" collapsed="false">
      <c r="A294" s="3" t="str">
        <f aca="false">Model_Data!A293</f>
        <v>STR-1073</v>
      </c>
      <c r="B294" s="4" t="n">
        <f aca="false">Model_Data!B293</f>
        <v>45689</v>
      </c>
      <c r="C294" s="3" t="str">
        <f aca="false">Model_Data!C293</f>
        <v>East</v>
      </c>
      <c r="D294" s="3" t="str">
        <f aca="false">Model_Data!D293</f>
        <v>Residential</v>
      </c>
      <c r="E294" s="20" t="n">
        <f aca="false">Multiple_Regression!H294</f>
        <v>696261.49</v>
      </c>
      <c r="F294" s="20" t="n">
        <f aca="false">Multiple_Regression!$L$12+Multiple_Regression!$L$13*Multiple_Regression!A294+Multiple_Regression!$L$14*Multiple_Regression!B294+Multiple_Regression!$L$15*Multiple_Regression!C294+Multiple_Regression!$L$16*Multiple_Regression!D294+Multiple_Regression!$L$17*Multiple_Regression!E294+Multiple_Regression!$L$18*Multiple_Regression!F294+Multiple_Regression!$L$19*Multiple_Regression!G294</f>
        <v>713404.335928456</v>
      </c>
      <c r="G294" s="20" t="n">
        <f aca="false">E294-F294</f>
        <v>-17142.8459284559</v>
      </c>
      <c r="H294" s="20" t="n">
        <f aca="false">ABS(G294)</f>
        <v>17142.8459284559</v>
      </c>
    </row>
    <row r="295" customFormat="false" ht="15" hidden="false" customHeight="true" outlineLevel="0" collapsed="false">
      <c r="A295" s="3" t="str">
        <f aca="false">Model_Data!A294</f>
        <v>STR-1073</v>
      </c>
      <c r="B295" s="4" t="n">
        <f aca="false">Model_Data!B294</f>
        <v>45717</v>
      </c>
      <c r="C295" s="3" t="str">
        <f aca="false">Model_Data!C294</f>
        <v>East</v>
      </c>
      <c r="D295" s="3" t="str">
        <f aca="false">Model_Data!D294</f>
        <v>Residential</v>
      </c>
      <c r="E295" s="20" t="n">
        <f aca="false">Multiple_Regression!H295</f>
        <v>813316.71</v>
      </c>
      <c r="F295" s="20" t="n">
        <f aca="false">Multiple_Regression!$L$12+Multiple_Regression!$L$13*Multiple_Regression!A295+Multiple_Regression!$L$14*Multiple_Regression!B295+Multiple_Regression!$L$15*Multiple_Regression!C295+Multiple_Regression!$L$16*Multiple_Regression!D295+Multiple_Regression!$L$17*Multiple_Regression!E295+Multiple_Regression!$L$18*Multiple_Regression!F295+Multiple_Regression!$L$19*Multiple_Regression!G295</f>
        <v>713693.299723976</v>
      </c>
      <c r="G295" s="20" t="n">
        <f aca="false">E295-F295</f>
        <v>99623.4102760244</v>
      </c>
      <c r="H295" s="20" t="n">
        <f aca="false">ABS(G295)</f>
        <v>99623.4102760244</v>
      </c>
    </row>
    <row r="296" customFormat="false" ht="15" hidden="false" customHeight="true" outlineLevel="0" collapsed="false">
      <c r="A296" s="3" t="str">
        <f aca="false">Model_Data!A295</f>
        <v>STR-1073</v>
      </c>
      <c r="B296" s="4" t="n">
        <f aca="false">Model_Data!B295</f>
        <v>45748</v>
      </c>
      <c r="C296" s="3" t="str">
        <f aca="false">Model_Data!C295</f>
        <v>East</v>
      </c>
      <c r="D296" s="3" t="str">
        <f aca="false">Model_Data!D295</f>
        <v>Residential</v>
      </c>
      <c r="E296" s="20" t="n">
        <f aca="false">Multiple_Regression!H296</f>
        <v>702068.92</v>
      </c>
      <c r="F296" s="20" t="n">
        <f aca="false">Multiple_Regression!$L$12+Multiple_Regression!$L$13*Multiple_Regression!A296+Multiple_Regression!$L$14*Multiple_Regression!B296+Multiple_Regression!$L$15*Multiple_Regression!C296+Multiple_Regression!$L$16*Multiple_Regression!D296+Multiple_Regression!$L$17*Multiple_Regression!E296+Multiple_Regression!$L$18*Multiple_Regression!F296+Multiple_Regression!$L$19*Multiple_Regression!G296</f>
        <v>712929.681633818</v>
      </c>
      <c r="G296" s="20" t="n">
        <f aca="false">E296-F296</f>
        <v>-10860.7616338177</v>
      </c>
      <c r="H296" s="20" t="n">
        <f aca="false">ABS(G296)</f>
        <v>10860.7616338177</v>
      </c>
    </row>
    <row r="297" customFormat="false" ht="15" hidden="false" customHeight="true" outlineLevel="0" collapsed="false">
      <c r="A297" s="3" t="str">
        <f aca="false">Model_Data!A296</f>
        <v>STR-1074</v>
      </c>
      <c r="B297" s="4" t="n">
        <f aca="false">Model_Data!B296</f>
        <v>45658</v>
      </c>
      <c r="C297" s="3" t="str">
        <f aca="false">Model_Data!C296</f>
        <v>West</v>
      </c>
      <c r="D297" s="3" t="str">
        <f aca="false">Model_Data!D296</f>
        <v>High Street</v>
      </c>
      <c r="E297" s="20" t="n">
        <f aca="false">Multiple_Regression!H297</f>
        <v>546223.7</v>
      </c>
      <c r="F297" s="20" t="n">
        <f aca="false">Multiple_Regression!$L$12+Multiple_Regression!$L$13*Multiple_Regression!A297+Multiple_Regression!$L$14*Multiple_Regression!B297+Multiple_Regression!$L$15*Multiple_Regression!C297+Multiple_Regression!$L$16*Multiple_Regression!D297+Multiple_Regression!$L$17*Multiple_Regression!E297+Multiple_Regression!$L$18*Multiple_Regression!F297+Multiple_Regression!$L$19*Multiple_Regression!G297</f>
        <v>581131.58940504</v>
      </c>
      <c r="G297" s="20" t="n">
        <f aca="false">E297-F297</f>
        <v>-34907.8894050404</v>
      </c>
      <c r="H297" s="20" t="n">
        <f aca="false">ABS(G297)</f>
        <v>34907.8894050404</v>
      </c>
    </row>
    <row r="298" customFormat="false" ht="15" hidden="false" customHeight="true" outlineLevel="0" collapsed="false">
      <c r="A298" s="3" t="str">
        <f aca="false">Model_Data!A297</f>
        <v>STR-1074</v>
      </c>
      <c r="B298" s="4" t="n">
        <f aca="false">Model_Data!B297</f>
        <v>45689</v>
      </c>
      <c r="C298" s="3" t="str">
        <f aca="false">Model_Data!C297</f>
        <v>West</v>
      </c>
      <c r="D298" s="3" t="str">
        <f aca="false">Model_Data!D297</f>
        <v>High Street</v>
      </c>
      <c r="E298" s="20" t="n">
        <f aca="false">Multiple_Regression!H298</f>
        <v>533121.26</v>
      </c>
      <c r="F298" s="20" t="n">
        <f aca="false">Multiple_Regression!$L$12+Multiple_Regression!$L$13*Multiple_Regression!A298+Multiple_Regression!$L$14*Multiple_Regression!B298+Multiple_Regression!$L$15*Multiple_Regression!C298+Multiple_Regression!$L$16*Multiple_Regression!D298+Multiple_Regression!$L$17*Multiple_Regression!E298+Multiple_Regression!$L$18*Multiple_Regression!F298+Multiple_Regression!$L$19*Multiple_Regression!G298</f>
        <v>522228.420205167</v>
      </c>
      <c r="G298" s="20" t="n">
        <f aca="false">E298-F298</f>
        <v>10892.8397948333</v>
      </c>
      <c r="H298" s="20" t="n">
        <f aca="false">ABS(G298)</f>
        <v>10892.8397948333</v>
      </c>
    </row>
    <row r="299" customFormat="false" ht="15" hidden="false" customHeight="true" outlineLevel="0" collapsed="false">
      <c r="A299" s="3" t="str">
        <f aca="false">Model_Data!A298</f>
        <v>STR-1074</v>
      </c>
      <c r="B299" s="4" t="n">
        <f aca="false">Model_Data!B298</f>
        <v>45717</v>
      </c>
      <c r="C299" s="3" t="str">
        <f aca="false">Model_Data!C298</f>
        <v>West</v>
      </c>
      <c r="D299" s="3" t="str">
        <f aca="false">Model_Data!D298</f>
        <v>High Street</v>
      </c>
      <c r="E299" s="20" t="n">
        <f aca="false">Multiple_Regression!H299</f>
        <v>498970.32</v>
      </c>
      <c r="F299" s="20" t="n">
        <f aca="false">Multiple_Regression!$L$12+Multiple_Regression!$L$13*Multiple_Regression!A299+Multiple_Regression!$L$14*Multiple_Regression!B299+Multiple_Regression!$L$15*Multiple_Regression!C299+Multiple_Regression!$L$16*Multiple_Regression!D299+Multiple_Regression!$L$17*Multiple_Regression!E299+Multiple_Regression!$L$18*Multiple_Regression!F299+Multiple_Regression!$L$19*Multiple_Regression!G299</f>
        <v>489973.081800905</v>
      </c>
      <c r="G299" s="20" t="n">
        <f aca="false">E299-F299</f>
        <v>8997.23819909536</v>
      </c>
      <c r="H299" s="20" t="n">
        <f aca="false">ABS(G299)</f>
        <v>8997.23819909536</v>
      </c>
    </row>
    <row r="300" customFormat="false" ht="15" hidden="false" customHeight="true" outlineLevel="0" collapsed="false">
      <c r="A300" s="3" t="str">
        <f aca="false">Model_Data!A299</f>
        <v>STR-1074</v>
      </c>
      <c r="B300" s="4" t="n">
        <f aca="false">Model_Data!B299</f>
        <v>45748</v>
      </c>
      <c r="C300" s="3" t="str">
        <f aca="false">Model_Data!C299</f>
        <v>West</v>
      </c>
      <c r="D300" s="3" t="str">
        <f aca="false">Model_Data!D299</f>
        <v>High Street</v>
      </c>
      <c r="E300" s="20" t="n">
        <f aca="false">Multiple_Regression!H300</f>
        <v>487738.26</v>
      </c>
      <c r="F300" s="20" t="n">
        <f aca="false">Multiple_Regression!$L$12+Multiple_Regression!$L$13*Multiple_Regression!A300+Multiple_Regression!$L$14*Multiple_Regression!B300+Multiple_Regression!$L$15*Multiple_Regression!C300+Multiple_Regression!$L$16*Multiple_Regression!D300+Multiple_Regression!$L$17*Multiple_Regression!E300+Multiple_Regression!$L$18*Multiple_Regression!F300+Multiple_Regression!$L$19*Multiple_Regression!G300</f>
        <v>459871.3126067</v>
      </c>
      <c r="G300" s="20" t="n">
        <f aca="false">E300-F300</f>
        <v>27866.9473932998</v>
      </c>
      <c r="H300" s="20" t="n">
        <f aca="false">ABS(G300)</f>
        <v>27866.9473932998</v>
      </c>
    </row>
    <row r="301" customFormat="false" ht="15" hidden="false" customHeight="true" outlineLevel="0" collapsed="false">
      <c r="A301" s="3" t="str">
        <f aca="false">Model_Data!A300</f>
        <v>STR-1075</v>
      </c>
      <c r="B301" s="4" t="n">
        <f aca="false">Model_Data!B300</f>
        <v>45658</v>
      </c>
      <c r="C301" s="3" t="str">
        <f aca="false">Model_Data!C300</f>
        <v>West</v>
      </c>
      <c r="D301" s="3" t="str">
        <f aca="false">Model_Data!D300</f>
        <v>High Street</v>
      </c>
      <c r="E301" s="20" t="n">
        <f aca="false">Multiple_Regression!H301</f>
        <v>668459.37</v>
      </c>
      <c r="F301" s="20" t="n">
        <f aca="false">Multiple_Regression!$L$12+Multiple_Regression!$L$13*Multiple_Regression!A301+Multiple_Regression!$L$14*Multiple_Regression!B301+Multiple_Regression!$L$15*Multiple_Regression!C301+Multiple_Regression!$L$16*Multiple_Regression!D301+Multiple_Regression!$L$17*Multiple_Regression!E301+Multiple_Regression!$L$18*Multiple_Regression!F301+Multiple_Regression!$L$19*Multiple_Regression!G301</f>
        <v>677490.04417784</v>
      </c>
      <c r="G301" s="20" t="n">
        <f aca="false">E301-F301</f>
        <v>-9030.67417783965</v>
      </c>
      <c r="H301" s="20" t="n">
        <f aca="false">ABS(G301)</f>
        <v>9030.67417783965</v>
      </c>
    </row>
    <row r="302" customFormat="false" ht="15" hidden="false" customHeight="true" outlineLevel="0" collapsed="false">
      <c r="A302" s="3" t="str">
        <f aca="false">Model_Data!A301</f>
        <v>STR-1075</v>
      </c>
      <c r="B302" s="4" t="n">
        <f aca="false">Model_Data!B301</f>
        <v>45689</v>
      </c>
      <c r="C302" s="3" t="str">
        <f aca="false">Model_Data!C301</f>
        <v>West</v>
      </c>
      <c r="D302" s="3" t="str">
        <f aca="false">Model_Data!D301</f>
        <v>High Street</v>
      </c>
      <c r="E302" s="20" t="n">
        <f aca="false">Multiple_Regression!H302</f>
        <v>763162.45</v>
      </c>
      <c r="F302" s="20" t="n">
        <f aca="false">Multiple_Regression!$L$12+Multiple_Regression!$L$13*Multiple_Regression!A302+Multiple_Regression!$L$14*Multiple_Regression!B302+Multiple_Regression!$L$15*Multiple_Regression!C302+Multiple_Regression!$L$16*Multiple_Regression!D302+Multiple_Regression!$L$17*Multiple_Regression!E302+Multiple_Regression!$L$18*Multiple_Regression!F302+Multiple_Regression!$L$19*Multiple_Regression!G302</f>
        <v>682998.496577818</v>
      </c>
      <c r="G302" s="20" t="n">
        <f aca="false">E302-F302</f>
        <v>80163.9534221819</v>
      </c>
      <c r="H302" s="20" t="n">
        <f aca="false">ABS(G302)</f>
        <v>80163.9534221819</v>
      </c>
    </row>
    <row r="303" customFormat="false" ht="15" hidden="false" customHeight="true" outlineLevel="0" collapsed="false">
      <c r="A303" s="3" t="str">
        <f aca="false">Model_Data!A302</f>
        <v>STR-1075</v>
      </c>
      <c r="B303" s="4" t="n">
        <f aca="false">Model_Data!B302</f>
        <v>45717</v>
      </c>
      <c r="C303" s="3" t="str">
        <f aca="false">Model_Data!C302</f>
        <v>West</v>
      </c>
      <c r="D303" s="3" t="str">
        <f aca="false">Model_Data!D302</f>
        <v>High Street</v>
      </c>
      <c r="E303" s="20" t="n">
        <f aca="false">Multiple_Regression!H303</f>
        <v>599017.33</v>
      </c>
      <c r="F303" s="20" t="n">
        <f aca="false">Multiple_Regression!$L$12+Multiple_Regression!$L$13*Multiple_Regression!A303+Multiple_Regression!$L$14*Multiple_Regression!B303+Multiple_Regression!$L$15*Multiple_Regression!C303+Multiple_Regression!$L$16*Multiple_Regression!D303+Multiple_Regression!$L$17*Multiple_Regression!E303+Multiple_Regression!$L$18*Multiple_Regression!F303+Multiple_Regression!$L$19*Multiple_Regression!G303</f>
        <v>624110.863330974</v>
      </c>
      <c r="G303" s="20" t="n">
        <f aca="false">E303-F303</f>
        <v>-25093.5333309736</v>
      </c>
      <c r="H303" s="20" t="n">
        <f aca="false">ABS(G303)</f>
        <v>25093.5333309736</v>
      </c>
    </row>
    <row r="304" customFormat="false" ht="15" hidden="false" customHeight="true" outlineLevel="0" collapsed="false">
      <c r="A304" s="3" t="str">
        <f aca="false">Model_Data!A303</f>
        <v>STR-1075</v>
      </c>
      <c r="B304" s="4" t="n">
        <f aca="false">Model_Data!B303</f>
        <v>45748</v>
      </c>
      <c r="C304" s="3" t="str">
        <f aca="false">Model_Data!C303</f>
        <v>West</v>
      </c>
      <c r="D304" s="3" t="str">
        <f aca="false">Model_Data!D303</f>
        <v>High Street</v>
      </c>
      <c r="E304" s="20" t="n">
        <f aca="false">Multiple_Regression!H304</f>
        <v>401582.58</v>
      </c>
      <c r="F304" s="20" t="n">
        <f aca="false">Multiple_Regression!$L$12+Multiple_Regression!$L$13*Multiple_Regression!A304+Multiple_Regression!$L$14*Multiple_Regression!B304+Multiple_Regression!$L$15*Multiple_Regression!C304+Multiple_Regression!$L$16*Multiple_Regression!D304+Multiple_Regression!$L$17*Multiple_Regression!E304+Multiple_Regression!$L$18*Multiple_Regression!F304+Multiple_Regression!$L$19*Multiple_Regression!G304</f>
        <v>475638.930128284</v>
      </c>
      <c r="G304" s="20" t="n">
        <f aca="false">E304-F304</f>
        <v>-74056.3501282838</v>
      </c>
      <c r="H304" s="20" t="n">
        <f aca="false">ABS(G304)</f>
        <v>74056.3501282838</v>
      </c>
    </row>
    <row r="305" customFormat="false" ht="15" hidden="false" customHeight="true" outlineLevel="0" collapsed="false">
      <c r="A305" s="3" t="str">
        <f aca="false">Model_Data!A304</f>
        <v>STR-1076</v>
      </c>
      <c r="B305" s="4" t="n">
        <f aca="false">Model_Data!B304</f>
        <v>45658</v>
      </c>
      <c r="C305" s="3" t="str">
        <f aca="false">Model_Data!C304</f>
        <v>North</v>
      </c>
      <c r="D305" s="3" t="str">
        <f aca="false">Model_Data!D304</f>
        <v>Mall</v>
      </c>
      <c r="E305" s="20" t="n">
        <f aca="false">Multiple_Regression!H305</f>
        <v>703812.99</v>
      </c>
      <c r="F305" s="20" t="n">
        <f aca="false">Multiple_Regression!$L$12+Multiple_Regression!$L$13*Multiple_Regression!A305+Multiple_Regression!$L$14*Multiple_Regression!B305+Multiple_Regression!$L$15*Multiple_Regression!C305+Multiple_Regression!$L$16*Multiple_Regression!D305+Multiple_Regression!$L$17*Multiple_Regression!E305+Multiple_Regression!$L$18*Multiple_Regression!F305+Multiple_Regression!$L$19*Multiple_Regression!G305</f>
        <v>729917.980216372</v>
      </c>
      <c r="G305" s="20" t="n">
        <f aca="false">E305-F305</f>
        <v>-26104.9902163716</v>
      </c>
      <c r="H305" s="20" t="n">
        <f aca="false">ABS(G305)</f>
        <v>26104.9902163716</v>
      </c>
    </row>
    <row r="306" customFormat="false" ht="15" hidden="false" customHeight="true" outlineLevel="0" collapsed="false">
      <c r="A306" s="3" t="str">
        <f aca="false">Model_Data!A305</f>
        <v>STR-1076</v>
      </c>
      <c r="B306" s="4" t="n">
        <f aca="false">Model_Data!B305</f>
        <v>45689</v>
      </c>
      <c r="C306" s="3" t="str">
        <f aca="false">Model_Data!C305</f>
        <v>North</v>
      </c>
      <c r="D306" s="3" t="str">
        <f aca="false">Model_Data!D305</f>
        <v>Mall</v>
      </c>
      <c r="E306" s="20" t="n">
        <f aca="false">Multiple_Regression!H306</f>
        <v>724346.73</v>
      </c>
      <c r="F306" s="20" t="n">
        <f aca="false">Multiple_Regression!$L$12+Multiple_Regression!$L$13*Multiple_Regression!A306+Multiple_Regression!$L$14*Multiple_Regression!B306+Multiple_Regression!$L$15*Multiple_Regression!C306+Multiple_Regression!$L$16*Multiple_Regression!D306+Multiple_Regression!$L$17*Multiple_Regression!E306+Multiple_Regression!$L$18*Multiple_Regression!F306+Multiple_Regression!$L$19*Multiple_Regression!G306</f>
        <v>737507.877726</v>
      </c>
      <c r="G306" s="20" t="n">
        <f aca="false">E306-F306</f>
        <v>-13161.1477260001</v>
      </c>
      <c r="H306" s="20" t="n">
        <f aca="false">ABS(G306)</f>
        <v>13161.1477260001</v>
      </c>
    </row>
    <row r="307" customFormat="false" ht="15" hidden="false" customHeight="true" outlineLevel="0" collapsed="false">
      <c r="A307" s="3" t="str">
        <f aca="false">Model_Data!A306</f>
        <v>STR-1076</v>
      </c>
      <c r="B307" s="4" t="n">
        <f aca="false">Model_Data!B306</f>
        <v>45717</v>
      </c>
      <c r="C307" s="3" t="str">
        <f aca="false">Model_Data!C306</f>
        <v>North</v>
      </c>
      <c r="D307" s="3" t="str">
        <f aca="false">Model_Data!D306</f>
        <v>Mall</v>
      </c>
      <c r="E307" s="20" t="n">
        <f aca="false">Multiple_Regression!H307</f>
        <v>730890.01</v>
      </c>
      <c r="F307" s="20" t="n">
        <f aca="false">Multiple_Regression!$L$12+Multiple_Regression!$L$13*Multiple_Regression!A307+Multiple_Regression!$L$14*Multiple_Regression!B307+Multiple_Regression!$L$15*Multiple_Regression!C307+Multiple_Regression!$L$16*Multiple_Regression!D307+Multiple_Regression!$L$17*Multiple_Regression!E307+Multiple_Regression!$L$18*Multiple_Regression!F307+Multiple_Regression!$L$19*Multiple_Regression!G307</f>
        <v>742146.742056413</v>
      </c>
      <c r="G307" s="20" t="n">
        <f aca="false">E307-F307</f>
        <v>-11256.7320564134</v>
      </c>
      <c r="H307" s="20" t="n">
        <f aca="false">ABS(G307)</f>
        <v>11256.7320564134</v>
      </c>
    </row>
    <row r="308" customFormat="false" ht="15" hidden="false" customHeight="true" outlineLevel="0" collapsed="false">
      <c r="A308" s="3" t="str">
        <f aca="false">Model_Data!A307</f>
        <v>STR-1076</v>
      </c>
      <c r="B308" s="4" t="n">
        <f aca="false">Model_Data!B307</f>
        <v>45748</v>
      </c>
      <c r="C308" s="3" t="str">
        <f aca="false">Model_Data!C307</f>
        <v>North</v>
      </c>
      <c r="D308" s="3" t="str">
        <f aca="false">Model_Data!D307</f>
        <v>Mall</v>
      </c>
      <c r="E308" s="20" t="n">
        <f aca="false">Multiple_Regression!H308</f>
        <v>780580.95</v>
      </c>
      <c r="F308" s="20" t="n">
        <f aca="false">Multiple_Regression!$L$12+Multiple_Regression!$L$13*Multiple_Regression!A308+Multiple_Regression!$L$14*Multiple_Regression!B308+Multiple_Regression!$L$15*Multiple_Regression!C308+Multiple_Regression!$L$16*Multiple_Regression!D308+Multiple_Regression!$L$17*Multiple_Regression!E308+Multiple_Regression!$L$18*Multiple_Regression!F308+Multiple_Regression!$L$19*Multiple_Regression!G308</f>
        <v>728560.38626782</v>
      </c>
      <c r="G308" s="20" t="n">
        <f aca="false">E308-F308</f>
        <v>52020.5637321803</v>
      </c>
      <c r="H308" s="20" t="n">
        <f aca="false">ABS(G308)</f>
        <v>52020.5637321803</v>
      </c>
    </row>
    <row r="309" customFormat="false" ht="15" hidden="false" customHeight="true" outlineLevel="0" collapsed="false">
      <c r="A309" s="3" t="str">
        <f aca="false">Model_Data!A308</f>
        <v>STR-1077</v>
      </c>
      <c r="B309" s="4" t="n">
        <f aca="false">Model_Data!B308</f>
        <v>45658</v>
      </c>
      <c r="C309" s="3" t="str">
        <f aca="false">Model_Data!C308</f>
        <v>South</v>
      </c>
      <c r="D309" s="3" t="str">
        <f aca="false">Model_Data!D308</f>
        <v>Residential</v>
      </c>
      <c r="E309" s="20" t="n">
        <f aca="false">Multiple_Regression!H309</f>
        <v>727957.48</v>
      </c>
      <c r="F309" s="20" t="n">
        <f aca="false">Multiple_Regression!$L$12+Multiple_Regression!$L$13*Multiple_Regression!A309+Multiple_Regression!$L$14*Multiple_Regression!B309+Multiple_Regression!$L$15*Multiple_Regression!C309+Multiple_Regression!$L$16*Multiple_Regression!D309+Multiple_Regression!$L$17*Multiple_Regression!E309+Multiple_Regression!$L$18*Multiple_Regression!F309+Multiple_Regression!$L$19*Multiple_Regression!G309</f>
        <v>677173.036943089</v>
      </c>
      <c r="G309" s="20" t="n">
        <f aca="false">E309-F309</f>
        <v>50784.4430569111</v>
      </c>
      <c r="H309" s="20" t="n">
        <f aca="false">ABS(G309)</f>
        <v>50784.4430569111</v>
      </c>
    </row>
    <row r="310" customFormat="false" ht="15" hidden="false" customHeight="true" outlineLevel="0" collapsed="false">
      <c r="A310" s="3" t="str">
        <f aca="false">Model_Data!A309</f>
        <v>STR-1077</v>
      </c>
      <c r="B310" s="4" t="n">
        <f aca="false">Model_Data!B309</f>
        <v>45689</v>
      </c>
      <c r="C310" s="3" t="str">
        <f aca="false">Model_Data!C309</f>
        <v>South</v>
      </c>
      <c r="D310" s="3" t="str">
        <f aca="false">Model_Data!D309</f>
        <v>Residential</v>
      </c>
      <c r="E310" s="20" t="n">
        <f aca="false">Multiple_Regression!H310</f>
        <v>538376</v>
      </c>
      <c r="F310" s="20" t="n">
        <f aca="false">Multiple_Regression!$L$12+Multiple_Regression!$L$13*Multiple_Regression!A310+Multiple_Regression!$L$14*Multiple_Regression!B310+Multiple_Regression!$L$15*Multiple_Regression!C310+Multiple_Regression!$L$16*Multiple_Regression!D310+Multiple_Regression!$L$17*Multiple_Regression!E310+Multiple_Regression!$L$18*Multiple_Regression!F310+Multiple_Regression!$L$19*Multiple_Regression!G310</f>
        <v>627543.751282039</v>
      </c>
      <c r="G310" s="20" t="n">
        <f aca="false">E310-F310</f>
        <v>-89167.7512820385</v>
      </c>
      <c r="H310" s="20" t="n">
        <f aca="false">ABS(G310)</f>
        <v>89167.7512820385</v>
      </c>
    </row>
    <row r="311" customFormat="false" ht="15" hidden="false" customHeight="true" outlineLevel="0" collapsed="false">
      <c r="A311" s="3" t="str">
        <f aca="false">Model_Data!A310</f>
        <v>STR-1077</v>
      </c>
      <c r="B311" s="4" t="n">
        <f aca="false">Model_Data!B310</f>
        <v>45717</v>
      </c>
      <c r="C311" s="3" t="str">
        <f aca="false">Model_Data!C310</f>
        <v>South</v>
      </c>
      <c r="D311" s="3" t="str">
        <f aca="false">Model_Data!D310</f>
        <v>Residential</v>
      </c>
      <c r="E311" s="20" t="n">
        <f aca="false">Multiple_Regression!H311</f>
        <v>665342.49</v>
      </c>
      <c r="F311" s="20" t="n">
        <f aca="false">Multiple_Regression!$L$12+Multiple_Regression!$L$13*Multiple_Regression!A311+Multiple_Regression!$L$14*Multiple_Regression!B311+Multiple_Regression!$L$15*Multiple_Regression!C311+Multiple_Regression!$L$16*Multiple_Regression!D311+Multiple_Regression!$L$17*Multiple_Regression!E311+Multiple_Regression!$L$18*Multiple_Regression!F311+Multiple_Regression!$L$19*Multiple_Regression!G311</f>
        <v>607749.68163596</v>
      </c>
      <c r="G311" s="20" t="n">
        <f aca="false">E311-F311</f>
        <v>57592.8083640396</v>
      </c>
      <c r="H311" s="20" t="n">
        <f aca="false">ABS(G311)</f>
        <v>57592.8083640396</v>
      </c>
    </row>
    <row r="312" customFormat="false" ht="15" hidden="false" customHeight="true" outlineLevel="0" collapsed="false">
      <c r="A312" s="3" t="str">
        <f aca="false">Model_Data!A311</f>
        <v>STR-1077</v>
      </c>
      <c r="B312" s="4" t="n">
        <f aca="false">Model_Data!B311</f>
        <v>45748</v>
      </c>
      <c r="C312" s="3" t="str">
        <f aca="false">Model_Data!C311</f>
        <v>South</v>
      </c>
      <c r="D312" s="3" t="str">
        <f aca="false">Model_Data!D311</f>
        <v>Residential</v>
      </c>
      <c r="E312" s="20" t="n">
        <f aca="false">Multiple_Regression!H312</f>
        <v>651164.18</v>
      </c>
      <c r="F312" s="20" t="n">
        <f aca="false">Multiple_Regression!$L$12+Multiple_Regression!$L$13*Multiple_Regression!A312+Multiple_Regression!$L$14*Multiple_Regression!B312+Multiple_Regression!$L$15*Multiple_Regression!C312+Multiple_Regression!$L$16*Multiple_Regression!D312+Multiple_Regression!$L$17*Multiple_Regression!E312+Multiple_Regression!$L$18*Multiple_Regression!F312+Multiple_Regression!$L$19*Multiple_Regression!G312</f>
        <v>699182.472532613</v>
      </c>
      <c r="G312" s="20" t="n">
        <f aca="false">E312-F312</f>
        <v>-48018.2925326132</v>
      </c>
      <c r="H312" s="20" t="n">
        <f aca="false">ABS(G312)</f>
        <v>48018.2925326132</v>
      </c>
    </row>
    <row r="313" customFormat="false" ht="15" hidden="false" customHeight="true" outlineLevel="0" collapsed="false">
      <c r="A313" s="3" t="str">
        <f aca="false">Model_Data!A312</f>
        <v>STR-1078</v>
      </c>
      <c r="B313" s="4" t="n">
        <f aca="false">Model_Data!B312</f>
        <v>45658</v>
      </c>
      <c r="C313" s="3" t="str">
        <f aca="false">Model_Data!C312</f>
        <v>South</v>
      </c>
      <c r="D313" s="3" t="str">
        <f aca="false">Model_Data!D312</f>
        <v>High Street</v>
      </c>
      <c r="E313" s="20" t="n">
        <f aca="false">Multiple_Regression!H313</f>
        <v>628538.3</v>
      </c>
      <c r="F313" s="20" t="n">
        <f aca="false">Multiple_Regression!$L$12+Multiple_Regression!$L$13*Multiple_Regression!A313+Multiple_Regression!$L$14*Multiple_Regression!B313+Multiple_Regression!$L$15*Multiple_Regression!C313+Multiple_Regression!$L$16*Multiple_Regression!D313+Multiple_Regression!$L$17*Multiple_Regression!E313+Multiple_Regression!$L$18*Multiple_Regression!F313+Multiple_Regression!$L$19*Multiple_Regression!G313</f>
        <v>640804.089548555</v>
      </c>
      <c r="G313" s="20" t="n">
        <f aca="false">E313-F313</f>
        <v>-12265.789548555</v>
      </c>
      <c r="H313" s="20" t="n">
        <f aca="false">ABS(G313)</f>
        <v>12265.789548555</v>
      </c>
    </row>
    <row r="314" customFormat="false" ht="15" hidden="false" customHeight="true" outlineLevel="0" collapsed="false">
      <c r="A314" s="3" t="str">
        <f aca="false">Model_Data!A313</f>
        <v>STR-1078</v>
      </c>
      <c r="B314" s="4" t="n">
        <f aca="false">Model_Data!B313</f>
        <v>45689</v>
      </c>
      <c r="C314" s="3" t="str">
        <f aca="false">Model_Data!C313</f>
        <v>South</v>
      </c>
      <c r="D314" s="3" t="str">
        <f aca="false">Model_Data!D313</f>
        <v>High Street</v>
      </c>
      <c r="E314" s="20" t="n">
        <f aca="false">Multiple_Regression!H314</f>
        <v>536524.84</v>
      </c>
      <c r="F314" s="20" t="n">
        <f aca="false">Multiple_Regression!$L$12+Multiple_Regression!$L$13*Multiple_Regression!A314+Multiple_Regression!$L$14*Multiple_Regression!B314+Multiple_Regression!$L$15*Multiple_Regression!C314+Multiple_Regression!$L$16*Multiple_Regression!D314+Multiple_Regression!$L$17*Multiple_Regression!E314+Multiple_Regression!$L$18*Multiple_Regression!F314+Multiple_Regression!$L$19*Multiple_Regression!G314</f>
        <v>571810.506637382</v>
      </c>
      <c r="G314" s="20" t="n">
        <f aca="false">E314-F314</f>
        <v>-35285.6666373825</v>
      </c>
      <c r="H314" s="20" t="n">
        <f aca="false">ABS(G314)</f>
        <v>35285.6666373825</v>
      </c>
    </row>
    <row r="315" customFormat="false" ht="15" hidden="false" customHeight="true" outlineLevel="0" collapsed="false">
      <c r="A315" s="3" t="str">
        <f aca="false">Model_Data!A314</f>
        <v>STR-1078</v>
      </c>
      <c r="B315" s="4" t="n">
        <f aca="false">Model_Data!B314</f>
        <v>45717</v>
      </c>
      <c r="C315" s="3" t="str">
        <f aca="false">Model_Data!C314</f>
        <v>South</v>
      </c>
      <c r="D315" s="3" t="str">
        <f aca="false">Model_Data!D314</f>
        <v>High Street</v>
      </c>
      <c r="E315" s="20" t="n">
        <f aca="false">Multiple_Regression!H315</f>
        <v>621677.3</v>
      </c>
      <c r="F315" s="20" t="n">
        <f aca="false">Multiple_Regression!$L$12+Multiple_Regression!$L$13*Multiple_Regression!A315+Multiple_Regression!$L$14*Multiple_Regression!B315+Multiple_Regression!$L$15*Multiple_Regression!C315+Multiple_Regression!$L$16*Multiple_Regression!D315+Multiple_Regression!$L$17*Multiple_Regression!E315+Multiple_Regression!$L$18*Multiple_Regression!F315+Multiple_Regression!$L$19*Multiple_Regression!G315</f>
        <v>628577.336927388</v>
      </c>
      <c r="G315" s="20" t="n">
        <f aca="false">E315-F315</f>
        <v>-6900.03692738817</v>
      </c>
      <c r="H315" s="20" t="n">
        <f aca="false">ABS(G315)</f>
        <v>6900.03692738817</v>
      </c>
    </row>
    <row r="316" customFormat="false" ht="15" hidden="false" customHeight="true" outlineLevel="0" collapsed="false">
      <c r="A316" s="3" t="str">
        <f aca="false">Model_Data!A315</f>
        <v>STR-1078</v>
      </c>
      <c r="B316" s="4" t="n">
        <f aca="false">Model_Data!B315</f>
        <v>45748</v>
      </c>
      <c r="C316" s="3" t="str">
        <f aca="false">Model_Data!C315</f>
        <v>South</v>
      </c>
      <c r="D316" s="3" t="str">
        <f aca="false">Model_Data!D315</f>
        <v>High Street</v>
      </c>
      <c r="E316" s="20" t="n">
        <f aca="false">Multiple_Regression!H316</f>
        <v>771129.07</v>
      </c>
      <c r="F316" s="20" t="n">
        <f aca="false">Multiple_Regression!$L$12+Multiple_Regression!$L$13*Multiple_Regression!A316+Multiple_Regression!$L$14*Multiple_Regression!B316+Multiple_Regression!$L$15*Multiple_Regression!C316+Multiple_Regression!$L$16*Multiple_Regression!D316+Multiple_Regression!$L$17*Multiple_Regression!E316+Multiple_Regression!$L$18*Multiple_Regression!F316+Multiple_Regression!$L$19*Multiple_Regression!G316</f>
        <v>747692.766184785</v>
      </c>
      <c r="G316" s="20" t="n">
        <f aca="false">E316-F316</f>
        <v>23436.3038152154</v>
      </c>
      <c r="H316" s="20" t="n">
        <f aca="false">ABS(G316)</f>
        <v>23436.3038152154</v>
      </c>
    </row>
    <row r="317" customFormat="false" ht="15" hidden="false" customHeight="true" outlineLevel="0" collapsed="false">
      <c r="A317" s="3" t="str">
        <f aca="false">Model_Data!A316</f>
        <v>STR-1079</v>
      </c>
      <c r="B317" s="4" t="n">
        <f aca="false">Model_Data!B316</f>
        <v>45658</v>
      </c>
      <c r="C317" s="3" t="str">
        <f aca="false">Model_Data!C316</f>
        <v>North</v>
      </c>
      <c r="D317" s="3" t="str">
        <f aca="false">Model_Data!D316</f>
        <v>Residential</v>
      </c>
      <c r="E317" s="20" t="n">
        <f aca="false">Multiple_Regression!H317</f>
        <v>702052.47</v>
      </c>
      <c r="F317" s="20" t="n">
        <f aca="false">Multiple_Regression!$L$12+Multiple_Regression!$L$13*Multiple_Regression!A317+Multiple_Regression!$L$14*Multiple_Regression!B317+Multiple_Regression!$L$15*Multiple_Regression!C317+Multiple_Regression!$L$16*Multiple_Regression!D317+Multiple_Regression!$L$17*Multiple_Regression!E317+Multiple_Regression!$L$18*Multiple_Regression!F317+Multiple_Regression!$L$19*Multiple_Regression!G317</f>
        <v>675246.174026107</v>
      </c>
      <c r="G317" s="20" t="n">
        <f aca="false">E317-F317</f>
        <v>26806.2959738929</v>
      </c>
      <c r="H317" s="20" t="n">
        <f aca="false">ABS(G317)</f>
        <v>26806.2959738929</v>
      </c>
    </row>
    <row r="318" customFormat="false" ht="15" hidden="false" customHeight="true" outlineLevel="0" collapsed="false">
      <c r="A318" s="3" t="str">
        <f aca="false">Model_Data!A317</f>
        <v>STR-1079</v>
      </c>
      <c r="B318" s="4" t="n">
        <f aca="false">Model_Data!B317</f>
        <v>45689</v>
      </c>
      <c r="C318" s="3" t="str">
        <f aca="false">Model_Data!C317</f>
        <v>North</v>
      </c>
      <c r="D318" s="3" t="str">
        <f aca="false">Model_Data!D317</f>
        <v>Residential</v>
      </c>
      <c r="E318" s="20" t="n">
        <f aca="false">Multiple_Regression!H318</f>
        <v>688368.46</v>
      </c>
      <c r="F318" s="20" t="n">
        <f aca="false">Multiple_Regression!$L$12+Multiple_Regression!$L$13*Multiple_Regression!A318+Multiple_Regression!$L$14*Multiple_Regression!B318+Multiple_Regression!$L$15*Multiple_Regression!C318+Multiple_Regression!$L$16*Multiple_Regression!D318+Multiple_Regression!$L$17*Multiple_Regression!E318+Multiple_Regression!$L$18*Multiple_Regression!F318+Multiple_Regression!$L$19*Multiple_Regression!G318</f>
        <v>716982.707255942</v>
      </c>
      <c r="G318" s="20" t="n">
        <f aca="false">E318-F318</f>
        <v>-28614.2472559415</v>
      </c>
      <c r="H318" s="20" t="n">
        <f aca="false">ABS(G318)</f>
        <v>28614.2472559415</v>
      </c>
    </row>
    <row r="319" customFormat="false" ht="15" hidden="false" customHeight="true" outlineLevel="0" collapsed="false">
      <c r="A319" s="3" t="str">
        <f aca="false">Model_Data!A318</f>
        <v>STR-1079</v>
      </c>
      <c r="B319" s="4" t="n">
        <f aca="false">Model_Data!B318</f>
        <v>45717</v>
      </c>
      <c r="C319" s="3" t="str">
        <f aca="false">Model_Data!C318</f>
        <v>North</v>
      </c>
      <c r="D319" s="3" t="str">
        <f aca="false">Model_Data!D318</f>
        <v>Residential</v>
      </c>
      <c r="E319" s="20" t="n">
        <f aca="false">Multiple_Regression!H319</f>
        <v>712375.77</v>
      </c>
      <c r="F319" s="20" t="n">
        <f aca="false">Multiple_Regression!$L$12+Multiple_Regression!$L$13*Multiple_Regression!A319+Multiple_Regression!$L$14*Multiple_Regression!B319+Multiple_Regression!$L$15*Multiple_Regression!C319+Multiple_Regression!$L$16*Multiple_Regression!D319+Multiple_Regression!$L$17*Multiple_Regression!E319+Multiple_Regression!$L$18*Multiple_Regression!F319+Multiple_Regression!$L$19*Multiple_Regression!G319</f>
        <v>684531.507292885</v>
      </c>
      <c r="G319" s="20" t="n">
        <f aca="false">E319-F319</f>
        <v>27844.2627071152</v>
      </c>
      <c r="H319" s="20" t="n">
        <f aca="false">ABS(G319)</f>
        <v>27844.2627071152</v>
      </c>
    </row>
    <row r="320" customFormat="false" ht="15" hidden="false" customHeight="true" outlineLevel="0" collapsed="false">
      <c r="A320" s="3" t="str">
        <f aca="false">Model_Data!A319</f>
        <v>STR-1079</v>
      </c>
      <c r="B320" s="4" t="n">
        <f aca="false">Model_Data!B319</f>
        <v>45748</v>
      </c>
      <c r="C320" s="3" t="str">
        <f aca="false">Model_Data!C319</f>
        <v>North</v>
      </c>
      <c r="D320" s="3" t="str">
        <f aca="false">Model_Data!D319</f>
        <v>Residential</v>
      </c>
      <c r="E320" s="20" t="n">
        <f aca="false">Multiple_Regression!H320</f>
        <v>844710.67</v>
      </c>
      <c r="F320" s="20" t="n">
        <f aca="false">Multiple_Regression!$L$12+Multiple_Regression!$L$13*Multiple_Regression!A320+Multiple_Regression!$L$14*Multiple_Regression!B320+Multiple_Regression!$L$15*Multiple_Regression!C320+Multiple_Regression!$L$16*Multiple_Regression!D320+Multiple_Regression!$L$17*Multiple_Regression!E320+Multiple_Regression!$L$18*Multiple_Regression!F320+Multiple_Regression!$L$19*Multiple_Regression!G320</f>
        <v>811175.034643042</v>
      </c>
      <c r="G320" s="20" t="n">
        <f aca="false">E320-F320</f>
        <v>33535.6353569584</v>
      </c>
      <c r="H320" s="20" t="n">
        <f aca="false">ABS(G320)</f>
        <v>33535.6353569584</v>
      </c>
    </row>
    <row r="321" customFormat="false" ht="15" hidden="false" customHeight="true" outlineLevel="0" collapsed="false">
      <c r="A321" s="3" t="str">
        <f aca="false">Model_Data!A320</f>
        <v>STR-1080</v>
      </c>
      <c r="B321" s="4" t="n">
        <f aca="false">Model_Data!B320</f>
        <v>45658</v>
      </c>
      <c r="C321" s="3" t="str">
        <f aca="false">Model_Data!C320</f>
        <v>East</v>
      </c>
      <c r="D321" s="3" t="str">
        <f aca="false">Model_Data!D320</f>
        <v>Residential</v>
      </c>
      <c r="E321" s="20" t="n">
        <f aca="false">Multiple_Regression!H321</f>
        <v>620264.2</v>
      </c>
      <c r="F321" s="20" t="n">
        <f aca="false">Multiple_Regression!$L$12+Multiple_Regression!$L$13*Multiple_Regression!A321+Multiple_Regression!$L$14*Multiple_Regression!B321+Multiple_Regression!$L$15*Multiple_Regression!C321+Multiple_Regression!$L$16*Multiple_Regression!D321+Multiple_Regression!$L$17*Multiple_Regression!E321+Multiple_Regression!$L$18*Multiple_Regression!F321+Multiple_Regression!$L$19*Multiple_Regression!G321</f>
        <v>668023.688191854</v>
      </c>
      <c r="G321" s="20" t="n">
        <f aca="false">E321-F321</f>
        <v>-47759.4881918542</v>
      </c>
      <c r="H321" s="20" t="n">
        <f aca="false">ABS(G321)</f>
        <v>47759.4881918542</v>
      </c>
    </row>
    <row r="322" customFormat="false" ht="15" hidden="false" customHeight="true" outlineLevel="0" collapsed="false">
      <c r="A322" s="3" t="str">
        <f aca="false">Model_Data!A321</f>
        <v>STR-1080</v>
      </c>
      <c r="B322" s="4" t="n">
        <f aca="false">Model_Data!B321</f>
        <v>45689</v>
      </c>
      <c r="C322" s="3" t="str">
        <f aca="false">Model_Data!C321</f>
        <v>East</v>
      </c>
      <c r="D322" s="3" t="str">
        <f aca="false">Model_Data!D321</f>
        <v>Residential</v>
      </c>
      <c r="E322" s="20" t="n">
        <f aca="false">Multiple_Regression!H322</f>
        <v>536845.42</v>
      </c>
      <c r="F322" s="20" t="n">
        <f aca="false">Multiple_Regression!$L$12+Multiple_Regression!$L$13*Multiple_Regression!A322+Multiple_Regression!$L$14*Multiple_Regression!B322+Multiple_Regression!$L$15*Multiple_Regression!C322+Multiple_Regression!$L$16*Multiple_Regression!D322+Multiple_Regression!$L$17*Multiple_Regression!E322+Multiple_Regression!$L$18*Multiple_Regression!F322+Multiple_Regression!$L$19*Multiple_Regression!G322</f>
        <v>529198.312679852</v>
      </c>
      <c r="G322" s="20" t="n">
        <f aca="false">E322-F322</f>
        <v>7647.10732014827</v>
      </c>
      <c r="H322" s="20" t="n">
        <f aca="false">ABS(G322)</f>
        <v>7647.10732014827</v>
      </c>
    </row>
    <row r="323" customFormat="false" ht="15" hidden="false" customHeight="true" outlineLevel="0" collapsed="false">
      <c r="A323" s="3" t="str">
        <f aca="false">Model_Data!A322</f>
        <v>STR-1080</v>
      </c>
      <c r="B323" s="4" t="n">
        <f aca="false">Model_Data!B322</f>
        <v>45717</v>
      </c>
      <c r="C323" s="3" t="str">
        <f aca="false">Model_Data!C322</f>
        <v>East</v>
      </c>
      <c r="D323" s="3" t="str">
        <f aca="false">Model_Data!D322</f>
        <v>Residential</v>
      </c>
      <c r="E323" s="20" t="n">
        <f aca="false">Multiple_Regression!H323</f>
        <v>726776.22</v>
      </c>
      <c r="F323" s="20" t="n">
        <f aca="false">Multiple_Regression!$L$12+Multiple_Regression!$L$13*Multiple_Regression!A323+Multiple_Regression!$L$14*Multiple_Regression!B323+Multiple_Regression!$L$15*Multiple_Regression!C323+Multiple_Regression!$L$16*Multiple_Regression!D323+Multiple_Regression!$L$17*Multiple_Regression!E323+Multiple_Regression!$L$18*Multiple_Regression!F323+Multiple_Regression!$L$19*Multiple_Regression!G323</f>
        <v>720569.326894029</v>
      </c>
      <c r="G323" s="20" t="n">
        <f aca="false">E323-F323</f>
        <v>6206.89310597093</v>
      </c>
      <c r="H323" s="20" t="n">
        <f aca="false">ABS(G323)</f>
        <v>6206.89310597093</v>
      </c>
    </row>
    <row r="324" customFormat="false" ht="15" hidden="false" customHeight="true" outlineLevel="0" collapsed="false">
      <c r="A324" s="3" t="str">
        <f aca="false">Model_Data!A323</f>
        <v>STR-1080</v>
      </c>
      <c r="B324" s="4" t="n">
        <f aca="false">Model_Data!B323</f>
        <v>45748</v>
      </c>
      <c r="C324" s="3" t="str">
        <f aca="false">Model_Data!C323</f>
        <v>East</v>
      </c>
      <c r="D324" s="3" t="str">
        <f aca="false">Model_Data!D323</f>
        <v>Residential</v>
      </c>
      <c r="E324" s="20" t="n">
        <f aca="false">Multiple_Regression!H324</f>
        <v>559660.84</v>
      </c>
      <c r="F324" s="20" t="n">
        <f aca="false">Multiple_Regression!$L$12+Multiple_Regression!$L$13*Multiple_Regression!A324+Multiple_Regression!$L$14*Multiple_Regression!B324+Multiple_Regression!$L$15*Multiple_Regression!C324+Multiple_Regression!$L$16*Multiple_Regression!D324+Multiple_Regression!$L$17*Multiple_Regression!E324+Multiple_Regression!$L$18*Multiple_Regression!F324+Multiple_Regression!$L$19*Multiple_Regression!G324</f>
        <v>589874.668502618</v>
      </c>
      <c r="G324" s="20" t="n">
        <f aca="false">E324-F324</f>
        <v>-30213.8285026177</v>
      </c>
      <c r="H324" s="20" t="n">
        <f aca="false">ABS(G324)</f>
        <v>30213.8285026177</v>
      </c>
    </row>
  </sheetData>
  <mergeCells count="3">
    <mergeCell ref="A2:J2"/>
    <mergeCell ref="J4:N4"/>
    <mergeCell ref="J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34"/>
  </cols>
  <sheetData>
    <row r="1" customFormat="false" ht="15.75" hidden="false" customHeight="true" outlineLevel="0" collapsed="false">
      <c r="A1" s="15" t="s">
        <v>157</v>
      </c>
    </row>
    <row r="3" customFormat="false" ht="15" hidden="false" customHeight="true" outlineLevel="0" collapsed="false">
      <c r="A3" s="8" t="s">
        <v>158</v>
      </c>
      <c r="B3" s="8" t="s">
        <v>159</v>
      </c>
      <c r="C3" s="8" t="s">
        <v>121</v>
      </c>
      <c r="D3" s="8" t="s">
        <v>160</v>
      </c>
      <c r="E3" s="8" t="s">
        <v>161</v>
      </c>
    </row>
    <row r="4" customFormat="false" ht="15" hidden="false" customHeight="true" outlineLevel="0" collapsed="false">
      <c r="A4" s="3" t="s">
        <v>162</v>
      </c>
      <c r="B4" s="3" t="s">
        <v>4</v>
      </c>
      <c r="C4" s="13" t="n">
        <f aca="false">Simple_Regression!B14</f>
        <v>0.16724469112487</v>
      </c>
      <c r="D4" s="13" t="n">
        <f aca="false">Simple_Regression!B18</f>
        <v>2.480061510136E-014</v>
      </c>
      <c r="E4" s="3" t="str">
        <f aca="false">IF(C4&gt;=0.5,"Strong explanatory power",IF(C4&gt;=0.1,"Weak/moderate explanatory power","Very weak — variable alone explains little"))</f>
        <v>Weak/moderate explanatory power</v>
      </c>
    </row>
    <row r="5" customFormat="false" ht="15" hidden="false" customHeight="true" outlineLevel="0" collapsed="false">
      <c r="A5" s="3" t="s">
        <v>163</v>
      </c>
      <c r="B5" s="3" t="s">
        <v>5</v>
      </c>
      <c r="C5" s="13" t="n">
        <f aca="false">Simple_Regression!B32</f>
        <v>0.736285340003311</v>
      </c>
      <c r="D5" s="11" t="n">
        <f aca="false">Simple_Regression!B36</f>
        <v>4.75036150900558E-094</v>
      </c>
      <c r="E5" s="3" t="str">
        <f aca="false">IF(C5&gt;=0.5,"Strong explanatory power",IF(C5&gt;=0.1,"Weak/moderate explanatory power","Very weak — variable alone explains little"))</f>
        <v>Strong explanatory power</v>
      </c>
    </row>
    <row r="6" customFormat="false" ht="15" hidden="false" customHeight="true" outlineLevel="0" collapsed="false">
      <c r="A6" s="3" t="s">
        <v>164</v>
      </c>
      <c r="B6" s="3" t="s">
        <v>6</v>
      </c>
      <c r="C6" s="13" t="n">
        <f aca="false">Simple_Regression!B50</f>
        <v>0.00829050302440034</v>
      </c>
      <c r="D6" s="11" t="n">
        <f aca="false">Simple_Regression!B54</f>
        <v>0.103993046419031</v>
      </c>
      <c r="E6" s="3" t="str">
        <f aca="false">IF(C6&gt;=0.5,"Strong explanatory power",IF(C6&gt;=0.1,"Weak/moderate explanatory power","Very weak — variable alone explains little"))</f>
        <v>Very weak — variable alone explains little</v>
      </c>
    </row>
    <row r="7" customFormat="false" ht="15" hidden="false" customHeight="true" outlineLevel="0" collapsed="false">
      <c r="A7" s="3" t="s">
        <v>165</v>
      </c>
      <c r="B7" s="3" t="s">
        <v>8</v>
      </c>
      <c r="C7" s="13" t="n">
        <f aca="false">Simple_Regression!B68</f>
        <v>0.0131150159644044</v>
      </c>
      <c r="D7" s="13" t="n">
        <f aca="false">Simple_Regression!B72</f>
        <v>0.0406252966301654</v>
      </c>
      <c r="E7" s="3" t="str">
        <f aca="false">IF(C7&gt;=0.5,"Strong explanatory power",IF(C7&gt;=0.1,"Weak/moderate explanatory power","Very weak — variable alone explains little"))</f>
        <v>Very weak — variable alone explains little</v>
      </c>
    </row>
    <row r="8" customFormat="false" ht="15" hidden="false" customHeight="true" outlineLevel="0" collapsed="false">
      <c r="A8" s="3" t="s">
        <v>166</v>
      </c>
      <c r="B8" s="3" t="s">
        <v>11</v>
      </c>
      <c r="C8" s="13" t="n">
        <f aca="false">Simple_Regression!B86</f>
        <v>0.000698452655965146</v>
      </c>
      <c r="D8" s="11" t="n">
        <f aca="false">Simple_Regression!B90</f>
        <v>0.637644151039515</v>
      </c>
      <c r="E8" s="3" t="str">
        <f aca="false">IF(C8&gt;=0.5,"Strong explanatory power",IF(C8&gt;=0.1,"Weak/moderate explanatory power","Very weak — variable alone explains little"))</f>
        <v>Very weak — variable alone explains little</v>
      </c>
    </row>
    <row r="9" customFormat="false" ht="15" hidden="false" customHeight="true" outlineLevel="0" collapsed="false">
      <c r="A9" s="3" t="s">
        <v>167</v>
      </c>
      <c r="B9" s="3" t="s">
        <v>168</v>
      </c>
      <c r="C9" s="13" t="n">
        <f aca="false">Multiple_Regression!L21</f>
        <v>0.82139227683729</v>
      </c>
      <c r="D9" s="3" t="s">
        <v>169</v>
      </c>
      <c r="E9" s="3" t="str">
        <f aca="false">IF(C9&gt;=0.5,"Strong explanatory power",IF(C9&gt;=0.1,"Weak/moderate explanatory power","Very weak — variable alone explains little"))</f>
        <v>Strong explanatory power</v>
      </c>
    </row>
    <row r="11" customFormat="false" ht="15" hidden="false" customHeight="true" outlineLevel="0" collapsed="false">
      <c r="A11" s="6" t="s">
        <v>170</v>
      </c>
      <c r="B11" s="6"/>
      <c r="C11" s="6"/>
      <c r="D11" s="6"/>
      <c r="E11" s="6"/>
    </row>
  </sheetData>
  <mergeCells count="1"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2026-06-20T09:35:00Z</dcterms:created>
  <dc:creator>openpyxl</dc:creator>
  <dc:description/>
  <dc:language>en-US</dc:language>
  <cp:lastModifiedBy/>
  <dcterms:modified xsi:type="dcterms:W3CDTF">2026-06-20T09:42:24Z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